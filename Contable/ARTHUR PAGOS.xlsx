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UELDOS 2022" sheetId="1" r:id="rId4"/>
    <sheet state="hidden" name="SUELDOS 2023" sheetId="2" r:id="rId5"/>
    <sheet state="hidden" name="SUELDOS 2024" sheetId="3" r:id="rId6"/>
    <sheet state="visible" name="SUELDOS 2025" sheetId="4" r:id="rId7"/>
    <sheet state="visible" name="SUELDOS 2026" sheetId="5" r:id="rId8"/>
    <sheet state="hidden" name=" HORARIOS" sheetId="6" r:id="rId9"/>
    <sheet state="hidden" name="SUELDOS 2021" sheetId="7" r:id="rId10"/>
    <sheet state="hidden" name="SUELDOS2020" sheetId="8" r:id="rId11"/>
    <sheet state="hidden" name="TAREAS" sheetId="9" r:id="rId12"/>
    <sheet state="hidden" name="CALENDARIO" sheetId="10" r:id="rId13"/>
    <sheet state="hidden" name="AGUINALDO 19" sheetId="11" r:id="rId14"/>
  </sheets>
  <definedNames>
    <definedName name="HorasSemanaLaboral">#REF!</definedName>
    <definedName name="RegiónTítuloColumna1..E6.1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tc={120b97db-ff61-460d-865c-6a9b5440cbb5}</author>
  </authors>
  <commentList>
    <comment authorId="0" ref="D283">
      <text>
        <t xml:space="preserve">CUOTA 8/40
</t>
      </text>
    </comment>
    <comment authorId="0" ref="D288">
      <text>
        <t xml:space="preserve">CUOTA 9/40
</t>
      </text>
    </comment>
    <comment authorId="0" ref="D293">
      <text>
        <t xml:space="preserve">CUOTA 10/40
</t>
      </text>
    </comment>
    <comment authorId="0" ref="D298">
      <text>
        <t xml:space="preserve">CUOTA 11/40
</t>
      </text>
    </comment>
    <comment authorId="0" ref="D316">
      <text>
        <t xml:space="preserve">CUOTA 12/40
</t>
      </text>
    </comment>
    <comment authorId="0" ref="D321">
      <text>
        <t xml:space="preserve">CUOTA 13/40
</t>
      </text>
    </comment>
    <comment authorId="0" ref="D326">
      <text>
        <t xml:space="preserve">CUOTA 14/40
</t>
      </text>
    </comment>
    <comment authorId="0" ref="D331">
      <text>
        <t xml:space="preserve">CUOTA 15/40
</t>
      </text>
    </comment>
    <comment authorId="0" ref="D349">
      <text>
        <t xml:space="preserve">CUOTA 16/40
</t>
      </text>
    </comment>
    <comment authorId="0" ref="D354">
      <text>
        <t xml:space="preserve">CUOTA 17/40
</t>
      </text>
    </comment>
    <comment authorId="0" ref="D359">
      <text>
        <t xml:space="preserve">CUOTA 14/40
</t>
      </text>
    </comment>
    <comment authorId="0" ref="D364">
      <text>
        <t xml:space="preserve">CUOTA 18/40
</t>
      </text>
    </comment>
    <comment authorId="0" ref="D369">
      <text>
        <t xml:space="preserve">CUOTA 19/40
</t>
      </text>
    </comment>
    <comment authorId="0" ref="D388">
      <text>
        <t xml:space="preserve">CUOTA 20/40
</t>
      </text>
    </comment>
    <comment authorId="0" ref="D393">
      <text>
        <t xml:space="preserve">CUOTA 21/40
</t>
      </text>
    </comment>
    <comment authorId="0" ref="D398">
      <text>
        <t xml:space="preserve">CUOTA 22/40
</t>
      </text>
    </comment>
    <comment authorId="0" ref="D403">
      <text>
        <t xml:space="preserve">CUOTA 23/40
</t>
      </text>
    </comment>
    <comment authorId="0" ref="D421">
      <text>
        <t xml:space="preserve">CUOTA 24/40
</t>
      </text>
    </comment>
    <comment authorId="0" ref="D426">
      <text>
        <t xml:space="preserve">CUOTA 25/40
</t>
      </text>
    </comment>
    <comment authorId="0" ref="D431">
      <text>
        <t xml:space="preserve">CUOTA 26/40
</t>
      </text>
    </comment>
    <comment authorId="0" ref="D436">
      <text>
        <t xml:space="preserve">CUOTA 27/40
</t>
      </text>
    </comment>
    <comment authorId="0" ref="D455">
      <text>
        <t xml:space="preserve">CUOTA 28/40
</t>
      </text>
    </comment>
    <comment authorId="0" ref="D460">
      <text>
        <t xml:space="preserve">CUOTA 29/40
</t>
      </text>
    </comment>
    <comment authorId="0" ref="D465">
      <text>
        <t xml:space="preserve">CUOTA 30/40
</t>
      </text>
    </comment>
    <comment authorId="0" ref="D470">
      <text>
        <t xml:space="preserve">CUOTA 31/40
</t>
      </text>
    </comment>
    <comment authorId="0" ref="D486">
      <text>
        <t xml:space="preserve">CUOTA 31/40
</t>
      </text>
    </comment>
    <comment authorId="0" ref="D495">
      <text>
        <t xml:space="preserve">CUOTA 32/40
</t>
      </text>
    </comment>
    <comment authorId="0" ref="D501">
      <text>
        <t xml:space="preserve">CUOTA 33/40
</t>
      </text>
    </comment>
    <comment authorId="0" ref="D507">
      <text>
        <t xml:space="preserve">CUOTA 34/40
</t>
      </text>
    </comment>
    <comment authorId="0" ref="D513">
      <text>
        <t xml:space="preserve">CUOTA 35/40
</t>
      </text>
    </comment>
    <comment authorId="0" ref="D530">
      <text>
        <t xml:space="preserve">CUOTA 36/40
</t>
      </text>
    </comment>
    <comment authorId="0" ref="D537">
      <text>
        <t xml:space="preserve">CUOTA 37/40
</t>
      </text>
    </comment>
    <comment authorId="0" ref="D542">
      <text>
        <t xml:space="preserve">CUOTA 38/40
</t>
      </text>
    </comment>
    <comment authorId="0" ref="D547">
      <text>
        <t xml:space="preserve">CUOTA 39/40
</t>
      </text>
    </comment>
    <comment authorId="0" ref="D552">
      <text>
        <t xml:space="preserve">CUOTA 40/40
</t>
      </text>
    </comment>
    <comment authorId="1" xr:uid="{120b97db-ff61-460d-865c-6a9b5440cbb5}" ref="D2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8/40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tc={1eb2ceca-d63a-4155-9011-8a72c6ae94d4}</author>
    <author>tc={2374a2b8-5a85-4c51-8914-937a9379b66a}</author>
    <author>tc={371555a2-9fd5-41d0-b8d5-02d46d7731eb}</author>
    <author>tc={929fd42e-d16a-4095-9ac7-5e79ca6d53d9}</author>
    <author>tc={a90b2147-55a4-4106-bee8-3f1631fc3048}</author>
    <author>tc={afe77c73-204c-467d-b62f-e4803cc4b15f}</author>
    <author>tc={cb1d2a96-f94f-4c34-94f4-1e6a9d5047b1}</author>
    <author>tc={e2801ac7-ae93-44b3-9908-ff34fa7d6834}</author>
    <author>tc={f8fe93f2-7f97-410c-ba67-f41710b108b1}</author>
  </authors>
  <commentList>
    <comment authorId="0" ref="D340">
      <text>
        <t xml:space="preserve">CUOTA 14/40
</t>
      </text>
    </comment>
    <comment authorId="0" ref="D346">
      <text>
        <t xml:space="preserve">CUOTA 15/40
</t>
      </text>
    </comment>
    <comment authorId="0" ref="D481">
      <text>
        <t xml:space="preserve">CUOTA 30/40
</t>
      </text>
    </comment>
    <comment authorId="0" ref="D522">
      <text>
        <t xml:space="preserve">CUOTA 34/40
</t>
      </text>
    </comment>
    <comment authorId="1" xr:uid="{1eb2ceca-d63a-4155-9011-8a72c6ae94d4}" ref="D5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liquido el 12/8 los dias trabajados
</t>
      </text>
    </comment>
    <comment authorId="2" xr:uid="{2374a2b8-5a85-4c51-8914-937a9379b66a}" ref="L4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MIERCOLES 16 A 20
JUEVES 14 A 20
</t>
      </text>
    </comment>
    <comment authorId="3" xr:uid="{371555a2-9fd5-41d0-b8d5-02d46d7731eb}" ref="K4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vino sabado
</t>
      </text>
    </comment>
    <comment authorId="4" xr:uid="{929fd42e-d16a-4095-9ac7-5e79ca6d53d9}" ref="D5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falto el dia 5/7 sin justificativo medico
</t>
      </text>
    </comment>
    <comment authorId="5" xr:uid="{a90b2147-55a4-4106-bee8-3f1631fc3048}" ref="D5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falto viernes y sabado
</t>
      </text>
    </comment>
    <comment authorId="6" xr:uid="{afe77c73-204c-467d-b62f-e4803cc4b15f}" ref="D5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falto sin cert el mierc 12
</t>
      </text>
    </comment>
    <comment authorId="7" xr:uid="{cb1d2a96-f94f-4c34-94f4-1e6a9d5047b1}" ref="N4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DIO DIA LUNES
</t>
      </text>
    </comment>
    <comment authorId="8" xr:uid="{e2801ac7-ae93-44b3-9908-ff34fa7d6834}" ref="D5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liquido el 12/8 a Mariela (los dias de julio trabajados
</t>
      </text>
    </comment>
    <comment authorId="9" xr:uid="{f8fe93f2-7f97-410c-ba67-f41710b108b1}" ref="K4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vino sabado, se le desconto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tc={653944fe-f571-4c58-b303-372fd9d997c2}</author>
    <author>tc={7606d45e-344e-488e-b785-fb23260a6a83}</author>
    <author>tc={9d14dbc0-8787-4721-8b32-b954d4b590b8}</author>
  </authors>
  <commentList>
    <comment authorId="0" xr:uid="{653944fe-f571-4c58-b303-372fd9d997c2}" ref="F8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harina de almendra 1k
</t>
      </text>
    </comment>
    <comment authorId="1" xr:uid="{7606d45e-344e-488e-b785-fb23260a6a83}" ref="L8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cafe
</t>
      </text>
    </comment>
    <comment authorId="2" xr:uid="{9d14dbc0-8787-4721-8b32-b954d4b590b8}" ref="L7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CUARTOS DE CAFE
Reply:
	era 41600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tc={2ae4d7ee-1bc2-4d3c-90e4-b12b142043a5}</author>
    <author>tc={505a3d9f-8b33-46a5-9906-cc84ded79e67}</author>
    <author>tc={877db4d3-528e-4449-9262-4ff4f8022b96}</author>
    <author>tc={c900248c-6c51-4c75-95fd-6acabc52b132}</author>
    <author>tc={ec8c8cd6-214d-466d-a58c-c096369b1b5b}</author>
    <author>tc={fd991eef-b2a4-4eb2-8b7d-08dccec192f9}</author>
  </authors>
  <commentList>
    <comment authorId="0" xr:uid="{2ae4d7ee-1bc2-4d3c-90e4-b12b142043a5}" ref="I8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 tutto farra baby shower
</t>
      </text>
    </comment>
    <comment authorId="1" xr:uid="{505a3d9f-8b33-46a5-9906-cc84ded79e67}" ref="C4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debia 1 semana de vacas
</t>
      </text>
    </comment>
    <comment authorId="2" xr:uid="{877db4d3-528e-4449-9262-4ff4f8022b96}" ref="H6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diferencial x horas de cocina
</t>
      </text>
    </comment>
    <comment authorId="3" xr:uid="{c900248c-6c51-4c75-95fd-6acabc52b132}" ref="E7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LOS 270 DE LAS VACACIONES SE LOS DOY EL LUNES 27
</t>
      </text>
    </comment>
    <comment authorId="4" xr:uid="{ec8c8cd6-214d-466d-a58c-c096369b1b5b}" ref="B6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pago el martes 8/7
</t>
      </text>
    </comment>
    <comment authorId="5" xr:uid="{fd991eef-b2a4-4eb2-8b7d-08dccec192f9}" ref="L6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 10/8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tc={08f02c65-f4d0-458c-a9fc-3441436b39a4}</author>
    <author>tc={2ae3c4fd-7184-493f-8955-9f4b0db1ef50}</author>
    <author>tc={67c0a815-1aa7-4084-bdf5-926a62585754}</author>
    <author>tc={a20e08f8-e51d-4775-96ef-6260167c88ca}</author>
    <author>tc={dbbeeaf9-f4a9-48bc-beec-6bd2a567093b}</author>
    <author>tc={df6544c2-c5e1-4b92-880b-a3f72906991f}</author>
  </authors>
  <commentList>
    <comment authorId="0" xr:uid="{08f02c65-f4d0-458c-a9fc-3441436b39a4}" ref="E4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pago lo adeudado de la semana anterior
</t>
      </text>
    </comment>
    <comment authorId="1" xr:uid="{2ae3c4fd-7184-493f-8955-9f4b0db1ef50}" ref="H3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vacaciones no gozadas
</t>
      </text>
    </comment>
    <comment authorId="2" xr:uid="{67c0a815-1aa7-4084-bdf5-926a62585754}" ref="E4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pago lo adeudado de la semana anterior
</t>
      </text>
    </comment>
    <comment authorId="3" xr:uid="{a20e08f8-e51d-4775-96ef-6260167c88ca}" ref="I4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retiro de 20000 30/4
</t>
      </text>
    </comment>
    <comment authorId="4" xr:uid="{dbbeeaf9-f4a9-48bc-beec-6bd2a567093b}" ref="G4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consum 10/3
budin
</t>
      </text>
    </comment>
    <comment authorId="5" xr:uid="{df6544c2-c5e1-4b92-880b-a3f72906991f}" ref="H3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pago el miercoles 4/2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tc={6f31b230-37c3-4e65-bc3c-cd63fe888663}</author>
    <author>tc={77251245-9121-44fb-9cc5-ad805865fe8b}</author>
    <author>tc={814d0fc2-9757-42cf-bd54-cabab265368e}</author>
    <author>tc={8b655777-1511-45f6-92ba-4b950eed85e4}</author>
    <author>tc={8ff91ebb-bf4d-4f17-a5a7-1610d1006ff1}</author>
    <author>tc={92728964-b829-4249-b128-7a4d4b2298f4}</author>
    <author>tc={92a07490-5ca9-4964-95b2-d231f0d5e6ad}</author>
    <author>tc={cad2d3fb-2cc4-4030-ae0c-eca35302b79b}</author>
    <author>tc={d0904054-1ff2-4333-9314-487f6785b06d}</author>
    <author>tc={e26646dc-5398-4109-ac0e-988f0352ccd9}</author>
    <author>tc={eb9650e7-ce0e-47d4-bd06-4b94d0952823}</author>
  </authors>
  <commentList>
    <comment authorId="0" ref="D287">
      <text>
        <t xml:space="preserve">DESCUENTO SEMANAL DE CREDITO CUOTA 1/40
</t>
      </text>
    </comment>
    <comment authorId="0" ref="D293">
      <text>
        <t xml:space="preserve">SE LE DIO CREDITO DE 50000$
</t>
      </text>
    </comment>
    <comment authorId="0" ref="G293">
      <text>
        <t xml:space="preserve">MARTES VINO A LAS 11HS
</t>
      </text>
    </comment>
    <comment authorId="0" ref="K293">
      <text>
        <t xml:space="preserve">MARTES VINO 9.30HS
</t>
      </text>
    </comment>
    <comment authorId="0" ref="D311">
      <text>
        <t xml:space="preserve">DESCUENTO SEMANAL DE CREDITO CUOTA 1/40
</t>
      </text>
    </comment>
    <comment authorId="0" ref="D318">
      <text>
        <t xml:space="preserve">SE LE DIO CREDITO DE 50000$
</t>
      </text>
    </comment>
    <comment authorId="0" ref="G318">
      <text>
        <t xml:space="preserve">MARTES VINO A LAS 11HS
</t>
      </text>
    </comment>
    <comment authorId="0" ref="K318">
      <text>
        <t xml:space="preserve">MARTES VINO 9.30HS
</t>
      </text>
    </comment>
    <comment authorId="0" ref="D327">
      <text>
        <t xml:space="preserve">SE LE DIO CREDITO DE 50000$
</t>
      </text>
    </comment>
    <comment authorId="0" ref="G327">
      <text>
        <t xml:space="preserve">MARTES VINO A LAS 11HS
</t>
      </text>
    </comment>
    <comment authorId="0" ref="K327">
      <text>
        <t xml:space="preserve">MARTES VINO 9.30HS
</t>
      </text>
    </comment>
    <comment authorId="0" ref="D329">
      <text>
        <t xml:space="preserve">SE LE DIO CREDITO DE 50000$
</t>
      </text>
    </comment>
    <comment authorId="0" ref="G329">
      <text>
        <t xml:space="preserve">MARTES VINO A LAS 11HS
</t>
      </text>
    </comment>
    <comment authorId="0" ref="K329">
      <text>
        <t xml:space="preserve">MARTES VINO 9.30HS
</t>
      </text>
    </comment>
    <comment authorId="1" xr:uid="{6f31b230-37c3-4e65-bc3c-cd63fe888663}" ref="F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dia sabado 13 descontado x ausente sin aviso
</t>
      </text>
    </comment>
    <comment authorId="2" xr:uid="{77251245-9121-44fb-9cc5-ad805865fe8b}" ref="G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suma horas extra para cubrir a Rafa
</t>
      </text>
    </comment>
    <comment authorId="3" xr:uid="{814d0fc2-9757-42cf-bd54-cabab265368e}" ref="C2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martes vino 9.30
</t>
      </text>
    </comment>
    <comment authorId="4" xr:uid="{8b655777-1511-45f6-92ba-4b950eed85e4}" ref="F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falto 1 dia y medio x eso se pago 1000 de extras y no 2000
</t>
      </text>
    </comment>
    <comment authorId="5" xr:uid="{8ff91ebb-bf4d-4f17-a5a7-1610d1006ff1}" ref="G2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MARTES LLEGO 11HS
</t>
      </text>
    </comment>
    <comment authorId="6" xr:uid="{92728964-b829-4249-b128-7a4d4b2298f4}" ref="K2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martes vino 9.30
</t>
      </text>
    </comment>
    <comment authorId="7" xr:uid="{92a07490-5ca9-4964-95b2-d231f0d5e6ad}" ref="K2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martes vino 9.30
</t>
      </text>
    </comment>
    <comment authorId="8" xr:uid="{cad2d3fb-2cc4-4030-ae0c-eca35302b79b}" ref="F2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ternerita 1 pyj 1 bolo 1 oreo
</t>
      </text>
    </comment>
    <comment authorId="9" xr:uid="{d0904054-1ff2-4333-9314-487f6785b06d}" ref="G2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martes vino a las 11
</t>
      </text>
    </comment>
    <comment authorId="10" xr:uid="{e26646dc-5398-4109-ac0e-988f0352ccd9}" ref="K2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vino martes 9.30
</t>
      </text>
    </comment>
    <comment authorId="11" xr:uid="{eb9650e7-ce0e-47d4-bd06-4b94d0952823}" ref="F2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llegada tarde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3">
      <text>
        <t xml:space="preserve">16 HRS EXTRA</t>
      </text>
    </comment>
    <comment authorId="0" ref="H13">
      <text>
        <t xml:space="preserve">4 HRS EXTRA</t>
      </text>
    </comment>
    <comment authorId="0" ref="G16">
      <text>
        <t xml:space="preserve">10 HRS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ADELANTO 600</t>
      </text>
    </comment>
    <comment authorId="0" ref="F8">
      <text>
        <t xml:space="preserve">ADELANTO 4000
</t>
      </text>
    </comment>
    <comment authorId="0" ref="H9">
      <text>
        <t xml:space="preserve">ADELANTO 1000
</t>
      </text>
    </comment>
  </commentList>
</comments>
</file>

<file path=xl/sharedStrings.xml><?xml version="1.0" encoding="utf-8"?>
<sst xmlns="http://schemas.openxmlformats.org/spreadsheetml/2006/main" count="8560" uniqueCount="807">
  <si>
    <t>NOMBRE</t>
  </si>
  <si>
    <t xml:space="preserve">LUIS </t>
  </si>
  <si>
    <t>LUCAS</t>
  </si>
  <si>
    <t>RODRI</t>
  </si>
  <si>
    <t>CRIS</t>
  </si>
  <si>
    <t>FEDE</t>
  </si>
  <si>
    <t>RAFA</t>
  </si>
  <si>
    <t>MARIA</t>
  </si>
  <si>
    <t>ROMINA</t>
  </si>
  <si>
    <t>KELLY</t>
  </si>
  <si>
    <t>JUAN</t>
  </si>
  <si>
    <t xml:space="preserve">CONTADORA </t>
  </si>
  <si>
    <t>ENERO</t>
  </si>
  <si>
    <t>11-17</t>
  </si>
  <si>
    <t>18-24</t>
  </si>
  <si>
    <t>TOTAL *MES</t>
  </si>
  <si>
    <t xml:space="preserve">BANCO ANSES </t>
  </si>
  <si>
    <t>EN MANO</t>
  </si>
  <si>
    <t xml:space="preserve"> ANSES ESTE MES </t>
  </si>
  <si>
    <t>25-31</t>
  </si>
  <si>
    <t>FERIADOS</t>
  </si>
  <si>
    <t>TRANSFER</t>
  </si>
  <si>
    <t>ADELANTOS</t>
  </si>
  <si>
    <t>LIQUIDACION FINAL</t>
  </si>
  <si>
    <t>TOT X SEMANA</t>
  </si>
  <si>
    <t>1-24</t>
  </si>
  <si>
    <t>febrero</t>
  </si>
  <si>
    <t>1-6/02/2021</t>
  </si>
  <si>
    <t>8-13</t>
  </si>
  <si>
    <t>15-20</t>
  </si>
  <si>
    <t>22-27</t>
  </si>
  <si>
    <t>Marzo</t>
  </si>
  <si>
    <t>1-6/03/2021</t>
  </si>
  <si>
    <t>feriados 24/3</t>
  </si>
  <si>
    <t>ABEL</t>
  </si>
  <si>
    <t>Abril</t>
  </si>
  <si>
    <t>29/03-3/4</t>
  </si>
  <si>
    <t>12-17</t>
  </si>
  <si>
    <t>19-24</t>
  </si>
  <si>
    <t>26-30</t>
  </si>
  <si>
    <t>Horas Extra</t>
  </si>
  <si>
    <t>Feriados 2/4</t>
  </si>
  <si>
    <t>Feriados 1/5</t>
  </si>
  <si>
    <t>-</t>
  </si>
  <si>
    <t>MAYO</t>
  </si>
  <si>
    <t>3/5-8/5</t>
  </si>
  <si>
    <t>10/5-15/5</t>
  </si>
  <si>
    <t>17/5-22/5</t>
  </si>
  <si>
    <t>24/5-29/5</t>
  </si>
  <si>
    <t>Feriados 25/5</t>
  </si>
  <si>
    <t>MARY pasteleria</t>
  </si>
  <si>
    <t>AGUS</t>
  </si>
  <si>
    <t>JUNIO</t>
  </si>
  <si>
    <t>31/5-5/6</t>
  </si>
  <si>
    <t>7/6-12/6</t>
  </si>
  <si>
    <t>14/6-19/6</t>
  </si>
  <si>
    <t>21/6-26/6</t>
  </si>
  <si>
    <t>Feriado 20/6</t>
  </si>
  <si>
    <t>CLAUDIA</t>
  </si>
  <si>
    <t>JULIO</t>
  </si>
  <si>
    <t>28/6 al 3/7</t>
  </si>
  <si>
    <t>5/7 al 10/7</t>
  </si>
  <si>
    <t>AGUINALDO</t>
  </si>
  <si>
    <t>feriado 9/7</t>
  </si>
  <si>
    <t>12/7 al 17/</t>
  </si>
  <si>
    <t>12/7 al 17/7</t>
  </si>
  <si>
    <t>19/7 al 24/7</t>
  </si>
  <si>
    <t>26//7 al 31/07</t>
  </si>
  <si>
    <t>02/8 al 07/08</t>
  </si>
  <si>
    <t>Aguinaldo 14k</t>
  </si>
  <si>
    <t>Aguinaldo 12k</t>
  </si>
  <si>
    <t>HS Extras 2k</t>
  </si>
  <si>
    <t>Aguinaldo 10k</t>
  </si>
  <si>
    <t>Locro+Feriado 3k</t>
  </si>
  <si>
    <t>Feriado 1,5k</t>
  </si>
  <si>
    <t>AGUINALDO 6K</t>
  </si>
  <si>
    <t>AGUINALDO 10.4</t>
  </si>
  <si>
    <t>AGUINALDO 5K</t>
  </si>
  <si>
    <t>MARY solo Mary</t>
  </si>
  <si>
    <t>Sebastian</t>
  </si>
  <si>
    <t>AGOSTO</t>
  </si>
  <si>
    <t>2/8 al 7/8</t>
  </si>
  <si>
    <t>9/8 al 14/8</t>
  </si>
  <si>
    <t>16/8 al 21/8</t>
  </si>
  <si>
    <t>23/8 al 28/8</t>
  </si>
  <si>
    <t>--</t>
  </si>
  <si>
    <t>1000 x semana</t>
  </si>
  <si>
    <t>2000 x semana</t>
  </si>
  <si>
    <t>feriado 16/8</t>
  </si>
  <si>
    <t>---</t>
  </si>
  <si>
    <t>FABRICIO</t>
  </si>
  <si>
    <t>CELESTE</t>
  </si>
  <si>
    <t xml:space="preserve">MARY </t>
  </si>
  <si>
    <t>YAHARI</t>
  </si>
  <si>
    <t>SEPTIEMBRE</t>
  </si>
  <si>
    <t>30/8 AL 4/9</t>
  </si>
  <si>
    <t>6/9 AL 11/9</t>
  </si>
  <si>
    <t>13/9 AL 18/9</t>
  </si>
  <si>
    <t>20/9 AL 25/9</t>
  </si>
  <si>
    <t>FABRI PAN</t>
  </si>
  <si>
    <t>27/9 al 2/10</t>
  </si>
  <si>
    <t>4/10 al 9/10</t>
  </si>
  <si>
    <t>OCTUBRE</t>
  </si>
  <si>
    <t>4 AL 9</t>
  </si>
  <si>
    <t>11 AL 16</t>
  </si>
  <si>
    <t>18 AL 23</t>
  </si>
  <si>
    <t>25 AL 30</t>
  </si>
  <si>
    <t xml:space="preserve">feriado </t>
  </si>
  <si>
    <t>1 al 6</t>
  </si>
  <si>
    <t>LUCHO</t>
  </si>
  <si>
    <t>TOTAL semanal</t>
  </si>
  <si>
    <t>SEMANAL</t>
  </si>
  <si>
    <t>300*HORA</t>
  </si>
  <si>
    <t>MENSUAL</t>
  </si>
  <si>
    <t>B/N</t>
  </si>
  <si>
    <t>N</t>
  </si>
  <si>
    <t>Adelanto</t>
  </si>
  <si>
    <t xml:space="preserve">Feriado </t>
  </si>
  <si>
    <t>LIQUIDACIÓN</t>
  </si>
  <si>
    <t>VACACIONES</t>
  </si>
  <si>
    <t>Vacaciones</t>
  </si>
  <si>
    <t>?</t>
  </si>
  <si>
    <t>SANTI</t>
  </si>
  <si>
    <t>TUERCA</t>
  </si>
  <si>
    <t>FEBRERO</t>
  </si>
  <si>
    <t>MARZO</t>
  </si>
  <si>
    <t>SANTIAGUITO</t>
  </si>
  <si>
    <t>TRABAJO 20HS</t>
  </si>
  <si>
    <t>JAVIER</t>
  </si>
  <si>
    <t>ALEXIS</t>
  </si>
  <si>
    <t>tuerca/santi</t>
  </si>
  <si>
    <t>12HS</t>
  </si>
  <si>
    <t>24HS</t>
  </si>
  <si>
    <t>MARU</t>
  </si>
  <si>
    <t>QUIARA</t>
  </si>
  <si>
    <t>poner B/N este mes</t>
  </si>
  <si>
    <t>KIARA</t>
  </si>
  <si>
    <t>ABRIL</t>
  </si>
  <si>
    <t>VALOR X HORA</t>
  </si>
  <si>
    <t>subir</t>
  </si>
  <si>
    <t xml:space="preserve">Adelanto/Ausentes </t>
  </si>
  <si>
    <t>FERIADO</t>
  </si>
  <si>
    <t>JULIO 27 junio al 2 de julio</t>
  </si>
  <si>
    <t>a</t>
  </si>
  <si>
    <t>a+a</t>
  </si>
  <si>
    <t>Aguinaldo 1/2</t>
  </si>
  <si>
    <t>MESES TRABAJADOS</t>
  </si>
  <si>
    <t>JULIO 4 al 9</t>
  </si>
  <si>
    <t>JULIO 11 al 16</t>
  </si>
  <si>
    <t>Aguinaldo 2/2</t>
  </si>
  <si>
    <t>JULIO 18 al 23</t>
  </si>
  <si>
    <t>JULIO 25 al 30</t>
  </si>
  <si>
    <t>18000 FABRICIO</t>
  </si>
  <si>
    <t>20000 SEP</t>
  </si>
  <si>
    <t>12000 SEP</t>
  </si>
  <si>
    <t>LEONEL</t>
  </si>
  <si>
    <t>AGOSTO 1 AL 6</t>
  </si>
  <si>
    <t>AGOSTO 8 AL 13</t>
  </si>
  <si>
    <t>AGOSTO 15 AL 20</t>
  </si>
  <si>
    <t>AGOSTO 22 AL 27</t>
  </si>
  <si>
    <t>AGOSTO 29 AL 3</t>
  </si>
  <si>
    <t>????</t>
  </si>
  <si>
    <t>ANTO</t>
  </si>
  <si>
    <t>MICA</t>
  </si>
  <si>
    <t>mica paste 12</t>
  </si>
  <si>
    <t>MARI</t>
  </si>
  <si>
    <t>SEPTIEMBRE 5 AL 10</t>
  </si>
  <si>
    <t>Presentismo</t>
  </si>
  <si>
    <t>ausente ma 6</t>
  </si>
  <si>
    <t>2 dias estudio</t>
  </si>
  <si>
    <t>ausente sab 10</t>
  </si>
  <si>
    <t>SEPTIEMBRE 12 AL 17</t>
  </si>
  <si>
    <t>SEPTIEMBRE 19 AL 24</t>
  </si>
  <si>
    <t>SEPTIEMBRE 26 AL 1</t>
  </si>
  <si>
    <t>MERY</t>
  </si>
  <si>
    <t xml:space="preserve">OCTUBRE </t>
  </si>
  <si>
    <t>OCTUBRE 3 AL 8</t>
  </si>
  <si>
    <t>OCTUBRE 10 AL 15</t>
  </si>
  <si>
    <t xml:space="preserve">OCTUBRE 17 AL 22												</t>
  </si>
  <si>
    <t>OCTUBRE 24 AL 29</t>
  </si>
  <si>
    <t>MEL</t>
  </si>
  <si>
    <t>NOVIEMBRE</t>
  </si>
  <si>
    <t>400 la hora</t>
  </si>
  <si>
    <t>NOVIEMBRE 31 AL 5</t>
  </si>
  <si>
    <t>NOVIEMBRE 7 AL 12</t>
  </si>
  <si>
    <t xml:space="preserve">                                                                                                                  NOVIEMBRE 14 AL 19                                                                                              </t>
  </si>
  <si>
    <t>NOVIEMBRE 21 AL 26</t>
  </si>
  <si>
    <t>DICIEMBRE</t>
  </si>
  <si>
    <t>la hora</t>
  </si>
  <si>
    <t>DICIEMBRE 28 AL 3</t>
  </si>
  <si>
    <t>DICIEMBRE 5 AL 10</t>
  </si>
  <si>
    <t>Aguinaldo</t>
  </si>
  <si>
    <t>DICIEMBRE 12 AL 17</t>
  </si>
  <si>
    <t>DICIEMBRE 19 AL 24</t>
  </si>
  <si>
    <t>DICIEMBRE 26 AL 31</t>
  </si>
  <si>
    <t>MARY</t>
  </si>
  <si>
    <t>CELES</t>
  </si>
  <si>
    <t>ENERO 2 AL 7</t>
  </si>
  <si>
    <t>Bono Navidad 1/2</t>
  </si>
  <si>
    <t>ENERO 9 AL 14</t>
  </si>
  <si>
    <t>premio</t>
  </si>
  <si>
    <t>ENERO 16 AL 21</t>
  </si>
  <si>
    <t>TANEN</t>
  </si>
  <si>
    <t>ENERO 23 AL 28</t>
  </si>
  <si>
    <t>ENERO 30 AL 4 DE FEBRERO</t>
  </si>
  <si>
    <t>Bono Navidad 2/2</t>
  </si>
  <si>
    <t>MARTIN</t>
  </si>
  <si>
    <t>6 AL 11 FEBRERO</t>
  </si>
  <si>
    <t>13 AL 18 FEBRERO</t>
  </si>
  <si>
    <t>Feriado</t>
  </si>
  <si>
    <t>20 AL 25 FEBRERO</t>
  </si>
  <si>
    <t>27 DE FEBRERO AL 4 DE MARZO</t>
  </si>
  <si>
    <t>6 al 11 de MARZO</t>
  </si>
  <si>
    <t>13 al 18 de MARZO</t>
  </si>
  <si>
    <t>mary tiene 37500 a favor de las vacaciones (se le pagaron 15 dias y se tomo 1 semana)</t>
  </si>
  <si>
    <t>20 al 25 de MARZO</t>
  </si>
  <si>
    <t>27 al 1 de ABRIL</t>
  </si>
  <si>
    <t>LEONARDO</t>
  </si>
  <si>
    <t>3 A 8 ABRIL</t>
  </si>
  <si>
    <t xml:space="preserve">  </t>
  </si>
  <si>
    <t>BRISA</t>
  </si>
  <si>
    <t>BRIAN</t>
  </si>
  <si>
    <t>10 A 15 ABRIL</t>
  </si>
  <si>
    <t>ANDRES</t>
  </si>
  <si>
    <t>17 A 22 ABRIL</t>
  </si>
  <si>
    <t>VER $$ DEMAS NO VINO SABADO E HIZO 4HS</t>
  </si>
  <si>
    <t>24 A 29 ABRIL</t>
  </si>
  <si>
    <t>NATInatalia</t>
  </si>
  <si>
    <t>CARLA</t>
  </si>
  <si>
    <t>ma: 14.30 a 20</t>
  </si>
  <si>
    <t>mier: 14.30 a 20</t>
  </si>
  <si>
    <t>NATI</t>
  </si>
  <si>
    <t>KAREN</t>
  </si>
  <si>
    <t>1 al 6 MAYO</t>
  </si>
  <si>
    <t>8 al 13 MAYO</t>
  </si>
  <si>
    <t>15 AL 20 MAYO</t>
  </si>
  <si>
    <t>22 al 27 MAYO</t>
  </si>
  <si>
    <t xml:space="preserve"> </t>
  </si>
  <si>
    <t>Transfer</t>
  </si>
  <si>
    <t>29 al 3 JUNIO</t>
  </si>
  <si>
    <t>29 al 3 de Junio</t>
  </si>
  <si>
    <t>5 al 10 de junio</t>
  </si>
  <si>
    <t>8/6 ya no trabajo</t>
  </si>
  <si>
    <t>MARIELA</t>
  </si>
  <si>
    <t>MARIANA</t>
  </si>
  <si>
    <t>12 al 17 junio</t>
  </si>
  <si>
    <t>PAGADO</t>
  </si>
  <si>
    <t>MILAGROS</t>
  </si>
  <si>
    <t>19 al 24 junio</t>
  </si>
  <si>
    <t>26 al 1 de julio</t>
  </si>
  <si>
    <t>sabado</t>
  </si>
  <si>
    <t>AGUINALDO 1/2</t>
  </si>
  <si>
    <t>MILI</t>
  </si>
  <si>
    <t>3 al 8 de julio</t>
  </si>
  <si>
    <t>10 al 15 de julio</t>
  </si>
  <si>
    <t>AGUINALDO 2/2</t>
  </si>
  <si>
    <t>17 al 22 de julio</t>
  </si>
  <si>
    <t>24 al 29 de julio</t>
  </si>
  <si>
    <t>no vino en toda la semana</t>
  </si>
  <si>
    <t>Uthgra</t>
  </si>
  <si>
    <t>MELINA</t>
  </si>
  <si>
    <t>RODRI2</t>
  </si>
  <si>
    <t>AMIRA</t>
  </si>
  <si>
    <t>31 de julio al 5 de agosto</t>
  </si>
  <si>
    <t>MIE JUE 10 A 20</t>
  </si>
  <si>
    <t>feriado gastron</t>
  </si>
  <si>
    <t>VIE 15 A 20</t>
  </si>
  <si>
    <t>NO VINO VIERNES</t>
  </si>
  <si>
    <t>SAB 15 A 20</t>
  </si>
  <si>
    <t>RODRI 2</t>
  </si>
  <si>
    <t>7 de agosto al 12 de agosto</t>
  </si>
  <si>
    <t>extra</t>
  </si>
  <si>
    <t>14 de agosto al 19 de agosto</t>
  </si>
  <si>
    <t>21 de agosto al 26 de agosto</t>
  </si>
  <si>
    <t>no</t>
  </si>
  <si>
    <t>operacion</t>
  </si>
  <si>
    <t>28 de agosto al 2 de Septiembre</t>
  </si>
  <si>
    <t>4 al 9 de Septiembre</t>
  </si>
  <si>
    <t>BONO GOB</t>
  </si>
  <si>
    <t>opracion</t>
  </si>
  <si>
    <t>falta</t>
  </si>
  <si>
    <t>hs extra</t>
  </si>
  <si>
    <t>todo menos sueldo bas</t>
  </si>
  <si>
    <t>todo</t>
  </si>
  <si>
    <t>11 al 16 de Septiembre</t>
  </si>
  <si>
    <t>BONO GOB x transf</t>
  </si>
  <si>
    <t>18 al 23 de Septiembre</t>
  </si>
  <si>
    <t>25 al 30 de Septiembre</t>
  </si>
  <si>
    <t>adelantos</t>
  </si>
  <si>
    <t>GONZALO</t>
  </si>
  <si>
    <t>2 al 6 de OCTUBRE</t>
  </si>
  <si>
    <t>bono cuota 1 /2</t>
  </si>
  <si>
    <t>vacaciones</t>
  </si>
  <si>
    <t>8 al 14 de OCTUBRE</t>
  </si>
  <si>
    <t>bono</t>
  </si>
  <si>
    <t>feriado</t>
  </si>
  <si>
    <t>16 al 21 de OCTUBRE</t>
  </si>
  <si>
    <t>comida?</t>
  </si>
  <si>
    <t>bono cuota 2 /2</t>
  </si>
  <si>
    <t>23 al 28 de OCTUBRE</t>
  </si>
  <si>
    <t>comida</t>
  </si>
  <si>
    <t>FEDERICO</t>
  </si>
  <si>
    <t>30 OCT al 4 de NOVIEMBRE</t>
  </si>
  <si>
    <t>6 al 11 de NOVIEMBRE</t>
  </si>
  <si>
    <t>3 dias trabajados</t>
  </si>
  <si>
    <t>CRISTIAN</t>
  </si>
  <si>
    <t>FEDE PAGADO FALTA GONZALO</t>
  </si>
  <si>
    <t>no se pago entra en la liqui final</t>
  </si>
  <si>
    <t>13 al 18 de NOVIEMBRE</t>
  </si>
  <si>
    <t>20 al 25 de NOVIEMBRE</t>
  </si>
  <si>
    <t>CRIS C.</t>
  </si>
  <si>
    <t>27 al 2 de DICIEMBRE</t>
  </si>
  <si>
    <t>CRIS COC</t>
  </si>
  <si>
    <t>4 al 9 de DICIEMBRE</t>
  </si>
  <si>
    <t>NO VIENE</t>
  </si>
  <si>
    <t>8300 ya se pago</t>
  </si>
  <si>
    <t>11 al 16 de DICIEMBRE</t>
  </si>
  <si>
    <t>18 al 23 de DICIEMBRE</t>
  </si>
  <si>
    <t>pagado x transfer</t>
  </si>
  <si>
    <t>transf hernan mp</t>
  </si>
  <si>
    <t>eft</t>
  </si>
  <si>
    <t>ver aguinaldo</t>
  </si>
  <si>
    <t>26 al 30 de DICIEMBRE</t>
  </si>
  <si>
    <t>transferir aguinaldo</t>
  </si>
  <si>
    <t>transf</t>
  </si>
  <si>
    <t>transf mp</t>
  </si>
  <si>
    <t>transfer</t>
  </si>
  <si>
    <t>CRIS BARRA</t>
  </si>
  <si>
    <t>1 al 6 de ENERO</t>
  </si>
  <si>
    <t>transf aguinal</t>
  </si>
  <si>
    <t>8 al 13 de ENERO</t>
  </si>
  <si>
    <t>VACACCIONES</t>
  </si>
  <si>
    <t>15 al 22 de ENERO</t>
  </si>
  <si>
    <t>descontar 5000 en la sem prox</t>
  </si>
  <si>
    <t>24 al 27 de ENERO</t>
  </si>
  <si>
    <t>30000???</t>
  </si>
  <si>
    <t>Tranfer?</t>
  </si>
  <si>
    <t>falto 2 dias</t>
  </si>
  <si>
    <t>horas extra</t>
  </si>
  <si>
    <t>Ver Extras</t>
  </si>
  <si>
    <t>Mitad y mitad?</t>
  </si>
  <si>
    <t>TOTAL</t>
  </si>
  <si>
    <t>29 al 3 de FEBRERO</t>
  </si>
  <si>
    <t>FEBRERO suba de sueldos</t>
  </si>
  <si>
    <t>5 al 10 de FEBRERO</t>
  </si>
  <si>
    <t>consumiciones</t>
  </si>
  <si>
    <t>hernan le dio 20</t>
  </si>
  <si>
    <t>trasnf</t>
  </si>
  <si>
    <t>no se desc cons</t>
  </si>
  <si>
    <t>12 al 17 de FEBRERO</t>
  </si>
  <si>
    <t>19 al 24 de FEBRERO</t>
  </si>
  <si>
    <t>ok</t>
  </si>
  <si>
    <t>transf ok</t>
  </si>
  <si>
    <t>65?</t>
  </si>
  <si>
    <t>26 al 2 de MARZO</t>
  </si>
  <si>
    <t>75000 transfer</t>
  </si>
  <si>
    <t>45600 transfer</t>
  </si>
  <si>
    <t>18100 eft</t>
  </si>
  <si>
    <t>50000 eft</t>
  </si>
  <si>
    <t>4 al 9 de MARZO</t>
  </si>
  <si>
    <t>40000 ef</t>
  </si>
  <si>
    <t>42000 transfer</t>
  </si>
  <si>
    <t>11 al 16 de MARZO</t>
  </si>
  <si>
    <t>50 ef</t>
  </si>
  <si>
    <t>no se paga, va todo en la liq final</t>
  </si>
  <si>
    <t>65 ef</t>
  </si>
  <si>
    <t>50 lunes transf</t>
  </si>
  <si>
    <t>renuncia</t>
  </si>
  <si>
    <t>65 lu transf</t>
  </si>
  <si>
    <t>18 al 23 de MARZO</t>
  </si>
  <si>
    <t>25 al 30 de MARZO</t>
  </si>
  <si>
    <t>Eft</t>
  </si>
  <si>
    <t>SEBA</t>
  </si>
  <si>
    <t>1 al 6 de ABRIL</t>
  </si>
  <si>
    <t>8 al 13 de ABRIL</t>
  </si>
  <si>
    <t>ef</t>
  </si>
  <si>
    <t>15 al 20 de ABRIL</t>
  </si>
  <si>
    <t>22 al 27 de ABRIL</t>
  </si>
  <si>
    <t>29 DE ABRIL al 4 de MAYO</t>
  </si>
  <si>
    <t>6 de Mayo al 11 de MAYO</t>
  </si>
  <si>
    <t>transfer 59400</t>
  </si>
  <si>
    <t>efectivo 50000</t>
  </si>
  <si>
    <t>13 al 18 de MAYO</t>
  </si>
  <si>
    <t>50 transfer</t>
  </si>
  <si>
    <t>60 transfer</t>
  </si>
  <si>
    <t>50000 transfer</t>
  </si>
  <si>
    <t>55 ef</t>
  </si>
  <si>
    <t>60 ef</t>
  </si>
  <si>
    <t>52500 ef</t>
  </si>
  <si>
    <t>20 al 25 de MAYO</t>
  </si>
  <si>
    <t>YESICA</t>
  </si>
  <si>
    <t>27 de Mayo al 1 de junio</t>
  </si>
  <si>
    <t>Transf</t>
  </si>
  <si>
    <t>se pago 20k en ef</t>
  </si>
  <si>
    <t>CAMILA</t>
  </si>
  <si>
    <t>3 de JUNIO al 8 de junio</t>
  </si>
  <si>
    <t>10 de JUNIO al 15 de junio</t>
  </si>
  <si>
    <t>17 de JUNIO al 22 de junio</t>
  </si>
  <si>
    <t>24 de JUNIO al 29 de junio</t>
  </si>
  <si>
    <t>*</t>
  </si>
  <si>
    <t>1 a 6 de JULIO</t>
  </si>
  <si>
    <t>aguinaldo proporcional</t>
  </si>
  <si>
    <t>8 a 13 de JULIO</t>
  </si>
  <si>
    <t>15 a 20 de JULIO</t>
  </si>
  <si>
    <t>pilar?</t>
  </si>
  <si>
    <t>falta transfer</t>
  </si>
  <si>
    <t>valor hora</t>
  </si>
  <si>
    <t>22 a 27 de JULIO</t>
  </si>
  <si>
    <t>29 a 3 de AGOSTO</t>
  </si>
  <si>
    <t>IRENE</t>
  </si>
  <si>
    <t>VALOR HORA</t>
  </si>
  <si>
    <t>5 a 10 de AGOSTO</t>
  </si>
  <si>
    <t>12 a 18 de AGOSTO</t>
  </si>
  <si>
    <t>domingo 25% extra</t>
  </si>
  <si>
    <t>semana ausente</t>
  </si>
  <si>
    <t>19 a 24 de AGOSTO</t>
  </si>
  <si>
    <t>26 a 31 de AGOSTO</t>
  </si>
  <si>
    <t>dias AUSENTES</t>
  </si>
  <si>
    <t>SEBASTIAN</t>
  </si>
  <si>
    <t>1 a 8 de SEPTIEMBRE</t>
  </si>
  <si>
    <t>x mp</t>
  </si>
  <si>
    <t>9 a 15 de SEPTIEMBRE</t>
  </si>
  <si>
    <t>lu y mie ausente</t>
  </si>
  <si>
    <t>pagado 18/9</t>
  </si>
  <si>
    <t>ausente x viaje</t>
  </si>
  <si>
    <t>16 a 22 de SEPTIEMBRE</t>
  </si>
  <si>
    <t>AGUSTIN</t>
  </si>
  <si>
    <t>mie ausente</t>
  </si>
  <si>
    <t>23 a 29 de SEPTIEMBRE</t>
  </si>
  <si>
    <t>2100 hora</t>
  </si>
  <si>
    <t>falta una parte</t>
  </si>
  <si>
    <t>1 FABRICIO</t>
  </si>
  <si>
    <t>2 RODRI</t>
  </si>
  <si>
    <t>3 LUCHO</t>
  </si>
  <si>
    <t>4 LEONEL</t>
  </si>
  <si>
    <t>5 MARY</t>
  </si>
  <si>
    <t>6 CRISTIAN</t>
  </si>
  <si>
    <t>7 IRENE</t>
  </si>
  <si>
    <t>8 MARIANA</t>
  </si>
  <si>
    <t>9 KAREN</t>
  </si>
  <si>
    <t>10 SEBASTIAN</t>
  </si>
  <si>
    <t>11 AGUSTIN</t>
  </si>
  <si>
    <t>TOTAL MENSUAL</t>
  </si>
  <si>
    <t>Proyeccion DIC</t>
  </si>
  <si>
    <t>entro en agosto</t>
  </si>
  <si>
    <t>entro en junio</t>
  </si>
  <si>
    <t>entro fin agosto</t>
  </si>
  <si>
    <t>entro 1/2 sep</t>
  </si>
  <si>
    <t>sueldos + aguinaldos</t>
  </si>
  <si>
    <t>30 a 6 de OCTUBRE</t>
  </si>
  <si>
    <t>7 a 13 de OCTUBRE</t>
  </si>
  <si>
    <t>6hs vie y 1 dom</t>
  </si>
  <si>
    <t>14 a 20 de OCTUBRE</t>
  </si>
  <si>
    <t>Consumos</t>
  </si>
  <si>
    <t>puso hernan y ya quedo compensado</t>
  </si>
  <si>
    <t>21 a 27 de OCTUBRE</t>
  </si>
  <si>
    <t>transf galicia</t>
  </si>
  <si>
    <t>28 a 3 de NOVIEMBRE</t>
  </si>
  <si>
    <t>EF</t>
  </si>
  <si>
    <t>transfer galicia</t>
  </si>
  <si>
    <t>4 a 9 de NOVIEMBRE</t>
  </si>
  <si>
    <t>10 a 17 de NOVIEMBRE</t>
  </si>
  <si>
    <t>18 a 24 de NOVIEMBRE</t>
  </si>
  <si>
    <t xml:space="preserve">trsnf mp </t>
  </si>
  <si>
    <t>ultima semana</t>
  </si>
  <si>
    <t>25 a 30 de NOVIEMBRE</t>
  </si>
  <si>
    <t>Ef</t>
  </si>
  <si>
    <t>1 a 7 de DICIEMBRE</t>
  </si>
  <si>
    <t>8 a 14 de DICIEMBRE</t>
  </si>
  <si>
    <t>TRANSFER/EF</t>
  </si>
  <si>
    <t>solo 1/2 aguinaldo</t>
  </si>
  <si>
    <t>16 a 21 de DICIEMBRE</t>
  </si>
  <si>
    <t>23 al 28 de DICIEMBRE</t>
  </si>
  <si>
    <t>Pagado 24/12</t>
  </si>
  <si>
    <t>29 al 4 de ENERO</t>
  </si>
  <si>
    <t xml:space="preserve">     </t>
  </si>
  <si>
    <t>CHRIS</t>
  </si>
  <si>
    <t>PRISCILA</t>
  </si>
  <si>
    <t>6 al 11 ENERO</t>
  </si>
  <si>
    <t>13 al 18 ENERO</t>
  </si>
  <si>
    <t>TRANSFER 400</t>
  </si>
  <si>
    <t>EF 100</t>
  </si>
  <si>
    <t>vino lu y ma</t>
  </si>
  <si>
    <t>EF 200</t>
  </si>
  <si>
    <t>TRANSFER 50</t>
  </si>
  <si>
    <t>19 al 25 ENERO</t>
  </si>
  <si>
    <t>27 al 1 FEBRERO</t>
  </si>
  <si>
    <t>3 al 8 FEBRERO</t>
  </si>
  <si>
    <t>133 transfer</t>
  </si>
  <si>
    <t>falta pagar</t>
  </si>
  <si>
    <t>100 ef</t>
  </si>
  <si>
    <t>10 al 15 FEBRERO</t>
  </si>
  <si>
    <t>17 al 22 FEBRERO</t>
  </si>
  <si>
    <t>24 de febrero al 1 marzo</t>
  </si>
  <si>
    <t>ausentes</t>
  </si>
  <si>
    <t>3 al 8 de MARZO</t>
  </si>
  <si>
    <t>FERIADO 3-4</t>
  </si>
  <si>
    <t>10 al 15 de MARZO</t>
  </si>
  <si>
    <t>pagado</t>
  </si>
  <si>
    <t>fallecio</t>
  </si>
  <si>
    <t>17 al 23 de MARZO</t>
  </si>
  <si>
    <t>DOMINGO</t>
  </si>
  <si>
    <t>1hs extra mierc</t>
  </si>
  <si>
    <t>12hs extra no se tomo franco</t>
  </si>
  <si>
    <t>24 al 30 de MARZO</t>
  </si>
  <si>
    <t>cuota 1/4</t>
  </si>
  <si>
    <t>31 Marzo al 6 de Abril</t>
  </si>
  <si>
    <t>cuota 2/4</t>
  </si>
  <si>
    <t>7 al 13 de Abril</t>
  </si>
  <si>
    <t>cuota 3/4</t>
  </si>
  <si>
    <t>14 al 20 de Abril</t>
  </si>
  <si>
    <t>ultima cuota</t>
  </si>
  <si>
    <t>21 al 27 de Abril</t>
  </si>
  <si>
    <t>28 Abril al 4 Mayo</t>
  </si>
  <si>
    <t>5 al 11 Mayo</t>
  </si>
  <si>
    <t>CAMI</t>
  </si>
  <si>
    <t>1 dia ausente</t>
  </si>
  <si>
    <t>12 al 18 Mayo</t>
  </si>
  <si>
    <t>F 16/5</t>
  </si>
  <si>
    <t>2 dias ausente</t>
  </si>
  <si>
    <t>19 al 25 Mayo</t>
  </si>
  <si>
    <t>26 al 1 JUNIO</t>
  </si>
  <si>
    <t>2 al 8 JUNIO</t>
  </si>
  <si>
    <t>sale de sab</t>
  </si>
  <si>
    <t>tranfer</t>
  </si>
  <si>
    <t>9 al 15 JUNIO</t>
  </si>
  <si>
    <t>Trans</t>
  </si>
  <si>
    <t>Efe</t>
  </si>
  <si>
    <t>16 al 22 JUNIO</t>
  </si>
  <si>
    <t>FERIADO lunes</t>
  </si>
  <si>
    <t>hors?</t>
  </si>
  <si>
    <t>FERIADO viernes</t>
  </si>
  <si>
    <t>o</t>
  </si>
  <si>
    <t>23 al 29 JUNIO</t>
  </si>
  <si>
    <t>solo vino dom y lu</t>
  </si>
  <si>
    <t>30 junio al 6 de julio</t>
  </si>
  <si>
    <t>EFT</t>
  </si>
  <si>
    <t>TRF</t>
  </si>
  <si>
    <t>7 al 13 de julio</t>
  </si>
  <si>
    <t>MATILDA</t>
  </si>
  <si>
    <t>14 al 20 de julio</t>
  </si>
  <si>
    <t>trf</t>
  </si>
  <si>
    <t>21 al 27 de julio</t>
  </si>
  <si>
    <t>28 de julio al 3 de Agosto</t>
  </si>
  <si>
    <t>trf+eft</t>
  </si>
  <si>
    <t>TOTAL real mensual</t>
  </si>
  <si>
    <t>TOTAL SUELDOS JULIO</t>
  </si>
  <si>
    <t>4 al 10 de Agosto</t>
  </si>
  <si>
    <t>11 al 17 de Agosto</t>
  </si>
  <si>
    <t>proporcional aguinaldo</t>
  </si>
  <si>
    <t>18 al 24 de Agosto</t>
  </si>
  <si>
    <t>liquidacion 1/3</t>
  </si>
  <si>
    <t>25 al 31 de Agosto</t>
  </si>
  <si>
    <t>liquidacion 2/3</t>
  </si>
  <si>
    <t>entregado</t>
  </si>
  <si>
    <t>sobre</t>
  </si>
  <si>
    <t>1 AL 7 SEPTIEMBRE</t>
  </si>
  <si>
    <t>liquidacion 3/3</t>
  </si>
  <si>
    <t>plan de achique</t>
  </si>
  <si>
    <t>dif semanal</t>
  </si>
  <si>
    <t>dif mensual</t>
  </si>
  <si>
    <t>8 AL 14 SEPTIEMBRE</t>
  </si>
  <si>
    <t>se lo dio hernan el 10/9</t>
  </si>
  <si>
    <t>15 AL 21 SEPTIEMBRE</t>
  </si>
  <si>
    <t>22 AL 28 SEPTIEMBRE</t>
  </si>
  <si>
    <t>29 DE SEP AL 5 OCTUBRE</t>
  </si>
  <si>
    <t>6 AL 12 OCTUBRE</t>
  </si>
  <si>
    <t>230?</t>
  </si>
  <si>
    <t>EFT 270</t>
  </si>
  <si>
    <t>270 VACAS EL 27/10</t>
  </si>
  <si>
    <t>23 AL 26 OCTUBRE</t>
  </si>
  <si>
    <t>27 AL 2 NOVIEMBRE</t>
  </si>
  <si>
    <t>MILO</t>
  </si>
  <si>
    <t>3 AL 9 NOVIEMBRE</t>
  </si>
  <si>
    <t>EFE</t>
  </si>
  <si>
    <t>TRA</t>
  </si>
  <si>
    <t>10 AL 16 NOVIEMBRE</t>
  </si>
  <si>
    <t>ENTREGADO</t>
  </si>
  <si>
    <t>17 AL 23 NOVIEMBRE</t>
  </si>
  <si>
    <t>OK</t>
  </si>
  <si>
    <t>24 al 30 NOVIEMBRE</t>
  </si>
  <si>
    <t>DEBE 4 HS EXTRA</t>
  </si>
  <si>
    <t>diciembre</t>
  </si>
  <si>
    <t>1 al 7 DICIEMBRE</t>
  </si>
  <si>
    <t>8 al 14 DICIEMBRE</t>
  </si>
  <si>
    <t>15 al 21 DICIEMBRE</t>
  </si>
  <si>
    <t>22 al 28 DICIEMBRE</t>
  </si>
  <si>
    <t>trf aguinaldo</t>
  </si>
  <si>
    <t>29 de DICIEMBRE al 4 de ENERO</t>
  </si>
  <si>
    <t xml:space="preserve">trf </t>
  </si>
  <si>
    <t>cierre z 29/12</t>
  </si>
  <si>
    <t>5 al11 enero</t>
  </si>
  <si>
    <t>Adelantos</t>
  </si>
  <si>
    <t>ADEL 8/1</t>
  </si>
  <si>
    <t>12 al 18 enero</t>
  </si>
  <si>
    <t>19 al 26 enero</t>
  </si>
  <si>
    <t>27 al 31 enero</t>
  </si>
  <si>
    <t>2 al 7 Febrero</t>
  </si>
  <si>
    <t>se pago el 4/2</t>
  </si>
  <si>
    <t>8 al 14 Febrero</t>
  </si>
  <si>
    <t>se lo di a leo</t>
  </si>
  <si>
    <t>15 al 21 Febrero</t>
  </si>
  <si>
    <t>24/02/2026 trf</t>
  </si>
  <si>
    <t>pendiente extras</t>
  </si>
  <si>
    <t>22 al 28 Febrero</t>
  </si>
  <si>
    <t>se adeuda</t>
  </si>
  <si>
    <t>crematto? aguinaldo ? pago de la semana?</t>
  </si>
  <si>
    <t>se pagó 3/3 cuota1/4</t>
  </si>
  <si>
    <t>hace 8hs ahora</t>
  </si>
  <si>
    <t>2 al 7 Marzo</t>
  </si>
  <si>
    <t>adeudado</t>
  </si>
  <si>
    <t>ya se pagó el 3/3</t>
  </si>
  <si>
    <t>se pago vac adeud</t>
  </si>
  <si>
    <t>el 6/03/2026</t>
  </si>
  <si>
    <t>ya no vino mas</t>
  </si>
  <si>
    <t>8 al 14 Marzo</t>
  </si>
  <si>
    <t>16 al 21 Marzo</t>
  </si>
  <si>
    <t>cuota 1/8</t>
  </si>
  <si>
    <t xml:space="preserve">se pagó 17/3 </t>
  </si>
  <si>
    <t>resta180</t>
  </si>
  <si>
    <t xml:space="preserve">Pagado </t>
  </si>
  <si>
    <t>23 al 28 Marzo</t>
  </si>
  <si>
    <t>FERIADO 24/3</t>
  </si>
  <si>
    <t>cuota 2/8</t>
  </si>
  <si>
    <t>cuota 4/4</t>
  </si>
  <si>
    <t xml:space="preserve">se pagó 25/3 </t>
  </si>
  <si>
    <t>30/3 al 4/4</t>
  </si>
  <si>
    <t>FERIADO 3/4</t>
  </si>
  <si>
    <t>FERIADO 2/4</t>
  </si>
  <si>
    <t>cuota 3/8</t>
  </si>
  <si>
    <t xml:space="preserve">se pagó 30/3 </t>
  </si>
  <si>
    <t>6 al 11 Abril</t>
  </si>
  <si>
    <t>FERIADO de sem santa</t>
  </si>
  <si>
    <t>cuota 4/8</t>
  </si>
  <si>
    <t>se pagó 7/4</t>
  </si>
  <si>
    <t>13 al 18 Abril</t>
  </si>
  <si>
    <t>cuota 5/8</t>
  </si>
  <si>
    <t>se pagó 15/4</t>
  </si>
  <si>
    <t>20 al 25 Abril</t>
  </si>
  <si>
    <t>cuota 6/8</t>
  </si>
  <si>
    <t>No se pago</t>
  </si>
  <si>
    <t>27 al 02/05</t>
  </si>
  <si>
    <t>Se pago por trf</t>
  </si>
  <si>
    <t>4 al 09/05</t>
  </si>
  <si>
    <t>HORARIOS</t>
  </si>
  <si>
    <t xml:space="preserve">LUNES </t>
  </si>
  <si>
    <t xml:space="preserve">MARTES </t>
  </si>
  <si>
    <t xml:space="preserve">MIERCOLES </t>
  </si>
  <si>
    <t xml:space="preserve">JUEVES </t>
  </si>
  <si>
    <t>VIERNES</t>
  </si>
  <si>
    <t xml:space="preserve">SABADO </t>
  </si>
  <si>
    <t>L</t>
  </si>
  <si>
    <t>X</t>
  </si>
  <si>
    <t>HRS</t>
  </si>
  <si>
    <t>8/15</t>
  </si>
  <si>
    <t>8/20</t>
  </si>
  <si>
    <t>13/20</t>
  </si>
  <si>
    <t>FRANCO</t>
  </si>
  <si>
    <t xml:space="preserve">CAMBIOS </t>
  </si>
  <si>
    <t>JUAN X KELLY</t>
  </si>
  <si>
    <t xml:space="preserve">X </t>
  </si>
  <si>
    <t>CAMBIOS</t>
  </si>
  <si>
    <t>8/16</t>
  </si>
  <si>
    <t>13/19</t>
  </si>
  <si>
    <t>1 AL 6</t>
  </si>
  <si>
    <t>8 AL 14</t>
  </si>
  <si>
    <t>15 AL 20</t>
  </si>
  <si>
    <t>22 AL 28</t>
  </si>
  <si>
    <t>1/40</t>
  </si>
  <si>
    <t>2/40</t>
  </si>
  <si>
    <t>29 AL4</t>
  </si>
  <si>
    <t>6 AL 11</t>
  </si>
  <si>
    <t>13 AL 18</t>
  </si>
  <si>
    <t>20 AL 25</t>
  </si>
  <si>
    <t>27 AL 31</t>
  </si>
  <si>
    <t>feriado 8/12</t>
  </si>
  <si>
    <t>3/40</t>
  </si>
  <si>
    <t>4/40</t>
  </si>
  <si>
    <t>5/40</t>
  </si>
  <si>
    <t>6/40</t>
  </si>
  <si>
    <t>7/40</t>
  </si>
  <si>
    <t>AGUINALDO 2021</t>
  </si>
  <si>
    <t>20 AL 24</t>
  </si>
  <si>
    <t>27 AL 30</t>
  </si>
  <si>
    <t>500 Adelanto</t>
  </si>
  <si>
    <t>En cambio, aquellos que no hayan trabajado durante la totalidad de los seis meses comprendidos al aguinaldo recibirán un monto proporcional, que se puede calcular según la siguiente fórmula:</t>
  </si>
  <si>
    <t>Tomar el tiempo real trabajado durante el semestre, multiplicarlo por la mitad del mejor salario recibido y, a este número, dividirlo por seis.</t>
  </si>
  <si>
    <t xml:space="preserve">           VACACIONES COCINA</t>
  </si>
  <si>
    <t>3 AL 17 ENERO</t>
  </si>
  <si>
    <t>17 AL 24 ENERO</t>
  </si>
  <si>
    <t>FABRI</t>
  </si>
  <si>
    <t>24 AL 31 ENERO</t>
  </si>
  <si>
    <t>31 AL 14 FEBRERO</t>
  </si>
  <si>
    <t xml:space="preserve">           VACACIONES BARRA</t>
  </si>
  <si>
    <t>3 AL 10 ENERO</t>
  </si>
  <si>
    <t>28DIC/4ENE</t>
  </si>
  <si>
    <t>5ENE/11ENE</t>
  </si>
  <si>
    <t>12ENE/18ENE</t>
  </si>
  <si>
    <t>19ENE/25ENE</t>
  </si>
  <si>
    <t>26ENE/1FEB</t>
  </si>
  <si>
    <t>FEBRERO (AUMENTO 15%)</t>
  </si>
  <si>
    <t>2FEB/8FEB</t>
  </si>
  <si>
    <t>9FEB/15FEB</t>
  </si>
  <si>
    <t>16FEB/22FEB</t>
  </si>
  <si>
    <t>23FEB/29FEB</t>
  </si>
  <si>
    <t>MARZO (AUMENTO 5%)</t>
  </si>
  <si>
    <t>1MAR/7MAR</t>
  </si>
  <si>
    <t>8MAR/14MAR</t>
  </si>
  <si>
    <t>15MAR/21MAR</t>
  </si>
  <si>
    <t>22MAR/28MAR</t>
  </si>
  <si>
    <t>29MAR/4ABRIL</t>
  </si>
  <si>
    <t>5ABR/11ABR</t>
  </si>
  <si>
    <t>12ABR/18ABR</t>
  </si>
  <si>
    <t>19ABR/25ABR</t>
  </si>
  <si>
    <t>26ABR/2MAY</t>
  </si>
  <si>
    <t xml:space="preserve">MAYO  </t>
  </si>
  <si>
    <t>3 MAY/9MAY</t>
  </si>
  <si>
    <t>10MAY/16MAY</t>
  </si>
  <si>
    <t>17MAY/23MAY</t>
  </si>
  <si>
    <t>24MAY/30MAY</t>
  </si>
  <si>
    <t>31 MAY/6 JUNIO</t>
  </si>
  <si>
    <t>7JUN/13JUN</t>
  </si>
  <si>
    <t>14JUN/20JUN</t>
  </si>
  <si>
    <t>21JUN/27JUN</t>
  </si>
  <si>
    <t>28JUN/4JUL</t>
  </si>
  <si>
    <t>JULIO (AGUINALDO)</t>
  </si>
  <si>
    <t>5JUL/11 JUL</t>
  </si>
  <si>
    <t>12JUL/18JUL</t>
  </si>
  <si>
    <t>19JUL/25JUL</t>
  </si>
  <si>
    <t>26JUL/1 AGO</t>
  </si>
  <si>
    <t xml:space="preserve">AGUINALDO </t>
  </si>
  <si>
    <t>3 - 9 /08</t>
  </si>
  <si>
    <t>10 - 16 /08</t>
  </si>
  <si>
    <t>17 - 23 /08</t>
  </si>
  <si>
    <t>24 - 30/08</t>
  </si>
  <si>
    <t>30-5/09</t>
  </si>
  <si>
    <t>6-12/09</t>
  </si>
  <si>
    <t>13-19/09</t>
  </si>
  <si>
    <t>20-26/09</t>
  </si>
  <si>
    <t>27-3/10</t>
  </si>
  <si>
    <t>4-10/10</t>
  </si>
  <si>
    <t>11-17/10</t>
  </si>
  <si>
    <t>18-24/10</t>
  </si>
  <si>
    <t>25-31/10</t>
  </si>
  <si>
    <t>9-15</t>
  </si>
  <si>
    <t>16-22</t>
  </si>
  <si>
    <t>23-29</t>
  </si>
  <si>
    <t>7-13</t>
  </si>
  <si>
    <t>14-20</t>
  </si>
  <si>
    <t>21-27</t>
  </si>
  <si>
    <t>7-13 + AGUINALDO</t>
  </si>
  <si>
    <t>14-20 + AGUINALDO</t>
  </si>
  <si>
    <t>21-27 + AGUINALDO</t>
  </si>
  <si>
    <t>TOTAL MES</t>
  </si>
  <si>
    <t>14-2o</t>
  </si>
  <si>
    <t>EXTRA ANSES</t>
  </si>
  <si>
    <t>SALON</t>
  </si>
  <si>
    <t>APERTURA  Y CIERRE</t>
  </si>
  <si>
    <t>LIMPIAR SALON  ( BARRER, PASAR TRAPO CON DESODORANTE, LIMPIAR MESAS</t>
  </si>
  <si>
    <t>REPONER  FACTURAS</t>
  </si>
  <si>
    <t xml:space="preserve">MANTENER 3 ALFAJORES </t>
  </si>
  <si>
    <t xml:space="preserve">ACEITE DE MAIZ </t>
  </si>
  <si>
    <t>REVISA A DIARIO</t>
  </si>
  <si>
    <t xml:space="preserve">REPONER MUFF UNO DE CADA SABOR </t>
  </si>
  <si>
    <t xml:space="preserve">VINAGRE </t>
  </si>
  <si>
    <t>(DEJAR 2 DE CADA SABOR ADICIONAL EN HELADERA)</t>
  </si>
  <si>
    <t xml:space="preserve">SAL </t>
  </si>
  <si>
    <t>REPONER DE A 6 TRIANGULOS DE DDL Y NUEZ</t>
  </si>
  <si>
    <t>REPONER POSTRES</t>
  </si>
  <si>
    <t xml:space="preserve">MAYONESA </t>
  </si>
  <si>
    <t>8 MOUSE</t>
  </si>
  <si>
    <t>KETCHUP</t>
  </si>
  <si>
    <t xml:space="preserve">6 TRIFLE </t>
  </si>
  <si>
    <t>MOSTAZA</t>
  </si>
  <si>
    <t xml:space="preserve">2 CHOCOTORTA </t>
  </si>
  <si>
    <t>MEDIA TORTA OREO ( CUANDO QUEDE UNA PORCION)</t>
  </si>
  <si>
    <t>AZUCAREROS</t>
  </si>
  <si>
    <t xml:space="preserve">LEMON PIE </t>
  </si>
  <si>
    <t xml:space="preserve">SERVILLETEROS </t>
  </si>
  <si>
    <t xml:space="preserve">BUDIN DE ZANAHORIA </t>
  </si>
  <si>
    <t xml:space="preserve">MEDIO BUDIN DE LIMON </t>
  </si>
  <si>
    <t xml:space="preserve">2 APPLE CRUMBLE </t>
  </si>
  <si>
    <t>SCONES (CUANDO QUEDEN 3 PEDIR A COCINA )</t>
  </si>
  <si>
    <t>BARRA</t>
  </si>
  <si>
    <t>MANTENER MOLINO LLENO O A LA MITAD</t>
  </si>
  <si>
    <t>MANTENER 2 JARRAS DE JUGO</t>
  </si>
  <si>
    <t>MANTENER AGUA SIEMPRE</t>
  </si>
  <si>
    <t xml:space="preserve">PEDIR PAN BLANCO Y NEGRO </t>
  </si>
  <si>
    <t>HACER COLD BREW ( PREGUNTAR A LAU SI HACEN PARA HERNAN)</t>
  </si>
  <si>
    <t xml:space="preserve">CADA 3 LITROS DE AGUA * 250 CAFE </t>
  </si>
  <si>
    <t xml:space="preserve">LIMPIAR SYRUPS CON AGUA CALIENTE </t>
  </si>
  <si>
    <t>LIMPIAR HELADERA</t>
  </si>
  <si>
    <t xml:space="preserve">LIMPIAR VIDRIOS </t>
  </si>
  <si>
    <t>LIMPIAR MAQUINA ( REVISAR BIEN LAS LANZETAS)</t>
  </si>
  <si>
    <t>NOTA</t>
  </si>
  <si>
    <t>LUNES SUBIR LA PLACA DE BROWNIE PARA PORCIONAR (7*9 CM)</t>
  </si>
  <si>
    <t xml:space="preserve">JUEVES  A LA NOCHE NO REPONER HELADERA DE POSTRES </t>
  </si>
  <si>
    <t xml:space="preserve">VIERNES A LA NOCHE VACIAR HELADERA DE POSTRES/ DEJAR APAGADA </t>
  </si>
  <si>
    <t xml:space="preserve">VIERNES GUARDAR TODO LOS POSTRES DEL MOSTRADOR </t>
  </si>
  <si>
    <t>LUNES</t>
  </si>
  <si>
    <t>MARTES</t>
  </si>
  <si>
    <t>MIÉRCOLES</t>
  </si>
  <si>
    <t>JUEVES</t>
  </si>
  <si>
    <t>SÁBADO</t>
  </si>
  <si>
    <t>PAGOS</t>
  </si>
  <si>
    <t>MES</t>
  </si>
  <si>
    <t>SUELDOS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</si>
</sst>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 $]#,##0"/>
    <numFmt numFmtId="165" formatCode="d-m"/>
    <numFmt numFmtId="166" formatCode="d.m"/>
    <numFmt numFmtId="167" formatCode="mmmm yyyy"/>
    <numFmt numFmtId="168" formatCode="0.0"/>
    <numFmt numFmtId="169" formatCode="dd/mm/yy"/>
    <numFmt numFmtId="170" formatCode="[$ $]#,##0.00"/>
  </numFmts>
  <fonts count="57">
    <font>
      <sz val="11.0"/>
      <color rgb="FF000000"/>
      <name val="Calibri"/>
    </font>
    <font>
      <b/>
      <sz val="14.0"/>
      <name val="Architects Daughter"/>
    </font>
    <font/>
    <font>
      <sz val="12.0"/>
      <name val="Architects Daughter"/>
    </font>
    <font>
      <b/>
      <sz val="11.0"/>
      <color rgb="FF999999"/>
      <name val="Arial"/>
    </font>
    <font>
      <sz val="11.0"/>
      <color rgb="FFB7B7B7"/>
      <name val="Arial"/>
    </font>
    <font>
      <b/>
      <name val="Arial"/>
    </font>
    <font>
      <b/>
      <sz val="12.0"/>
      <name val="Architects Daughter"/>
    </font>
    <font>
      <sz val="11.0"/>
      <name val="Arial"/>
    </font>
    <font>
      <name val="Architects Daughter"/>
    </font>
    <font>
      <name val="Arial"/>
    </font>
    <font>
      <b/>
      <sz val="14.0"/>
      <name val="Nunito"/>
    </font>
    <font>
      <b/>
      <sz val="12.0"/>
      <name val="Nunito"/>
    </font>
    <font>
      <b/>
      <sz val="11.0"/>
      <color rgb="FFFF9900"/>
      <name val="Arial"/>
    </font>
    <font>
      <b/>
      <sz val="11.0"/>
      <name val="Arial"/>
    </font>
    <font>
      <sz val="11.0"/>
      <name val="Nunito"/>
    </font>
    <font>
      <b/>
      <sz val="10.0"/>
      <name val="Nunito"/>
    </font>
    <font>
      <b/>
    </font>
    <font>
      <sz val="11.0"/>
      <name val="Calibri"/>
    </font>
    <font>
      <b/>
      <sz val="11.0"/>
      <name val="Calibri"/>
    </font>
    <font>
      <b/>
      <name val="Nunito"/>
    </font>
    <font>
      <sz val="12.0"/>
      <name val="Nunito"/>
    </font>
    <font>
      <b/>
      <sz val="11.0"/>
      <name val="Nunito"/>
    </font>
    <font>
      <b/>
      <sz val="9.0"/>
      <name val="Nunito"/>
    </font>
    <font>
      <b/>
      <sz val="8.0"/>
      <name val="Nunito"/>
    </font>
    <font>
      <sz val="10.0"/>
    </font>
    <font>
      <b/>
      <sz val="13.0"/>
      <name val="Nunito"/>
    </font>
    <font>
      <sz val="13.0"/>
      <name val="Nunito"/>
    </font>
    <font>
      <b/>
      <sz val="9.0"/>
      <name val="Arial"/>
    </font>
    <font>
      <sz val="9.0"/>
    </font>
    <font>
      <sz val="11.0"/>
    </font>
    <font>
      <b/>
      <sz val="6.0"/>
      <name val="Nunito"/>
    </font>
    <font>
      <sz val="9.0"/>
      <name val="Nunito"/>
    </font>
    <font>
      <b/>
      <sz val="7.0"/>
      <name val="Nunito"/>
    </font>
    <font>
      <b/>
      <sz val="10.0"/>
      <name val="Architects Daughter"/>
    </font>
    <font>
      <sz val="10.0"/>
      <name val="Architects Daughter"/>
    </font>
    <font>
      <b/>
      <sz val="6.0"/>
      <name val="Architects Daughter"/>
    </font>
    <font>
      <sz val="6.0"/>
      <name val="Architects Daughter"/>
    </font>
    <font>
      <sz val="6.0"/>
    </font>
    <font>
      <b/>
      <sz val="8.0"/>
      <name val="Architects Daughter"/>
    </font>
    <font>
      <sz val="8.0"/>
      <name val="Architects Daughter"/>
    </font>
    <font>
      <sz val="10.0"/>
      <color rgb="FF000000"/>
      <name val="Architects Daughter"/>
    </font>
    <font>
      <b/>
      <sz val="14.0"/>
      <name val="Inherit"/>
    </font>
    <font>
      <name val="Inherit"/>
    </font>
    <font>
      <b/>
      <sz val="24.0"/>
      <name val="Architects Daughter"/>
    </font>
    <font>
      <b/>
      <i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color rgb="FF000000"/>
      <name val="Arial"/>
    </font>
    <font>
      <sz val="12.0"/>
      <name val="Arial"/>
    </font>
    <font>
      <b/>
      <color rgb="FFCCCCCC"/>
      <name val="Arial"/>
    </font>
    <font>
      <sz val="12.0"/>
      <color rgb="FFD9D9D9"/>
      <name val="Architects Daughter"/>
    </font>
    <font>
      <sz val="11.0"/>
      <color rgb="FFD9D9D9"/>
      <name val="Arial"/>
    </font>
    <font>
      <sz val="18.0"/>
    </font>
    <font>
      <sz val="12.0"/>
    </font>
    <font>
      <b/>
      <sz val="12.0"/>
      <color rgb="FF666666"/>
      <name val="Architects Daughter"/>
    </font>
    <font>
      <b/>
      <name val="Architects Daughter"/>
    </font>
  </fonts>
  <fills count="26">
    <fill>
      <patternFill patternType="none"/>
    </fill>
    <fill>
      <patternFill patternType="lightGray"/>
    </fill>
    <fill>
      <patternFill patternType="solid">
        <fgColor rgb="FF9CFFF9"/>
        <bgColor rgb="FF9CFFF9"/>
      </patternFill>
    </fill>
    <fill>
      <patternFill patternType="solid">
        <fgColor rgb="FFF5FF9D"/>
        <bgColor rgb="FFF5FF9D"/>
      </patternFill>
    </fill>
    <fill>
      <patternFill patternType="solid">
        <fgColor rgb="FFC8FCB6"/>
        <bgColor rgb="FFC8FCB6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9AE977"/>
        <bgColor rgb="FF9AE977"/>
      </patternFill>
    </fill>
    <fill>
      <patternFill patternType="solid">
        <fgColor rgb="FFCFE2F3"/>
        <bgColor rgb="FFCFE2F3"/>
      </patternFill>
    </fill>
    <fill>
      <patternFill patternType="solid">
        <fgColor rgb="FFF7F79E"/>
        <bgColor rgb="FFF7F79E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FF9CD4"/>
        <bgColor rgb="FFFF9CD4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93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medium">
        <color rgb="FFCCCCCC"/>
      </bottom>
    </border>
    <border>
      <right style="thin">
        <color rgb="FF000000"/>
      </right>
      <top style="thin">
        <color rgb="FF000000"/>
      </top>
      <bottom style="medium">
        <color rgb="FFCCCCCC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medium">
        <color rgb="FFCCCCCC"/>
      </bottom>
    </border>
    <border>
      <right style="thin">
        <color rgb="FF000000"/>
      </right>
      <bottom style="medium">
        <color rgb="FFCCCCCC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FF00FF"/>
      </left>
      <top style="medium">
        <color rgb="FFFF00FF"/>
      </top>
    </border>
    <border>
      <top style="medium">
        <color rgb="FFFF00FF"/>
      </top>
    </border>
    <border>
      <right style="medium">
        <color rgb="FFFF00FF"/>
      </right>
      <top style="medium">
        <color rgb="FFFF00FF"/>
      </top>
    </border>
    <border>
      <right style="medium">
        <color rgb="FFFF00FF"/>
      </right>
    </border>
    <border>
      <left style="thick">
        <color rgb="FF6AA84F"/>
      </left>
      <right style="thick">
        <color rgb="FF6AA84F"/>
      </right>
      <top style="thick">
        <color rgb="FF6AA84F"/>
      </top>
      <bottom style="thick">
        <color rgb="FF6AA84F"/>
      </bottom>
    </border>
    <border>
      <left style="thick">
        <color rgb="FF6AA84F"/>
      </left>
      <top style="thick">
        <color rgb="FF6AA84F"/>
      </top>
      <bottom style="thick">
        <color rgb="FF6AA84F"/>
      </bottom>
    </border>
    <border>
      <top style="thick">
        <color rgb="FF6AA84F"/>
      </top>
      <bottom style="thick">
        <color rgb="FF6AA84F"/>
      </bottom>
    </border>
    <border>
      <right style="thick">
        <color rgb="FF6AA84F"/>
      </right>
      <top style="thick">
        <color rgb="FF6AA84F"/>
      </top>
      <bottom style="thick">
        <color rgb="FF6AA84F"/>
      </bottom>
    </border>
    <border>
      <left style="medium">
        <color rgb="FFFF00FF"/>
      </left>
      <bottom style="medium">
        <color rgb="FFFF00FF"/>
      </bottom>
    </border>
    <border>
      <bottom style="medium">
        <color rgb="FFFF00FF"/>
      </bottom>
    </border>
    <border>
      <right style="medium">
        <color rgb="FFFF00FF"/>
      </right>
      <bottom style="medium">
        <color rgb="FFFF00FF"/>
      </bottom>
    </border>
    <border>
      <left style="thin">
        <color rgb="FF3C78D8"/>
      </left>
      <top style="thin">
        <color rgb="FF3C78D8"/>
      </top>
    </border>
    <border>
      <top style="thin">
        <color rgb="FF3C78D8"/>
      </top>
    </border>
    <border>
      <right style="thin">
        <color rgb="FF3C78D8"/>
      </right>
      <top style="thin">
        <color rgb="FF3C78D8"/>
      </top>
    </border>
    <border>
      <left style="medium">
        <color rgb="FF4A86E8"/>
      </left>
    </border>
    <border>
      <left style="medium">
        <color rgb="FF3C78D8"/>
      </left>
      <top style="medium">
        <color rgb="FF3C78D8"/>
      </top>
    </border>
    <border>
      <top style="medium">
        <color rgb="FF3C78D8"/>
      </top>
    </border>
    <border>
      <right style="medium">
        <color rgb="FF3C78D8"/>
      </right>
      <top style="medium">
        <color rgb="FF3C78D8"/>
      </top>
    </border>
    <border>
      <left style="medium">
        <color rgb="FF3C78D8"/>
      </left>
      <top style="thin">
        <color rgb="FF000000"/>
      </top>
      <bottom style="thin">
        <color rgb="FF000000"/>
      </bottom>
    </border>
    <border>
      <right style="medium">
        <color rgb="FF3C78D8"/>
      </right>
    </border>
    <border>
      <left style="medium">
        <color rgb="FF3C78D8"/>
      </left>
      <top style="thin">
        <color rgb="FF000000"/>
      </top>
    </border>
    <border>
      <left style="medium">
        <color rgb="FF6AA84F"/>
      </left>
      <right style="medium">
        <color rgb="FF6AA84F"/>
      </right>
      <top style="medium">
        <color rgb="FF6AA84F"/>
      </top>
      <bottom style="medium">
        <color rgb="FF6AA84F"/>
      </bottom>
    </border>
    <border>
      <left style="medium">
        <color rgb="FF3C78D8"/>
      </left>
      <top style="medium">
        <color rgb="FF6AA84F"/>
      </top>
      <bottom style="medium">
        <color rgb="FF6AA84F"/>
      </bottom>
    </border>
    <border>
      <top style="medium">
        <color rgb="FF6AA84F"/>
      </top>
      <bottom style="medium">
        <color rgb="FF6AA84F"/>
      </bottom>
    </border>
    <border>
      <right style="medium">
        <color rgb="FF6AA84F"/>
      </right>
      <top style="medium">
        <color rgb="FF6AA84F"/>
      </top>
      <bottom style="medium">
        <color rgb="FF6AA84F"/>
      </bottom>
    </border>
    <border>
      <left style="medium">
        <color rgb="FF3C78D8"/>
      </left>
      <bottom style="medium">
        <color rgb="FF3C78D8"/>
      </bottom>
    </border>
    <border>
      <bottom style="medium">
        <color rgb="FF3C78D8"/>
      </bottom>
    </border>
    <border>
      <right style="medium">
        <color rgb="FF3C78D8"/>
      </right>
      <bottom style="medium">
        <color rgb="FF3C78D8"/>
      </bottom>
    </border>
    <border>
      <left style="medium">
        <color rgb="FFFF0DA8"/>
      </left>
      <top style="medium">
        <color rgb="FFFF0DA8"/>
      </top>
    </border>
    <border>
      <top style="medium">
        <color rgb="FFFF0DA8"/>
      </top>
    </border>
    <border>
      <right style="medium">
        <color rgb="FFFF0DA8"/>
      </right>
      <top style="medium">
        <color rgb="FFFF0DA8"/>
      </top>
    </border>
    <border>
      <left style="medium">
        <color rgb="FFFF0DA8"/>
      </left>
      <top style="thin">
        <color rgb="FF000000"/>
      </top>
      <bottom style="thin">
        <color rgb="FF000000"/>
      </bottom>
    </border>
    <border>
      <right style="medium">
        <color rgb="FFFF0DA8"/>
      </right>
    </border>
    <border>
      <left style="medium">
        <color rgb="FFFF0DA8"/>
      </left>
      <top style="thin">
        <color rgb="FF000000"/>
      </top>
    </border>
    <border>
      <left style="medium">
        <color rgb="FFFF0DA8"/>
      </left>
      <top style="thick">
        <color rgb="FF6AA84F"/>
      </top>
      <bottom style="thick">
        <color rgb="FF6AA84F"/>
      </bottom>
    </border>
    <border>
      <left style="medium">
        <color rgb="FFFF0DA8"/>
      </left>
      <bottom style="medium">
        <color rgb="FFFF0DA8"/>
      </bottom>
    </border>
    <border>
      <bottom style="medium">
        <color rgb="FFFF0DA8"/>
      </bottom>
    </border>
    <border>
      <right style="medium">
        <color rgb="FFFF0DA8"/>
      </right>
      <bottom style="medium">
        <color rgb="FFFF0DA8"/>
      </bottom>
    </border>
    <border>
      <left style="medium">
        <color rgb="FF93C47D"/>
      </left>
      <right style="medium">
        <color rgb="FF93C47D"/>
      </right>
      <top style="medium">
        <color rgb="FF93C47D"/>
      </top>
      <bottom style="medium">
        <color rgb="FF93C47D"/>
      </bottom>
    </border>
    <border>
      <left style="medium">
        <color rgb="FF3C78D8"/>
      </left>
      <top style="thick">
        <color rgb="FF6AA84F"/>
      </top>
      <bottom style="thick">
        <color rgb="FF6AA84F"/>
      </bottom>
    </border>
    <border>
      <right style="thick">
        <color rgb="FF6AA84F"/>
      </right>
      <bottom style="thick">
        <color rgb="FF6AA84F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top style="medium">
        <color rgb="FF38761D"/>
      </top>
    </border>
    <border>
      <right style="medium">
        <color rgb="FF000000"/>
      </right>
      <top style="medium">
        <color rgb="FF38761D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FFFF00"/>
      </right>
      <top style="thin">
        <color rgb="FF000000"/>
      </top>
      <bottom style="medium">
        <color rgb="FFD9D9D9"/>
      </bottom>
    </border>
    <border>
      <top style="thin">
        <color rgb="FF000000"/>
      </top>
      <bottom style="medium">
        <color rgb="FFD9D9D9"/>
      </bottom>
    </border>
    <border>
      <left style="thin">
        <color rgb="FF000000"/>
      </left>
      <right style="thin">
        <color rgb="FFFFFF00"/>
      </right>
      <top style="medium">
        <color rgb="FFD9D9D9"/>
      </top>
      <bottom style="thin">
        <color rgb="FF000000"/>
      </bottom>
    </border>
    <border>
      <top style="medium">
        <color rgb="FFD9D9D9"/>
      </top>
      <bottom style="thin">
        <color rgb="FF000000"/>
      </bottom>
    </border>
    <border>
      <left style="thin">
        <color rgb="FF00FF00"/>
      </left>
      <top style="thin">
        <color rgb="FF00FF00"/>
      </top>
      <bottom style="thin">
        <color rgb="FF000000"/>
      </bottom>
    </border>
    <border>
      <top style="thin">
        <color rgb="FF00FF00"/>
      </top>
      <bottom style="thin">
        <color rgb="FF000000"/>
      </bottom>
    </border>
    <border>
      <right style="thin">
        <color rgb="FF00FF00"/>
      </right>
      <top style="thin">
        <color rgb="FF00FF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D9D9D9"/>
      </bottom>
    </border>
    <border>
      <left style="thin">
        <color rgb="FFFFFF00"/>
      </left>
      <right style="thin">
        <color rgb="FFFFFF00"/>
      </right>
      <top style="thin">
        <color rgb="FF000000"/>
      </top>
      <bottom style="medium">
        <color rgb="FFD9D9D9"/>
      </bottom>
    </border>
    <border>
      <left style="thin">
        <color rgb="FF000000"/>
      </left>
      <top style="medium">
        <color rgb="FFD9D9D9"/>
      </top>
      <bottom style="thin">
        <color rgb="FF000000"/>
      </bottom>
    </border>
    <border>
      <left style="thin">
        <color rgb="FFFFFF00"/>
      </left>
      <right style="thin">
        <color rgb="FFFFFF00"/>
      </right>
      <top style="medium">
        <color rgb="FFD9D9D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CCCCCC"/>
      </bottom>
    </border>
    <border>
      <left style="thin">
        <color rgb="FF000000"/>
      </left>
      <top style="thin">
        <color rgb="FF000000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medium">
        <color rgb="FFCCCCCC"/>
      </top>
      <bottom style="medium">
        <color rgb="FFCCCCCC"/>
      </bottom>
    </border>
    <border>
      <left style="thin">
        <color rgb="FF000000"/>
      </left>
      <top style="medium">
        <color rgb="FFCCCCCC"/>
      </top>
      <bottom style="medium">
        <color rgb="FFCCCCCC"/>
      </bottom>
    </border>
    <border>
      <left style="thin">
        <color rgb="FF000000"/>
      </left>
      <top style="medium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658">
    <xf borderId="0" fillId="0" fontId="0" numFmtId="0" xfId="0" applyAlignment="1" applyFont="1">
      <alignment horizontal="left"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164" xfId="0" applyAlignment="1" applyBorder="1" applyFont="1" applyNumberFormat="1">
      <alignment horizontal="center" readingOrder="0" vertical="center"/>
    </xf>
    <xf borderId="3" fillId="0" fontId="1" numFmtId="164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left"/>
    </xf>
    <xf borderId="7" fillId="0" fontId="2" numFmtId="0" xfId="0" applyAlignment="1" applyBorder="1" applyFont="1">
      <alignment horizontal="left"/>
    </xf>
    <xf borderId="3" fillId="2" fontId="3" numFmtId="165" xfId="0" applyAlignment="1" applyBorder="1" applyFill="1" applyFont="1" applyNumberForma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readingOrder="0" vertical="center"/>
    </xf>
    <xf borderId="1" fillId="2" fontId="3" numFmtId="165" xfId="0" applyAlignment="1" applyBorder="1" applyFont="1" applyNumberForma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vertical="center"/>
    </xf>
    <xf borderId="4" fillId="3" fontId="7" numFmtId="0" xfId="0" applyAlignment="1" applyBorder="1" applyFill="1" applyFont="1">
      <alignment horizontal="center" readingOrder="0" vertical="center"/>
    </xf>
    <xf borderId="5" fillId="3" fontId="8" numFmtId="0" xfId="0" applyAlignment="1" applyBorder="1" applyFont="1">
      <alignment horizontal="center" readingOrder="0" vertical="center"/>
    </xf>
    <xf borderId="2" fillId="3" fontId="7" numFmtId="0" xfId="0" applyAlignment="1" applyBorder="1" applyFont="1">
      <alignment horizontal="center" readingOrder="0" vertical="center"/>
    </xf>
    <xf borderId="4" fillId="4" fontId="7" numFmtId="0" xfId="0" applyAlignment="1" applyBorder="1" applyFill="1" applyFont="1">
      <alignment horizontal="center" readingOrder="0" vertical="center"/>
    </xf>
    <xf borderId="4" fillId="4" fontId="8" numFmtId="0" xfId="0" applyAlignment="1" applyBorder="1" applyFont="1">
      <alignment horizontal="center" readingOrder="0" vertical="center"/>
    </xf>
    <xf borderId="0" fillId="4" fontId="8" numFmtId="0" xfId="0" applyAlignment="1" applyFont="1">
      <alignment horizontal="center" readingOrder="0" vertical="center"/>
    </xf>
    <xf borderId="10" fillId="4" fontId="7" numFmtId="0" xfId="0" applyAlignment="1" applyBorder="1" applyFont="1">
      <alignment horizontal="center" readingOrder="0" vertical="center"/>
    </xf>
    <xf borderId="11" fillId="4" fontId="7" numFmtId="0" xfId="0" applyAlignment="1" applyBorder="1" applyFont="1">
      <alignment horizontal="center" readingOrder="0" vertical="center"/>
    </xf>
    <xf borderId="11" fillId="4" fontId="8" numFmtId="0" xfId="0" applyAlignment="1" applyBorder="1" applyFont="1">
      <alignment horizontal="center" readingOrder="0" vertical="center"/>
    </xf>
    <xf borderId="12" fillId="4" fontId="8" numFmtId="0" xfId="0" applyAlignment="1" applyBorder="1" applyFont="1">
      <alignment horizontal="center" readingOrder="0" vertical="center"/>
    </xf>
    <xf borderId="13" fillId="4" fontId="7" numFmtId="0" xfId="0" applyAlignment="1" applyBorder="1" applyFont="1">
      <alignment horizontal="center" readingOrder="0" vertical="center"/>
    </xf>
    <xf borderId="8" fillId="5" fontId="4" numFmtId="0" xfId="0" applyAlignment="1" applyBorder="1" applyFill="1" applyFont="1">
      <alignment horizontal="center" readingOrder="0" vertical="center"/>
    </xf>
    <xf borderId="4" fillId="2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1" fillId="5" fontId="8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left"/>
    </xf>
    <xf borderId="0" fillId="0" fontId="9" numFmtId="164" xfId="0" applyAlignment="1" applyFont="1" applyNumberFormat="1">
      <alignment horizontal="right"/>
    </xf>
    <xf borderId="0" fillId="6" fontId="9" numFmtId="0" xfId="0" applyAlignment="1" applyFill="1" applyFont="1">
      <alignment horizontal="left" readingOrder="0"/>
    </xf>
    <xf borderId="0" fillId="6" fontId="9" numFmtId="164" xfId="0" applyAlignment="1" applyFont="1" applyNumberFormat="1">
      <alignment horizontal="right"/>
    </xf>
    <xf borderId="0" fillId="6" fontId="9" numFmtId="0" xfId="0" applyAlignment="1" applyFont="1">
      <alignment horizontal="left"/>
    </xf>
    <xf borderId="0" fillId="6" fontId="9" numFmtId="165" xfId="0" applyAlignment="1" applyFont="1" applyNumberFormat="1">
      <alignment horizontal="left" readingOrder="0"/>
    </xf>
    <xf borderId="0" fillId="6" fontId="10" numFmtId="164" xfId="0" applyAlignment="1" applyFont="1" applyNumberFormat="1">
      <alignment horizontal="right" readingOrder="0"/>
    </xf>
    <xf borderId="0" fillId="6" fontId="10" numFmtId="0" xfId="0" applyAlignment="1" applyFont="1">
      <alignment horizontal="left"/>
    </xf>
    <xf borderId="0" fillId="6" fontId="10" numFmtId="0" xfId="0" applyAlignment="1" applyFont="1">
      <alignment horizontal="left" readingOrder="0"/>
    </xf>
    <xf borderId="0" fillId="6" fontId="10" numFmtId="164" xfId="0" applyAlignment="1" applyFont="1" applyNumberFormat="1">
      <alignment horizontal="right"/>
    </xf>
    <xf borderId="0" fillId="7" fontId="9" numFmtId="0" xfId="0" applyAlignment="1" applyFill="1" applyFont="1">
      <alignment horizontal="left" readingOrder="0"/>
    </xf>
    <xf borderId="0" fillId="7" fontId="9" numFmtId="164" xfId="0" applyAlignment="1" applyFont="1" applyNumberFormat="1">
      <alignment horizontal="right"/>
    </xf>
    <xf borderId="0" fillId="7" fontId="9" numFmtId="0" xfId="0" applyAlignment="1" applyFont="1">
      <alignment horizontal="left"/>
    </xf>
    <xf borderId="0" fillId="7" fontId="9" numFmtId="165" xfId="0" applyAlignment="1" applyFont="1" applyNumberFormat="1">
      <alignment horizontal="left" readingOrder="0"/>
    </xf>
    <xf borderId="0" fillId="7" fontId="10" numFmtId="164" xfId="0" applyAlignment="1" applyFont="1" applyNumberFormat="1">
      <alignment horizontal="right"/>
    </xf>
    <xf borderId="0" fillId="7" fontId="10" numFmtId="0" xfId="0" applyAlignment="1" applyFont="1">
      <alignment horizontal="left"/>
    </xf>
    <xf borderId="0" fillId="7" fontId="10" numFmtId="164" xfId="0" applyAlignment="1" applyFont="1" applyNumberFormat="1">
      <alignment horizontal="left"/>
    </xf>
    <xf borderId="0" fillId="7" fontId="10" numFmtId="164" xfId="0" applyAlignment="1" applyFont="1" applyNumberFormat="1">
      <alignment horizontal="right" readingOrder="0"/>
    </xf>
    <xf borderId="3" fillId="2" fontId="3" numFmtId="0" xfId="0" applyAlignment="1" applyBorder="1" applyFont="1">
      <alignment horizontal="center" readingOrder="0" vertical="center"/>
    </xf>
    <xf borderId="8" fillId="8" fontId="4" numFmtId="0" xfId="0" applyAlignment="1" applyBorder="1" applyFill="1" applyFont="1">
      <alignment horizontal="center" readingOrder="0" vertical="center"/>
    </xf>
    <xf borderId="14" fillId="4" fontId="7" numFmtId="0" xfId="0" applyAlignment="1" applyBorder="1" applyFont="1">
      <alignment horizontal="center" readingOrder="0" vertical="center"/>
    </xf>
    <xf borderId="14" fillId="4" fontId="8" numFmtId="0" xfId="0" applyAlignment="1" applyBorder="1" applyFont="1">
      <alignment horizontal="center" readingOrder="0" vertical="center"/>
    </xf>
    <xf borderId="3" fillId="6" fontId="3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readingOrder="0" vertical="center"/>
    </xf>
    <xf borderId="3" fillId="7" fontId="3" numFmtId="0" xfId="0" applyAlignment="1" applyBorder="1" applyFont="1">
      <alignment horizontal="center" readingOrder="0" vertical="center"/>
    </xf>
    <xf borderId="0" fillId="7" fontId="10" numFmtId="0" xfId="0" applyAlignment="1" applyFont="1">
      <alignment horizontal="left" readingOrder="0"/>
    </xf>
    <xf borderId="1" fillId="7" fontId="3" numFmtId="0" xfId="0" applyAlignment="1" applyBorder="1" applyFont="1">
      <alignment horizontal="center" readingOrder="0" vertical="center"/>
    </xf>
    <xf borderId="1" fillId="6" fontId="3" numFmtId="165" xfId="0" applyAlignment="1" applyBorder="1" applyFont="1" applyNumberFormat="1">
      <alignment horizontal="center" readingOrder="0" vertical="center"/>
    </xf>
    <xf borderId="1" fillId="7" fontId="3" numFmtId="165" xfId="0" applyAlignment="1" applyBorder="1" applyFont="1" applyNumberFormat="1">
      <alignment horizontal="center" readingOrder="0" vertical="center"/>
    </xf>
    <xf borderId="0" fillId="7" fontId="2" numFmtId="164" xfId="0" applyAlignment="1" applyFont="1" applyNumberFormat="1">
      <alignment horizontal="left"/>
    </xf>
    <xf borderId="0" fillId="7" fontId="2" numFmtId="0" xfId="0" applyAlignment="1" applyFont="1">
      <alignment horizontal="left"/>
    </xf>
    <xf borderId="0" fillId="7" fontId="2" numFmtId="164" xfId="0" applyAlignment="1" applyFont="1" applyNumberFormat="1">
      <alignment horizontal="left" readingOrder="0"/>
    </xf>
    <xf borderId="0" fillId="7" fontId="2" numFmtId="0" xfId="0" applyAlignment="1" applyFont="1">
      <alignment horizontal="left" readingOrder="0"/>
    </xf>
    <xf borderId="0" fillId="7" fontId="2" numFmtId="0" xfId="0" applyAlignment="1" applyFont="1">
      <alignment horizontal="right"/>
    </xf>
    <xf borderId="0" fillId="7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166" xfId="0" applyAlignment="1" applyFont="1" applyNumberFormat="1">
      <alignment horizontal="left" readingOrder="0"/>
    </xf>
    <xf borderId="5" fillId="4" fontId="8" numFmtId="0" xfId="0" applyAlignment="1" applyBorder="1" applyFont="1">
      <alignment horizontal="center" readingOrder="0" vertical="center"/>
    </xf>
    <xf borderId="2" fillId="4" fontId="7" numFmtId="0" xfId="0" applyAlignment="1" applyBorder="1" applyFont="1">
      <alignment horizontal="center" readingOrder="0" vertical="center"/>
    </xf>
    <xf borderId="1" fillId="9" fontId="11" numFmtId="0" xfId="0" applyAlignment="1" applyBorder="1" applyFill="1" applyFont="1">
      <alignment horizontal="center" readingOrder="0" vertical="center"/>
    </xf>
    <xf borderId="2" fillId="9" fontId="11" numFmtId="164" xfId="0" applyAlignment="1" applyBorder="1" applyFont="1" applyNumberFormat="1">
      <alignment horizontal="center" readingOrder="0" vertical="center"/>
    </xf>
    <xf borderId="3" fillId="9" fontId="11" numFmtId="164" xfId="0" applyAlignment="1" applyBorder="1" applyFont="1" applyNumberFormat="1">
      <alignment horizontal="center" readingOrder="0" vertical="center"/>
    </xf>
    <xf borderId="4" fillId="9" fontId="11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center" readingOrder="0" vertical="center"/>
    </xf>
    <xf borderId="3" fillId="9" fontId="12" numFmtId="0" xfId="0" applyAlignment="1" applyBorder="1" applyFont="1">
      <alignment horizontal="center" readingOrder="0" vertical="center"/>
    </xf>
    <xf borderId="8" fillId="0" fontId="13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horizontal="center" readingOrder="0" vertical="center"/>
    </xf>
    <xf borderId="6" fillId="0" fontId="13" numFmtId="0" xfId="0" applyAlignment="1" applyBorder="1" applyFont="1">
      <alignment horizontal="center" readingOrder="0" vertical="center"/>
    </xf>
    <xf borderId="2" fillId="9" fontId="12" numFmtId="0" xfId="0" applyAlignment="1" applyBorder="1" applyFont="1">
      <alignment horizontal="center" readingOrder="0" vertical="center"/>
    </xf>
    <xf borderId="2" fillId="9" fontId="14" numFmtId="0" xfId="0" applyAlignment="1" applyBorder="1" applyFont="1">
      <alignment horizontal="center" readingOrder="0" vertical="center"/>
    </xf>
    <xf borderId="4" fillId="10" fontId="7" numFmtId="0" xfId="0" applyAlignment="1" applyBorder="1" applyFill="1" applyFont="1">
      <alignment horizontal="center" readingOrder="0" vertical="center"/>
    </xf>
    <xf borderId="4" fillId="10" fontId="8" numFmtId="0" xfId="0" applyAlignment="1" applyBorder="1" applyFont="1">
      <alignment horizontal="center" readingOrder="0" vertical="center"/>
    </xf>
    <xf borderId="0" fillId="10" fontId="8" numFmtId="0" xfId="0" applyAlignment="1" applyFont="1">
      <alignment horizontal="center" readingOrder="0" vertical="center"/>
    </xf>
    <xf borderId="0" fillId="10" fontId="7" numFmtId="0" xfId="0" applyAlignment="1" applyFont="1">
      <alignment horizontal="center" readingOrder="0" vertical="center"/>
    </xf>
    <xf borderId="0" fillId="10" fontId="2" numFmtId="0" xfId="0" applyAlignment="1" applyFont="1">
      <alignment horizontal="left"/>
    </xf>
    <xf borderId="5" fillId="8" fontId="11" numFmtId="0" xfId="0" applyAlignment="1" applyBorder="1" applyFont="1">
      <alignment horizontal="center" readingOrder="0" vertical="center"/>
    </xf>
    <xf borderId="2" fillId="4" fontId="12" numFmtId="0" xfId="0" applyAlignment="1" applyBorder="1" applyFont="1">
      <alignment horizontal="center" readingOrder="0" vertical="center"/>
    </xf>
    <xf borderId="2" fillId="4" fontId="15" numFmtId="0" xfId="0" applyAlignment="1" applyBorder="1" applyFont="1">
      <alignment horizontal="center" readingOrder="0" vertical="center"/>
    </xf>
    <xf borderId="2" fillId="5" fontId="12" numFmtId="0" xfId="0" applyAlignment="1" applyBorder="1" applyFont="1">
      <alignment horizontal="center" readingOrder="0" vertical="center"/>
    </xf>
    <xf borderId="2" fillId="5" fontId="15" numFmtId="0" xfId="0" applyAlignment="1" applyBorder="1" applyFont="1">
      <alignment horizontal="center" readingOrder="0" vertical="center"/>
    </xf>
    <xf borderId="0" fillId="10" fontId="3" numFmtId="0" xfId="0" applyAlignment="1" applyFont="1">
      <alignment horizontal="center" readingOrder="0" vertical="center"/>
    </xf>
    <xf borderId="0" fillId="10" fontId="10" numFmtId="164" xfId="0" applyAlignment="1" applyFont="1" applyNumberFormat="1">
      <alignment horizontal="right" readingOrder="0"/>
    </xf>
    <xf borderId="0" fillId="10" fontId="10" numFmtId="0" xfId="0" applyAlignment="1" applyFont="1">
      <alignment horizontal="left"/>
    </xf>
    <xf borderId="0" fillId="10" fontId="10" numFmtId="0" xfId="0" applyAlignment="1" applyFont="1">
      <alignment horizontal="left" readingOrder="0"/>
    </xf>
    <xf borderId="0" fillId="10" fontId="9" numFmtId="0" xfId="0" applyAlignment="1" applyFont="1">
      <alignment horizontal="left" readingOrder="0"/>
    </xf>
    <xf borderId="0" fillId="10" fontId="9" numFmtId="164" xfId="0" applyAlignment="1" applyFont="1" applyNumberFormat="1">
      <alignment horizontal="right"/>
    </xf>
    <xf borderId="0" fillId="10" fontId="9" numFmtId="0" xfId="0" applyAlignment="1" applyFont="1">
      <alignment horizontal="left"/>
    </xf>
    <xf borderId="0" fillId="10" fontId="4" numFmtId="0" xfId="0" applyAlignment="1" applyFont="1">
      <alignment horizontal="center" readingOrder="0" vertical="center"/>
    </xf>
    <xf borderId="0" fillId="10" fontId="6" numFmtId="0" xfId="0" applyAlignment="1" applyFont="1">
      <alignment horizontal="center" readingOrder="0" vertical="center"/>
    </xf>
    <xf borderId="5" fillId="0" fontId="11" numFmtId="167" xfId="0" applyAlignment="1" applyBorder="1" applyFont="1" applyNumberFormat="1">
      <alignment horizontal="center" readingOrder="0" vertical="center"/>
    </xf>
    <xf borderId="0" fillId="9" fontId="11" numFmtId="164" xfId="0" applyAlignment="1" applyFont="1" applyNumberFormat="1">
      <alignment horizontal="center" readingOrder="0" vertical="center"/>
    </xf>
    <xf borderId="3" fillId="9" fontId="16" numFmtId="164" xfId="0" applyAlignment="1" applyBorder="1" applyFont="1" applyNumberFormat="1">
      <alignment horizontal="center" readingOrder="0" vertical="center"/>
    </xf>
    <xf borderId="4" fillId="10" fontId="11" numFmtId="0" xfId="0" applyAlignment="1" applyBorder="1" applyFont="1">
      <alignment horizontal="center" readingOrder="0" vertical="center"/>
    </xf>
    <xf borderId="3" fillId="10" fontId="11" numFmtId="164" xfId="0" applyAlignment="1" applyBorder="1" applyFont="1" applyNumberFormat="1">
      <alignment horizontal="center" readingOrder="0" vertical="center"/>
    </xf>
    <xf borderId="0" fillId="10" fontId="11" numFmtId="164" xfId="0" applyAlignment="1" applyFont="1" applyNumberFormat="1">
      <alignment horizontal="center" readingOrder="0" vertical="center"/>
    </xf>
    <xf borderId="2" fillId="8" fontId="2" numFmtId="0" xfId="0" applyAlignment="1" applyBorder="1" applyFont="1">
      <alignment horizontal="left" readingOrder="0"/>
    </xf>
    <xf borderId="2" fillId="8" fontId="2" numFmtId="0" xfId="0" applyAlignment="1" applyBorder="1" applyFont="1">
      <alignment horizontal="left"/>
    </xf>
    <xf borderId="0" fillId="8" fontId="2" numFmtId="0" xfId="0" applyAlignment="1" applyFont="1">
      <alignment horizontal="left"/>
    </xf>
    <xf borderId="2" fillId="4" fontId="16" numFmtId="0" xfId="0" applyAlignment="1" applyBorder="1" applyFont="1">
      <alignment horizontal="center" readingOrder="0" vertical="center"/>
    </xf>
    <xf borderId="0" fillId="11" fontId="17" numFmtId="0" xfId="0" applyAlignment="1" applyFill="1" applyFont="1">
      <alignment horizontal="left" readingOrder="0"/>
    </xf>
    <xf borderId="0" fillId="11" fontId="2" numFmtId="0" xfId="0" applyAlignment="1" applyFont="1">
      <alignment horizontal="left" readingOrder="0"/>
    </xf>
    <xf borderId="0" fillId="11" fontId="2" numFmtId="0" xfId="0" applyAlignment="1" applyFont="1">
      <alignment horizontal="left"/>
    </xf>
    <xf borderId="2" fillId="8" fontId="17" numFmtId="0" xfId="0" applyAlignment="1" applyBorder="1" applyFont="1">
      <alignment horizontal="left" readingOrder="0"/>
    </xf>
    <xf borderId="4" fillId="10" fontId="11" numFmtId="164" xfId="0" applyAlignment="1" applyBorder="1" applyFont="1" applyNumberFormat="1">
      <alignment horizontal="center" readingOrder="0" vertical="center"/>
    </xf>
    <xf borderId="0" fillId="10" fontId="11" numFmtId="0" xfId="0" applyAlignment="1" applyFont="1">
      <alignment horizontal="center" readingOrder="0" vertical="center"/>
    </xf>
    <xf borderId="0" fillId="0" fontId="18" numFmtId="0" xfId="0" applyAlignment="1" applyFont="1">
      <alignment horizontal="left" vertical="bottom"/>
    </xf>
    <xf borderId="12" fillId="0" fontId="18" numFmtId="0" xfId="0" applyAlignment="1" applyBorder="1" applyFont="1">
      <alignment horizontal="left" readingOrder="0" vertical="bottom"/>
    </xf>
    <xf borderId="12" fillId="0" fontId="18" numFmtId="0" xfId="0" applyAlignment="1" applyBorder="1" applyFont="1">
      <alignment horizontal="left" vertical="bottom"/>
    </xf>
    <xf borderId="0" fillId="0" fontId="18" numFmtId="0" xfId="0" applyAlignment="1" applyFont="1">
      <alignment horizontal="left" readingOrder="0" vertical="bottom"/>
    </xf>
    <xf borderId="15" fillId="9" fontId="11" numFmtId="0" xfId="0" applyAlignment="1" applyBorder="1" applyFont="1">
      <alignment horizontal="center"/>
    </xf>
    <xf borderId="13" fillId="9" fontId="11" numFmtId="164" xfId="0" applyAlignment="1" applyBorder="1" applyFont="1" applyNumberFormat="1">
      <alignment horizontal="center"/>
    </xf>
    <xf borderId="13" fillId="9" fontId="11" numFmtId="0" xfId="0" applyAlignment="1" applyBorder="1" applyFont="1">
      <alignment horizontal="center"/>
    </xf>
    <xf borderId="13" fillId="9" fontId="11" numFmtId="0" xfId="0" applyAlignment="1" applyBorder="1" applyFont="1">
      <alignment horizontal="center" readingOrder="0"/>
    </xf>
    <xf borderId="11" fillId="8" fontId="11" numFmtId="0" xfId="0" applyAlignment="1" applyBorder="1" applyFont="1">
      <alignment horizontal="center" readingOrder="0"/>
    </xf>
    <xf borderId="12" fillId="0" fontId="2" numFmtId="0" xfId="0" applyAlignment="1" applyBorder="1" applyFont="1">
      <alignment horizontal="left"/>
    </xf>
    <xf borderId="13" fillId="0" fontId="2" numFmtId="0" xfId="0" applyAlignment="1" applyBorder="1" applyFont="1">
      <alignment horizontal="left"/>
    </xf>
    <xf borderId="1" fillId="9" fontId="12" numFmtId="0" xfId="0" applyAlignment="1" applyBorder="1" applyFont="1">
      <alignment horizontal="center"/>
    </xf>
    <xf borderId="16" fillId="0" fontId="13" numFmtId="0" xfId="0" applyAlignment="1" applyBorder="1" applyFont="1">
      <alignment horizontal="center" readingOrder="0"/>
    </xf>
    <xf borderId="16" fillId="0" fontId="13" numFmtId="0" xfId="0" applyAlignment="1" applyBorder="1" applyFont="1">
      <alignment horizontal="center"/>
    </xf>
    <xf borderId="17" fillId="0" fontId="14" numFmtId="0" xfId="0" applyAlignment="1" applyBorder="1" applyFont="1">
      <alignment horizontal="center"/>
    </xf>
    <xf borderId="1" fillId="9" fontId="18" numFmtId="0" xfId="0" applyAlignment="1" applyBorder="1" applyFont="1">
      <alignment horizontal="left"/>
    </xf>
    <xf borderId="15" fillId="9" fontId="18" numFmtId="0" xfId="0" applyAlignment="1" applyBorder="1" applyFont="1">
      <alignment horizontal="left"/>
    </xf>
    <xf borderId="13" fillId="0" fontId="14" numFmtId="0" xfId="0" applyAlignment="1" applyBorder="1" applyFont="1">
      <alignment horizontal="center"/>
    </xf>
    <xf borderId="15" fillId="9" fontId="12" numFmtId="0" xfId="0" applyAlignment="1" applyBorder="1" applyFont="1">
      <alignment horizontal="center"/>
    </xf>
    <xf borderId="13" fillId="9" fontId="14" numFmtId="0" xfId="0" applyAlignment="1" applyBorder="1" applyFont="1">
      <alignment horizontal="center"/>
    </xf>
    <xf borderId="1" fillId="10" fontId="18" numFmtId="0" xfId="0" applyAlignment="1" applyBorder="1" applyFont="1">
      <alignment horizontal="left"/>
    </xf>
    <xf borderId="10" fillId="10" fontId="8" numFmtId="0" xfId="0" applyAlignment="1" applyBorder="1" applyFont="1">
      <alignment horizontal="center"/>
    </xf>
    <xf borderId="0" fillId="10" fontId="8" numFmtId="0" xfId="0" applyAlignment="1" applyFont="1">
      <alignment horizontal="center"/>
    </xf>
    <xf borderId="0" fillId="10" fontId="18" numFmtId="0" xfId="0" applyAlignment="1" applyFont="1">
      <alignment horizontal="left"/>
    </xf>
    <xf borderId="13" fillId="10" fontId="18" numFmtId="164" xfId="0" applyAlignment="1" applyBorder="1" applyFont="1" applyNumberFormat="1">
      <alignment horizontal="left"/>
    </xf>
    <xf borderId="13" fillId="10" fontId="18" numFmtId="164" xfId="0" applyAlignment="1" applyBorder="1" applyFont="1" applyNumberFormat="1">
      <alignment horizontal="left" readingOrder="0"/>
    </xf>
    <xf borderId="10" fillId="10" fontId="18" numFmtId="0" xfId="0" applyAlignment="1" applyBorder="1" applyFont="1">
      <alignment horizontal="left"/>
    </xf>
    <xf borderId="15" fillId="4" fontId="12" numFmtId="0" xfId="0" applyAlignment="1" applyBorder="1" applyFont="1">
      <alignment horizontal="center"/>
    </xf>
    <xf borderId="13" fillId="4" fontId="18" numFmtId="0" xfId="0" applyAlignment="1" applyBorder="1" applyFont="1">
      <alignment horizontal="left"/>
    </xf>
    <xf borderId="13" fillId="4" fontId="18" numFmtId="0" xfId="0" applyAlignment="1" applyBorder="1" applyFont="1">
      <alignment horizontal="left" readingOrder="0"/>
    </xf>
    <xf borderId="13" fillId="4" fontId="12" numFmtId="0" xfId="0" applyAlignment="1" applyBorder="1" applyFont="1">
      <alignment horizontal="center"/>
    </xf>
    <xf borderId="15" fillId="4" fontId="12" numFmtId="0" xfId="0" applyAlignment="1" applyBorder="1" applyFont="1">
      <alignment horizontal="center" readingOrder="0"/>
    </xf>
    <xf borderId="15" fillId="5" fontId="12" numFmtId="0" xfId="0" applyAlignment="1" applyBorder="1" applyFont="1">
      <alignment horizontal="center"/>
    </xf>
    <xf borderId="13" fillId="5" fontId="15" numFmtId="0" xfId="0" applyAlignment="1" applyBorder="1" applyFont="1">
      <alignment horizontal="center"/>
    </xf>
    <xf borderId="13" fillId="5" fontId="12" numFmtId="0" xfId="0" applyAlignment="1" applyBorder="1" applyFont="1">
      <alignment horizontal="center"/>
    </xf>
    <xf borderId="15" fillId="8" fontId="19" numFmtId="0" xfId="0" applyAlignment="1" applyBorder="1" applyFont="1">
      <alignment horizontal="left" vertical="bottom"/>
    </xf>
    <xf borderId="13" fillId="8" fontId="18" numFmtId="0" xfId="0" applyAlignment="1" applyBorder="1" applyFont="1">
      <alignment horizontal="left" vertical="bottom"/>
    </xf>
    <xf borderId="0" fillId="8" fontId="18" numFmtId="0" xfId="0" applyAlignment="1" applyFont="1">
      <alignment horizontal="left" vertical="bottom"/>
    </xf>
    <xf borderId="15" fillId="4" fontId="20" numFmtId="0" xfId="0" applyAlignment="1" applyBorder="1" applyFont="1">
      <alignment horizontal="center" readingOrder="0"/>
    </xf>
    <xf borderId="18" fillId="4" fontId="18" numFmtId="0" xfId="0" applyAlignment="1" applyBorder="1" applyFont="1">
      <alignment horizontal="left" vertical="bottom"/>
    </xf>
    <xf borderId="13" fillId="4" fontId="18" numFmtId="1" xfId="0" applyAlignment="1" applyBorder="1" applyFont="1" applyNumberFormat="1">
      <alignment horizontal="right"/>
    </xf>
    <xf borderId="13" fillId="4" fontId="18" numFmtId="1" xfId="0" applyAlignment="1" applyBorder="1" applyFont="1" applyNumberFormat="1">
      <alignment horizontal="left"/>
    </xf>
    <xf borderId="13" fillId="4" fontId="18" numFmtId="0" xfId="0" applyAlignment="1" applyBorder="1" applyFont="1">
      <alignment horizontal="center"/>
    </xf>
    <xf borderId="13" fillId="4" fontId="12" numFmtId="1" xfId="0" applyAlignment="1" applyBorder="1" applyFont="1" applyNumberFormat="1">
      <alignment horizontal="center"/>
    </xf>
    <xf borderId="10" fillId="4" fontId="18" numFmtId="0" xfId="0" applyAlignment="1" applyBorder="1" applyFont="1">
      <alignment horizontal="left"/>
    </xf>
    <xf borderId="10" fillId="4" fontId="12" numFmtId="0" xfId="0" applyAlignment="1" applyBorder="1" applyFont="1">
      <alignment horizontal="center"/>
    </xf>
    <xf borderId="1" fillId="5" fontId="12" numFmtId="0" xfId="0" applyAlignment="1" applyBorder="1" applyFont="1">
      <alignment horizontal="center"/>
    </xf>
    <xf borderId="10" fillId="5" fontId="15" numFmtId="1" xfId="0" applyAlignment="1" applyBorder="1" applyFont="1" applyNumberFormat="1">
      <alignment horizontal="center"/>
    </xf>
    <xf borderId="10" fillId="5" fontId="15" numFmtId="0" xfId="0" applyAlignment="1" applyBorder="1" applyFont="1">
      <alignment horizontal="center"/>
    </xf>
    <xf borderId="10" fillId="5" fontId="15" numFmtId="0" xfId="0" applyAlignment="1" applyBorder="1" applyFont="1">
      <alignment horizontal="center" readingOrder="0"/>
    </xf>
    <xf borderId="10" fillId="5" fontId="12" numFmtId="1" xfId="0" applyAlignment="1" applyBorder="1" applyFont="1" applyNumberFormat="1">
      <alignment horizontal="center"/>
    </xf>
    <xf borderId="0" fillId="10" fontId="11" numFmtId="0" xfId="0" applyAlignment="1" applyFont="1">
      <alignment horizontal="center"/>
    </xf>
    <xf borderId="0" fillId="0" fontId="2" numFmtId="1" xfId="0" applyAlignment="1" applyFont="1" applyNumberFormat="1">
      <alignment horizontal="left"/>
    </xf>
    <xf borderId="0" fillId="10" fontId="12" numFmtId="0" xfId="0" applyAlignment="1" applyFont="1">
      <alignment horizontal="center"/>
    </xf>
    <xf borderId="0" fillId="10" fontId="18" numFmtId="0" xfId="0" applyAlignment="1" applyFont="1">
      <alignment horizontal="left" readingOrder="0"/>
    </xf>
    <xf borderId="15" fillId="8" fontId="11" numFmtId="0" xfId="0" applyAlignment="1" applyBorder="1" applyFont="1">
      <alignment horizontal="center" readingOrder="0"/>
    </xf>
    <xf borderId="13" fillId="8" fontId="11" numFmtId="0" xfId="0" applyAlignment="1" applyBorder="1" applyFont="1">
      <alignment horizontal="center" readingOrder="0"/>
    </xf>
    <xf borderId="18" fillId="4" fontId="18" numFmtId="0" xfId="0" applyAlignment="1" applyBorder="1" applyFont="1">
      <alignment horizontal="left" readingOrder="0" vertical="bottom"/>
    </xf>
    <xf borderId="13" fillId="4" fontId="18" numFmtId="1" xfId="0" applyAlignment="1" applyBorder="1" applyFont="1" applyNumberFormat="1">
      <alignment horizontal="left" readingOrder="0"/>
    </xf>
    <xf borderId="10" fillId="4" fontId="18" numFmtId="0" xfId="0" applyAlignment="1" applyBorder="1" applyFont="1">
      <alignment horizontal="left" readingOrder="0"/>
    </xf>
    <xf borderId="10" fillId="5" fontId="12" numFmtId="0" xfId="0" applyAlignment="1" applyBorder="1" applyFont="1">
      <alignment horizontal="center"/>
    </xf>
    <xf borderId="13" fillId="9" fontId="11" numFmtId="164" xfId="0" applyAlignment="1" applyBorder="1" applyFont="1" applyNumberFormat="1">
      <alignment horizontal="center" readingOrder="0"/>
    </xf>
    <xf borderId="10" fillId="10" fontId="8" numFmtId="0" xfId="0" applyAlignment="1" applyBorder="1" applyFont="1">
      <alignment horizontal="center" readingOrder="0"/>
    </xf>
    <xf borderId="0" fillId="10" fontId="8" numFmtId="0" xfId="0" applyAlignment="1" applyFont="1">
      <alignment horizontal="center" readingOrder="0"/>
    </xf>
    <xf borderId="13" fillId="5" fontId="15" numFmtId="0" xfId="0" applyAlignment="1" applyBorder="1" applyFont="1">
      <alignment horizontal="center" readingOrder="0"/>
    </xf>
    <xf borderId="10" fillId="4" fontId="18" numFmtId="0" xfId="0" applyAlignment="1" applyBorder="1" applyFont="1">
      <alignment horizontal="center" readingOrder="0"/>
    </xf>
    <xf borderId="15" fillId="10" fontId="11" numFmtId="0" xfId="0" applyAlignment="1" applyBorder="1" applyFont="1">
      <alignment horizontal="center"/>
    </xf>
    <xf borderId="13" fillId="10" fontId="11" numFmtId="164" xfId="0" applyAlignment="1" applyBorder="1" applyFont="1" applyNumberFormat="1">
      <alignment horizontal="center"/>
    </xf>
    <xf borderId="13" fillId="10" fontId="11" numFmtId="164" xfId="0" applyAlignment="1" applyBorder="1" applyFont="1" applyNumberFormat="1">
      <alignment horizontal="center" readingOrder="0"/>
    </xf>
    <xf borderId="13" fillId="10" fontId="11" numFmtId="0" xfId="0" applyAlignment="1" applyBorder="1" applyFont="1">
      <alignment horizontal="center" readingOrder="0"/>
    </xf>
    <xf borderId="13" fillId="10" fontId="11" numFmtId="0" xfId="0" applyAlignment="1" applyBorder="1" applyFont="1">
      <alignment horizontal="center"/>
    </xf>
    <xf borderId="15" fillId="10" fontId="11" numFmtId="0" xfId="0" applyAlignment="1" applyBorder="1" applyFont="1">
      <alignment horizontal="center" readingOrder="0"/>
    </xf>
    <xf borderId="10" fillId="5" fontId="15" numFmtId="1" xfId="0" applyAlignment="1" applyBorder="1" applyFont="1" applyNumberFormat="1">
      <alignment horizontal="center" readingOrder="0"/>
    </xf>
    <xf borderId="19" fillId="8" fontId="11" numFmtId="0" xfId="0" applyAlignment="1" applyBorder="1" applyFont="1">
      <alignment horizontal="center" readingOrder="0" vertical="bottom"/>
    </xf>
    <xf borderId="20" fillId="0" fontId="2" numFmtId="0" xfId="0" applyAlignment="1" applyBorder="1" applyFont="1">
      <alignment horizontal="left"/>
    </xf>
    <xf borderId="18" fillId="0" fontId="2" numFmtId="0" xfId="0" applyAlignment="1" applyBorder="1" applyFont="1">
      <alignment horizontal="left"/>
    </xf>
    <xf borderId="15" fillId="4" fontId="12" numFmtId="0" xfId="0" applyAlignment="1" applyBorder="1" applyFont="1">
      <alignment horizontal="center" vertical="bottom"/>
    </xf>
    <xf borderId="13" fillId="4" fontId="18" numFmtId="0" xfId="0" applyAlignment="1" applyBorder="1" applyFont="1">
      <alignment horizontal="left" vertical="bottom"/>
    </xf>
    <xf borderId="15" fillId="4" fontId="12" numFmtId="0" xfId="0" applyAlignment="1" applyBorder="1" applyFont="1">
      <alignment horizontal="center" readingOrder="0" vertical="bottom"/>
    </xf>
    <xf borderId="13" fillId="4" fontId="18" numFmtId="1" xfId="0" applyAlignment="1" applyBorder="1" applyFont="1" applyNumberFormat="1">
      <alignment horizontal="left" vertical="bottom"/>
    </xf>
    <xf borderId="13" fillId="4" fontId="18" numFmtId="0" xfId="0" applyAlignment="1" applyBorder="1" applyFont="1">
      <alignment horizontal="left" vertical="bottom"/>
    </xf>
    <xf borderId="10" fillId="4" fontId="18" numFmtId="0" xfId="0" applyAlignment="1" applyBorder="1" applyFont="1">
      <alignment horizontal="left" vertical="bottom"/>
    </xf>
    <xf borderId="10" fillId="4" fontId="18" numFmtId="0" xfId="0" applyAlignment="1" applyBorder="1" applyFont="1">
      <alignment horizontal="center" vertical="bottom"/>
    </xf>
    <xf borderId="1" fillId="5" fontId="12" numFmtId="0" xfId="0" applyAlignment="1" applyBorder="1" applyFont="1">
      <alignment horizontal="center" vertical="bottom"/>
    </xf>
    <xf borderId="10" fillId="5" fontId="18" numFmtId="0" xfId="0" applyAlignment="1" applyBorder="1" applyFont="1">
      <alignment horizontal="left" vertical="bottom"/>
    </xf>
    <xf borderId="10" fillId="5" fontId="15" numFmtId="1" xfId="0" applyAlignment="1" applyBorder="1" applyFont="1" applyNumberFormat="1">
      <alignment horizontal="center" vertical="bottom"/>
    </xf>
    <xf borderId="10" fillId="5" fontId="18" numFmtId="1" xfId="0" applyAlignment="1" applyBorder="1" applyFont="1" applyNumberFormat="1">
      <alignment horizontal="left" vertical="bottom"/>
    </xf>
    <xf borderId="10" fillId="5" fontId="12" numFmtId="0" xfId="0" applyAlignment="1" applyBorder="1" applyFont="1">
      <alignment horizontal="center" vertical="bottom"/>
    </xf>
    <xf borderId="13" fillId="4" fontId="18" numFmtId="164" xfId="0" applyAlignment="1" applyBorder="1" applyFont="1" applyNumberFormat="1">
      <alignment horizontal="left" vertical="bottom"/>
    </xf>
    <xf borderId="13" fillId="4" fontId="18" numFmtId="1" xfId="0" applyAlignment="1" applyBorder="1" applyFont="1" applyNumberFormat="1">
      <alignment horizontal="left" readingOrder="0" vertical="bottom"/>
    </xf>
    <xf borderId="10" fillId="4" fontId="18" numFmtId="167" xfId="0" applyAlignment="1" applyBorder="1" applyFont="1" applyNumberFormat="1">
      <alignment horizontal="left" vertical="bottom"/>
    </xf>
    <xf borderId="10" fillId="4" fontId="18" numFmtId="167" xfId="0" applyAlignment="1" applyBorder="1" applyFont="1" applyNumberFormat="1">
      <alignment horizontal="center" vertical="bottom"/>
    </xf>
    <xf borderId="10" fillId="4" fontId="18" numFmtId="0" xfId="0" applyAlignment="1" applyBorder="1" applyFont="1">
      <alignment horizontal="left" readingOrder="0" vertical="bottom"/>
    </xf>
    <xf borderId="0" fillId="0" fontId="3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16" fillId="0" fontId="14" numFmtId="0" xfId="0" applyAlignment="1" applyBorder="1" applyFont="1">
      <alignment horizontal="center"/>
    </xf>
    <xf borderId="0" fillId="0" fontId="14" numFmtId="0" xfId="0" applyAlignment="1" applyFont="1">
      <alignment horizontal="center"/>
    </xf>
    <xf borderId="10" fillId="5" fontId="18" numFmtId="164" xfId="0" applyAlignment="1" applyBorder="1" applyFont="1" applyNumberFormat="1">
      <alignment horizontal="left" vertical="bottom"/>
    </xf>
    <xf borderId="10" fillId="5" fontId="12" numFmtId="1" xfId="0" applyAlignment="1" applyBorder="1" applyFont="1" applyNumberFormat="1">
      <alignment horizontal="center" vertical="bottom"/>
    </xf>
    <xf borderId="13" fillId="4" fontId="18" numFmtId="0" xfId="0" applyAlignment="1" applyBorder="1" applyFont="1">
      <alignment horizontal="left" readingOrder="0" vertical="bottom"/>
    </xf>
    <xf borderId="13" fillId="4" fontId="18" numFmtId="164" xfId="0" applyAlignment="1" applyBorder="1" applyFont="1" applyNumberFormat="1">
      <alignment horizontal="left" readingOrder="0" vertical="bottom"/>
    </xf>
    <xf borderId="10" fillId="5" fontId="12" numFmtId="164" xfId="0" applyAlignment="1" applyBorder="1" applyFont="1" applyNumberFormat="1">
      <alignment horizontal="center" vertical="bottom"/>
    </xf>
    <xf borderId="0" fillId="0" fontId="11" numFmtId="167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10" fillId="5" fontId="18" numFmtId="0" xfId="0" applyAlignment="1" applyBorder="1" applyFont="1">
      <alignment horizontal="left" readingOrder="0" vertical="bottom"/>
    </xf>
    <xf borderId="10" fillId="5" fontId="12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13" fillId="4" fontId="18" numFmtId="4" xfId="0" applyAlignment="1" applyBorder="1" applyFont="1" applyNumberFormat="1">
      <alignment horizontal="left" vertical="bottom"/>
    </xf>
    <xf borderId="10" fillId="5" fontId="18" numFmtId="4" xfId="0" applyAlignment="1" applyBorder="1" applyFont="1" applyNumberFormat="1">
      <alignment horizontal="left" vertical="bottom"/>
    </xf>
    <xf borderId="0" fillId="0" fontId="9" numFmtId="0" xfId="0" applyAlignment="1" applyFont="1">
      <alignment horizontal="left" readingOrder="0"/>
    </xf>
    <xf borderId="0" fillId="0" fontId="11" numFmtId="164" xfId="0" applyAlignment="1" applyFont="1" applyNumberFormat="1">
      <alignment horizontal="center" readingOrder="0" vertical="center"/>
    </xf>
    <xf borderId="0" fillId="0" fontId="17" numFmtId="0" xfId="0" applyAlignment="1" applyFont="1">
      <alignment horizontal="left" readingOrder="0"/>
    </xf>
    <xf borderId="10" fillId="5" fontId="18" numFmtId="1" xfId="0" applyAlignment="1" applyBorder="1" applyFont="1" applyNumberFormat="1">
      <alignment horizontal="left" readingOrder="0" vertical="bottom"/>
    </xf>
    <xf borderId="10" fillId="4" fontId="18" numFmtId="0" xfId="0" applyAlignment="1" applyBorder="1" applyFont="1">
      <alignment horizontal="center" readingOrder="0" vertical="bottom"/>
    </xf>
    <xf borderId="0" fillId="9" fontId="2" numFmtId="1" xfId="0" applyAlignment="1" applyFont="1" applyNumberFormat="1">
      <alignment horizontal="left"/>
    </xf>
    <xf borderId="0" fillId="0" fontId="18" numFmtId="0" xfId="0" applyAlignment="1" applyFont="1">
      <alignment horizontal="left"/>
    </xf>
    <xf borderId="0" fillId="0" fontId="13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8" numFmtId="0" xfId="0" applyAlignment="1" applyFont="1">
      <alignment horizontal="left" readingOrder="0"/>
    </xf>
    <xf borderId="10" fillId="5" fontId="21" numFmtId="0" xfId="0" applyAlignment="1" applyBorder="1" applyFont="1">
      <alignment horizontal="center" vertical="bottom"/>
    </xf>
    <xf borderId="12" fillId="4" fontId="18" numFmtId="0" xfId="0" applyAlignment="1" applyBorder="1" applyFont="1">
      <alignment horizontal="left" vertical="bottom"/>
    </xf>
    <xf borderId="12" fillId="4" fontId="18" numFmtId="1" xfId="0" applyAlignment="1" applyBorder="1" applyFont="1" applyNumberFormat="1">
      <alignment horizontal="left" vertical="bottom"/>
    </xf>
    <xf borderId="0" fillId="0" fontId="18" numFmtId="1" xfId="0" applyAlignment="1" applyFont="1" applyNumberFormat="1">
      <alignment horizontal="left" readingOrder="0" vertical="bottom"/>
    </xf>
    <xf borderId="0" fillId="4" fontId="18" numFmtId="167" xfId="0" applyAlignment="1" applyFont="1" applyNumberFormat="1">
      <alignment horizontal="left" vertical="bottom"/>
    </xf>
    <xf borderId="2" fillId="4" fontId="18" numFmtId="0" xfId="0" applyAlignment="1" applyBorder="1" applyFont="1">
      <alignment horizontal="left" readingOrder="0" vertical="bottom"/>
    </xf>
    <xf borderId="2" fillId="4" fontId="18" numFmtId="0" xfId="0" applyAlignment="1" applyBorder="1" applyFont="1">
      <alignment horizontal="center" readingOrder="0" vertical="bottom"/>
    </xf>
    <xf borderId="2" fillId="4" fontId="18" numFmtId="167" xfId="0" applyAlignment="1" applyBorder="1" applyFont="1" applyNumberFormat="1">
      <alignment horizontal="left" vertical="bottom"/>
    </xf>
    <xf borderId="10" fillId="5" fontId="18" numFmtId="164" xfId="0" applyAlignment="1" applyBorder="1" applyFont="1" applyNumberFormat="1">
      <alignment horizontal="left" readingOrder="0" vertical="bottom"/>
    </xf>
    <xf borderId="0" fillId="0" fontId="2" numFmtId="0" xfId="0" applyAlignment="1" applyFont="1">
      <alignment horizontal="left" readingOrder="0" shrinkToFit="0" wrapText="1"/>
    </xf>
    <xf borderId="15" fillId="8" fontId="19" numFmtId="1" xfId="0" applyAlignment="1" applyBorder="1" applyFont="1" applyNumberFormat="1">
      <alignment horizontal="left" vertical="bottom"/>
    </xf>
    <xf borderId="13" fillId="8" fontId="18" numFmtId="1" xfId="0" applyAlignment="1" applyBorder="1" applyFont="1" applyNumberFormat="1">
      <alignment horizontal="left" vertical="bottom"/>
    </xf>
    <xf borderId="0" fillId="8" fontId="18" numFmtId="1" xfId="0" applyAlignment="1" applyFont="1" applyNumberFormat="1">
      <alignment horizontal="left" vertical="bottom"/>
    </xf>
    <xf borderId="0" fillId="0" fontId="18" numFmtId="1" xfId="0" applyAlignment="1" applyFont="1" applyNumberFormat="1">
      <alignment horizontal="left" vertical="bottom"/>
    </xf>
    <xf borderId="0" fillId="9" fontId="11" numFmtId="0" xfId="0" applyAlignment="1" applyFont="1">
      <alignment horizontal="center"/>
    </xf>
    <xf borderId="0" fillId="9" fontId="12" numFmtId="164" xfId="0" applyAlignment="1" applyFont="1" applyNumberFormat="1">
      <alignment horizontal="center" readingOrder="0"/>
    </xf>
    <xf borderId="0" fillId="9" fontId="12" numFmtId="0" xfId="0" applyAlignment="1" applyFont="1">
      <alignment horizontal="center" readingOrder="0"/>
    </xf>
    <xf borderId="0" fillId="9" fontId="11" numFmtId="0" xfId="0" applyAlignment="1" applyFont="1">
      <alignment horizontal="center" readingOrder="0"/>
    </xf>
    <xf borderId="0" fillId="9" fontId="12" numFmtId="164" xfId="0" applyAlignment="1" applyFont="1" applyNumberFormat="1">
      <alignment horizontal="center"/>
    </xf>
    <xf borderId="0" fillId="0" fontId="22" numFmtId="0" xfId="0" applyAlignment="1" applyFont="1">
      <alignment horizontal="center"/>
    </xf>
    <xf borderId="0" fillId="0" fontId="22" numFmtId="164" xfId="0" applyAlignment="1" applyFont="1" applyNumberFormat="1">
      <alignment horizontal="center" readingOrder="0"/>
    </xf>
    <xf borderId="0" fillId="0" fontId="22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11" numFmtId="164" xfId="0" applyAlignment="1" applyFont="1" applyNumberFormat="1">
      <alignment horizontal="center"/>
    </xf>
    <xf borderId="0" fillId="0" fontId="11" numFmtId="164" xfId="0" applyAlignment="1" applyFont="1" applyNumberFormat="1">
      <alignment horizontal="center" readingOrder="0"/>
    </xf>
    <xf borderId="0" fillId="0" fontId="23" numFmtId="164" xfId="0" applyAlignment="1" applyFont="1" applyNumberFormat="1">
      <alignment horizontal="center" readingOrder="0"/>
    </xf>
    <xf borderId="0" fillId="0" fontId="16" numFmtId="0" xfId="0" applyAlignment="1" applyFont="1">
      <alignment horizontal="center"/>
    </xf>
    <xf borderId="0" fillId="0" fontId="16" numFmtId="164" xfId="0" applyAlignment="1" applyFont="1" applyNumberFormat="1">
      <alignment horizontal="center"/>
    </xf>
    <xf borderId="0" fillId="0" fontId="16" numFmtId="164" xfId="0" applyAlignment="1" applyFont="1" applyNumberFormat="1">
      <alignment horizontal="center" readingOrder="0"/>
    </xf>
    <xf borderId="0" fillId="0" fontId="16" numFmtId="0" xfId="0" applyAlignment="1" applyFont="1">
      <alignment horizontal="center" readingOrder="0"/>
    </xf>
    <xf borderId="0" fillId="0" fontId="12" numFmtId="164" xfId="0" applyAlignment="1" applyFont="1" applyNumberFormat="1">
      <alignment horizontal="center" readingOrder="0"/>
    </xf>
    <xf borderId="0" fillId="0" fontId="24" numFmtId="164" xfId="0" applyAlignment="1" applyFont="1" applyNumberFormat="1">
      <alignment horizontal="center" readingOrder="0"/>
    </xf>
    <xf borderId="0" fillId="0" fontId="25" numFmtId="0" xfId="0" applyAlignment="1" applyFont="1">
      <alignment horizontal="left"/>
    </xf>
    <xf borderId="0" fillId="0" fontId="23" numFmtId="0" xfId="0" applyAlignment="1" applyFont="1">
      <alignment horizontal="center" readingOrder="0"/>
    </xf>
    <xf borderId="15" fillId="11" fontId="12" numFmtId="0" xfId="0" applyAlignment="1" applyBorder="1" applyFont="1">
      <alignment horizontal="center" readingOrder="0" vertical="bottom"/>
    </xf>
    <xf borderId="13" fillId="11" fontId="18" numFmtId="164" xfId="0" applyAlignment="1" applyBorder="1" applyFont="1" applyNumberFormat="1">
      <alignment horizontal="left" readingOrder="0" vertical="bottom"/>
    </xf>
    <xf borderId="13" fillId="11" fontId="18" numFmtId="0" xfId="0" applyAlignment="1" applyBorder="1" applyFont="1">
      <alignment horizontal="left" readingOrder="0" vertical="bottom"/>
    </xf>
    <xf borderId="13" fillId="11" fontId="18" numFmtId="0" xfId="0" applyAlignment="1" applyBorder="1" applyFont="1">
      <alignment horizontal="left" vertical="bottom"/>
    </xf>
    <xf borderId="13" fillId="11" fontId="18" numFmtId="0" xfId="0" applyAlignment="1" applyBorder="1" applyFont="1">
      <alignment horizontal="left" vertical="bottom"/>
    </xf>
    <xf borderId="12" fillId="4" fontId="18" numFmtId="1" xfId="0" applyAlignment="1" applyBorder="1" applyFont="1" applyNumberFormat="1">
      <alignment horizontal="left" readingOrder="0" vertical="bottom"/>
    </xf>
    <xf borderId="13" fillId="8" fontId="18" numFmtId="1" xfId="0" applyAlignment="1" applyBorder="1" applyFont="1" applyNumberFormat="1">
      <alignment horizontal="left" readingOrder="0" vertical="bottom"/>
    </xf>
    <xf borderId="0" fillId="0" fontId="21" numFmtId="164" xfId="0" applyAlignment="1" applyFont="1" applyNumberFormat="1">
      <alignment horizontal="center" readingOrder="0"/>
    </xf>
    <xf borderId="0" fillId="0" fontId="21" numFmtId="0" xfId="0" applyAlignment="1" applyFont="1">
      <alignment horizontal="center" readingOrder="0"/>
    </xf>
    <xf borderId="12" fillId="4" fontId="18" numFmtId="0" xfId="0" applyAlignment="1" applyBorder="1" applyFont="1">
      <alignment horizontal="left" readingOrder="0" vertical="bottom"/>
    </xf>
    <xf borderId="13" fillId="9" fontId="12" numFmtId="164" xfId="0" applyAlignment="1" applyBorder="1" applyFont="1" applyNumberFormat="1">
      <alignment horizontal="center" readingOrder="0"/>
    </xf>
    <xf borderId="13" fillId="9" fontId="12" numFmtId="0" xfId="0" applyAlignment="1" applyBorder="1" applyFont="1">
      <alignment horizontal="center" readingOrder="0"/>
    </xf>
    <xf borderId="13" fillId="9" fontId="22" numFmtId="0" xfId="0" applyAlignment="1" applyBorder="1" applyFont="1">
      <alignment horizontal="center" readingOrder="0"/>
    </xf>
    <xf borderId="2" fillId="4" fontId="18" numFmtId="3" xfId="0" applyAlignment="1" applyBorder="1" applyFont="1" applyNumberFormat="1">
      <alignment horizontal="left" readingOrder="0" vertical="bottom"/>
    </xf>
    <xf borderId="0" fillId="0" fontId="26" numFmtId="0" xfId="0" applyAlignment="1" applyFont="1">
      <alignment horizontal="center" readingOrder="0"/>
    </xf>
    <xf borderId="0" fillId="12" fontId="2" numFmtId="3" xfId="0" applyAlignment="1" applyFill="1" applyFont="1" applyNumberFormat="1">
      <alignment horizontal="left"/>
    </xf>
    <xf borderId="0" fillId="12" fontId="2" numFmtId="0" xfId="0" applyAlignment="1" applyFont="1">
      <alignment horizontal="left" readingOrder="0"/>
    </xf>
    <xf borderId="2" fillId="4" fontId="2" numFmtId="0" xfId="0" applyAlignment="1" applyBorder="1" applyFont="1">
      <alignment horizontal="left"/>
    </xf>
    <xf borderId="2" fillId="4" fontId="2" numFmtId="1" xfId="0" applyAlignment="1" applyBorder="1" applyFont="1" applyNumberFormat="1">
      <alignment horizontal="left"/>
    </xf>
    <xf borderId="0" fillId="9" fontId="11" numFmtId="164" xfId="0" applyAlignment="1" applyFont="1" applyNumberFormat="1">
      <alignment horizontal="center"/>
    </xf>
    <xf borderId="0" fillId="9" fontId="11" numFmtId="164" xfId="0" applyAlignment="1" applyFont="1" applyNumberFormat="1">
      <alignment horizontal="center" readingOrder="0"/>
    </xf>
    <xf borderId="10" fillId="5" fontId="18" numFmtId="0" xfId="0" applyAlignment="1" applyBorder="1" applyFont="1">
      <alignment horizontal="center" readingOrder="0" vertical="bottom"/>
    </xf>
    <xf borderId="0" fillId="0" fontId="19" numFmtId="0" xfId="0" applyAlignment="1" applyFont="1">
      <alignment horizontal="left" vertical="bottom"/>
    </xf>
    <xf borderId="0" fillId="0" fontId="11" numFmtId="0" xfId="0" applyAlignment="1" applyFont="1">
      <alignment horizontal="center" readingOrder="0" vertical="bottom"/>
    </xf>
    <xf borderId="2" fillId="4" fontId="18" numFmtId="164" xfId="0" applyAlignment="1" applyBorder="1" applyFont="1" applyNumberFormat="1">
      <alignment horizontal="left" readingOrder="0" vertical="bottom"/>
    </xf>
    <xf borderId="0" fillId="0" fontId="15" numFmtId="164" xfId="0" applyAlignment="1" applyFont="1" applyNumberFormat="1">
      <alignment horizontal="center" readingOrder="0"/>
    </xf>
    <xf borderId="0" fillId="0" fontId="14" numFmtId="0" xfId="0" applyAlignment="1" applyFont="1">
      <alignment horizontal="center" readingOrder="0"/>
    </xf>
    <xf borderId="10" fillId="5" fontId="18" numFmtId="1" xfId="0" applyAlignment="1" applyBorder="1" applyFont="1" applyNumberFormat="1">
      <alignment horizontal="center" readingOrder="0" vertical="bottom"/>
    </xf>
    <xf borderId="0" fillId="0" fontId="12" numFmtId="0" xfId="0" applyAlignment="1" applyFont="1">
      <alignment horizontal="center" vertical="bottom"/>
    </xf>
    <xf borderId="0" fillId="0" fontId="18" numFmtId="0" xfId="0" applyAlignment="1" applyFont="1">
      <alignment horizontal="left" vertical="bottom"/>
    </xf>
    <xf borderId="0" fillId="0" fontId="12" numFmtId="0" xfId="0" applyAlignment="1" applyFont="1">
      <alignment horizontal="center" readingOrder="0" vertical="bottom"/>
    </xf>
    <xf borderId="0" fillId="0" fontId="18" numFmtId="164" xfId="0" applyAlignment="1" applyFont="1" applyNumberFormat="1">
      <alignment horizontal="left" readingOrder="0" vertical="bottom"/>
    </xf>
    <xf borderId="0" fillId="0" fontId="27" numFmtId="164" xfId="0" applyAlignment="1" applyFont="1" applyNumberFormat="1">
      <alignment horizontal="center" readingOrder="0"/>
    </xf>
    <xf borderId="0" fillId="0" fontId="18" numFmtId="0" xfId="0" applyAlignment="1" applyFont="1">
      <alignment horizontal="center" readingOrder="0" vertical="bottom"/>
    </xf>
    <xf borderId="0" fillId="0" fontId="18" numFmtId="167" xfId="0" applyAlignment="1" applyFont="1" applyNumberFormat="1">
      <alignment horizontal="left" vertical="bottom"/>
    </xf>
    <xf borderId="2" fillId="4" fontId="18" numFmtId="168" xfId="0" applyAlignment="1" applyBorder="1" applyFont="1" applyNumberFormat="1">
      <alignment horizontal="left" readingOrder="0" vertical="bottom"/>
    </xf>
    <xf borderId="10" fillId="5" fontId="18" numFmtId="168" xfId="0" applyAlignment="1" applyBorder="1" applyFont="1" applyNumberFormat="1">
      <alignment horizontal="left" readingOrder="0" shrinkToFit="0" vertical="bottom" wrapText="0"/>
    </xf>
    <xf borderId="10" fillId="5" fontId="18" numFmtId="0" xfId="0" applyAlignment="1" applyBorder="1" applyFont="1">
      <alignment horizontal="left" readingOrder="0" shrinkToFit="0" vertical="bottom" wrapText="0"/>
    </xf>
    <xf borderId="0" fillId="0" fontId="28" numFmtId="0" xfId="0" applyAlignment="1" applyFont="1">
      <alignment horizontal="center" readingOrder="0"/>
    </xf>
    <xf borderId="0" fillId="0" fontId="29" numFmtId="0" xfId="0" applyAlignment="1" applyFont="1">
      <alignment horizontal="left"/>
    </xf>
    <xf borderId="0" fillId="0" fontId="29" numFmtId="0" xfId="0" applyAlignment="1" applyFont="1">
      <alignment horizontal="left" readingOrder="0"/>
    </xf>
    <xf borderId="10" fillId="5" fontId="18" numFmtId="168" xfId="0" applyAlignment="1" applyBorder="1" applyFont="1" applyNumberFormat="1">
      <alignment horizontal="left" readingOrder="0" vertical="bottom"/>
    </xf>
    <xf borderId="21" fillId="9" fontId="22" numFmtId="0" xfId="0" applyAlignment="1" applyBorder="1" applyFont="1">
      <alignment horizontal="center" readingOrder="0"/>
    </xf>
    <xf borderId="0" fillId="6" fontId="12" numFmtId="0" xfId="0" applyAlignment="1" applyFont="1">
      <alignment horizontal="center" readingOrder="0"/>
    </xf>
    <xf borderId="0" fillId="6" fontId="12" numFmtId="164" xfId="0" applyAlignment="1" applyFont="1" applyNumberFormat="1">
      <alignment horizontal="center" readingOrder="0"/>
    </xf>
    <xf borderId="22" fillId="13" fontId="2" numFmtId="0" xfId="0" applyAlignment="1" applyBorder="1" applyFill="1" applyFont="1">
      <alignment horizontal="left"/>
    </xf>
    <xf borderId="0" fillId="0" fontId="30" numFmtId="0" xfId="0" applyAlignment="1" applyFont="1">
      <alignment horizontal="left" readingOrder="0"/>
    </xf>
    <xf borderId="0" fillId="0" fontId="19" numFmtId="1" xfId="0" applyAlignment="1" applyFont="1" applyNumberFormat="1">
      <alignment horizontal="left" vertical="bottom"/>
    </xf>
    <xf borderId="19" fillId="14" fontId="11" numFmtId="0" xfId="0" applyAlignment="1" applyBorder="1" applyFill="1" applyFont="1">
      <alignment horizontal="center" readingOrder="0" vertical="bottom"/>
    </xf>
    <xf borderId="15" fillId="14" fontId="12" numFmtId="0" xfId="0" applyAlignment="1" applyBorder="1" applyFont="1">
      <alignment horizontal="center" vertical="bottom"/>
    </xf>
    <xf borderId="13" fillId="14" fontId="18" numFmtId="0" xfId="0" applyAlignment="1" applyBorder="1" applyFont="1">
      <alignment horizontal="left" readingOrder="0" vertical="bottom"/>
    </xf>
    <xf borderId="12" fillId="14" fontId="18" numFmtId="0" xfId="0" applyAlignment="1" applyBorder="1" applyFont="1">
      <alignment horizontal="left" vertical="bottom"/>
    </xf>
    <xf borderId="12" fillId="14" fontId="18" numFmtId="0" xfId="0" applyAlignment="1" applyBorder="1" applyFont="1">
      <alignment horizontal="left" readingOrder="0" vertical="bottom"/>
    </xf>
    <xf borderId="0" fillId="14" fontId="2" numFmtId="0" xfId="0" applyAlignment="1" applyFont="1">
      <alignment horizontal="left"/>
    </xf>
    <xf borderId="15" fillId="14" fontId="12" numFmtId="0" xfId="0" applyAlignment="1" applyBorder="1" applyFont="1">
      <alignment horizontal="center" readingOrder="0" vertical="bottom"/>
    </xf>
    <xf borderId="2" fillId="14" fontId="18" numFmtId="0" xfId="0" applyAlignment="1" applyBorder="1" applyFont="1">
      <alignment horizontal="left" readingOrder="0" vertical="bottom"/>
    </xf>
    <xf borderId="13" fillId="14" fontId="18" numFmtId="164" xfId="0" applyAlignment="1" applyBorder="1" applyFont="1" applyNumberFormat="1">
      <alignment horizontal="left" readingOrder="0" vertical="bottom"/>
    </xf>
    <xf borderId="13" fillId="14" fontId="18" numFmtId="1" xfId="0" applyAlignment="1" applyBorder="1" applyFont="1" applyNumberFormat="1">
      <alignment horizontal="left" readingOrder="0" vertical="bottom"/>
    </xf>
    <xf borderId="12" fillId="14" fontId="18" numFmtId="1" xfId="0" applyAlignment="1" applyBorder="1" applyFont="1" applyNumberFormat="1">
      <alignment horizontal="left" vertical="bottom"/>
    </xf>
    <xf borderId="2" fillId="14" fontId="18" numFmtId="0" xfId="0" applyAlignment="1" applyBorder="1" applyFont="1">
      <alignment horizontal="center" readingOrder="0" vertical="bottom"/>
    </xf>
    <xf borderId="2" fillId="14" fontId="18" numFmtId="168" xfId="0" applyAlignment="1" applyBorder="1" applyFont="1" applyNumberFormat="1">
      <alignment horizontal="left" readingOrder="0" vertical="bottom"/>
    </xf>
    <xf borderId="2" fillId="14" fontId="18" numFmtId="167" xfId="0" applyAlignment="1" applyBorder="1" applyFont="1" applyNumberFormat="1">
      <alignment horizontal="left" vertical="bottom"/>
    </xf>
    <xf borderId="1" fillId="14" fontId="12" numFmtId="0" xfId="0" applyAlignment="1" applyBorder="1" applyFont="1">
      <alignment horizontal="center" vertical="bottom"/>
    </xf>
    <xf borderId="10" fillId="14" fontId="18" numFmtId="0" xfId="0" applyAlignment="1" applyBorder="1" applyFont="1">
      <alignment horizontal="left" readingOrder="0" vertical="bottom"/>
    </xf>
    <xf borderId="10" fillId="14" fontId="18" numFmtId="0" xfId="0" applyAlignment="1" applyBorder="1" applyFont="1">
      <alignment horizontal="left" vertical="bottom"/>
    </xf>
    <xf borderId="15" fillId="14" fontId="11" numFmtId="0" xfId="0" applyAlignment="1" applyBorder="1" applyFont="1">
      <alignment horizontal="center"/>
    </xf>
    <xf borderId="13" fillId="14" fontId="11" numFmtId="164" xfId="0" applyAlignment="1" applyBorder="1" applyFont="1" applyNumberFormat="1">
      <alignment horizontal="center"/>
    </xf>
    <xf borderId="13" fillId="14" fontId="11" numFmtId="164" xfId="0" applyAlignment="1" applyBorder="1" applyFont="1" applyNumberFormat="1">
      <alignment horizontal="center" readingOrder="0"/>
    </xf>
    <xf borderId="13" fillId="14" fontId="11" numFmtId="0" xfId="0" applyAlignment="1" applyBorder="1" applyFont="1">
      <alignment horizontal="center" readingOrder="0"/>
    </xf>
    <xf borderId="13" fillId="14" fontId="11" numFmtId="0" xfId="0" applyAlignment="1" applyBorder="1" applyFont="1">
      <alignment horizontal="center"/>
    </xf>
    <xf borderId="0" fillId="0" fontId="31" numFmtId="164" xfId="0" applyAlignment="1" applyFont="1" applyNumberFormat="1">
      <alignment horizontal="center" readingOrder="0"/>
    </xf>
    <xf borderId="15" fillId="9" fontId="11" numFmtId="0" xfId="0" applyAlignment="1" applyBorder="1" applyFont="1">
      <alignment horizontal="center" vertical="bottom"/>
    </xf>
    <xf borderId="13" fillId="9" fontId="11" numFmtId="164" xfId="0" applyAlignment="1" applyBorder="1" applyFont="1" applyNumberFormat="1">
      <alignment horizontal="center" vertical="bottom"/>
    </xf>
    <xf borderId="13" fillId="9" fontId="11" numFmtId="0" xfId="0" applyAlignment="1" applyBorder="1" applyFont="1">
      <alignment horizontal="center" vertical="bottom"/>
    </xf>
    <xf borderId="13" fillId="9" fontId="11" numFmtId="0" xfId="0" applyAlignment="1" applyBorder="1" applyFont="1">
      <alignment horizontal="center" readingOrder="0" vertical="bottom"/>
    </xf>
    <xf borderId="13" fillId="9" fontId="18" numFmtId="0" xfId="0" applyAlignment="1" applyBorder="1" applyFont="1">
      <alignment horizontal="left" vertical="bottom"/>
    </xf>
    <xf borderId="11" fillId="8" fontId="11" numFmtId="0" xfId="0" applyAlignment="1" applyBorder="1" applyFont="1">
      <alignment horizontal="center" vertical="bottom"/>
    </xf>
    <xf borderId="1" fillId="9" fontId="12" numFmtId="0" xfId="0" applyAlignment="1" applyBorder="1" applyFont="1">
      <alignment horizontal="center" vertical="bottom"/>
    </xf>
    <xf borderId="16" fillId="0" fontId="13" numFmtId="0" xfId="0" applyAlignment="1" applyBorder="1" applyFont="1">
      <alignment horizontal="center" vertical="bottom"/>
    </xf>
    <xf borderId="16" fillId="0" fontId="13" numFmtId="0" xfId="0" applyAlignment="1" applyBorder="1" applyFont="1">
      <alignment horizontal="center" readingOrder="0" vertical="bottom"/>
    </xf>
    <xf borderId="13" fillId="0" fontId="14" numFmtId="0" xfId="0" applyAlignment="1" applyBorder="1" applyFont="1">
      <alignment horizontal="center" vertical="bottom"/>
    </xf>
    <xf borderId="1" fillId="9" fontId="18" numFmtId="0" xfId="0" applyAlignment="1" applyBorder="1" applyFont="1">
      <alignment horizontal="left" vertical="bottom"/>
    </xf>
    <xf borderId="0" fillId="10" fontId="18" numFmtId="0" xfId="0" applyAlignment="1" applyFont="1">
      <alignment horizontal="left" vertical="bottom"/>
    </xf>
    <xf borderId="15" fillId="9" fontId="18" numFmtId="0" xfId="0" applyAlignment="1" applyBorder="1" applyFont="1">
      <alignment horizontal="left" vertical="bottom"/>
    </xf>
    <xf borderId="15" fillId="9" fontId="12" numFmtId="0" xfId="0" applyAlignment="1" applyBorder="1" applyFont="1">
      <alignment horizontal="center" vertical="bottom"/>
    </xf>
    <xf borderId="13" fillId="9" fontId="14" numFmtId="0" xfId="0" applyAlignment="1" applyBorder="1" applyFont="1">
      <alignment horizontal="center" vertical="bottom"/>
    </xf>
    <xf borderId="15" fillId="8" fontId="19" numFmtId="0" xfId="0" applyAlignment="1" applyBorder="1" applyFont="1">
      <alignment horizontal="left" vertical="bottom"/>
    </xf>
    <xf borderId="13" fillId="8" fontId="18" numFmtId="0" xfId="0" applyAlignment="1" applyBorder="1" applyFont="1">
      <alignment horizontal="left" vertical="bottom"/>
    </xf>
    <xf borderId="0" fillId="8" fontId="18" numFmtId="0" xfId="0" applyAlignment="1" applyFont="1">
      <alignment horizontal="left" vertical="bottom"/>
    </xf>
    <xf borderId="2" fillId="4" fontId="18" numFmtId="1" xfId="0" applyAlignment="1" applyBorder="1" applyFont="1" applyNumberFormat="1">
      <alignment horizontal="left" readingOrder="0" vertical="bottom"/>
    </xf>
    <xf borderId="0" fillId="0" fontId="12" numFmtId="164" xfId="0" applyAlignment="1" applyFont="1" applyNumberFormat="1">
      <alignment horizontal="center"/>
    </xf>
    <xf borderId="11" fillId="8" fontId="11" numFmtId="0" xfId="0" applyAlignment="1" applyBorder="1" applyFont="1">
      <alignment horizontal="center" readingOrder="0" vertical="bottom"/>
    </xf>
    <xf borderId="0" fillId="0" fontId="24" numFmtId="0" xfId="0" applyAlignment="1" applyFont="1">
      <alignment horizontal="center" readingOrder="0"/>
    </xf>
    <xf borderId="0" fillId="0" fontId="32" numFmtId="0" xfId="0" applyAlignment="1" applyFont="1">
      <alignment horizontal="center" readingOrder="0"/>
    </xf>
    <xf borderId="0" fillId="0" fontId="33" numFmtId="0" xfId="0" applyAlignment="1" applyFont="1">
      <alignment horizontal="center" readingOrder="0"/>
    </xf>
    <xf borderId="13" fillId="4" fontId="18" numFmtId="0" xfId="0" applyAlignment="1" applyBorder="1" applyFont="1">
      <alignment horizontal="center" readingOrder="0" vertical="bottom"/>
    </xf>
    <xf borderId="13" fillId="4" fontId="18" numFmtId="168" xfId="0" applyAlignment="1" applyBorder="1" applyFont="1" applyNumberFormat="1">
      <alignment horizontal="left" readingOrder="0" vertical="bottom"/>
    </xf>
    <xf borderId="12" fillId="4" fontId="18" numFmtId="167" xfId="0" applyAlignment="1" applyBorder="1" applyFont="1" applyNumberFormat="1">
      <alignment horizontal="left" vertical="bottom"/>
    </xf>
    <xf borderId="0" fillId="0" fontId="34" numFmtId="0" xfId="0" applyAlignment="1" applyFont="1">
      <alignment horizontal="center" readingOrder="0" vertical="center"/>
    </xf>
    <xf borderId="0" fillId="0" fontId="35" numFmtId="0" xfId="0" applyAlignment="1" applyFont="1">
      <alignment horizontal="center" vertical="center"/>
    </xf>
    <xf borderId="0" fillId="0" fontId="36" numFmtId="169" xfId="0" applyAlignment="1" applyFont="1" applyNumberFormat="1">
      <alignment horizontal="center" readingOrder="0" vertical="center"/>
    </xf>
    <xf borderId="0" fillId="15" fontId="36" numFmtId="0" xfId="0" applyAlignment="1" applyFill="1" applyFont="1">
      <alignment horizontal="center" readingOrder="0" vertical="center"/>
    </xf>
    <xf borderId="0" fillId="0" fontId="36" numFmtId="0" xfId="0" applyAlignment="1" applyFont="1">
      <alignment horizontal="center" readingOrder="0" vertical="center"/>
    </xf>
    <xf borderId="0" fillId="0" fontId="37" numFmtId="0" xfId="0" applyAlignment="1" applyFont="1">
      <alignment horizontal="center" readingOrder="0" vertical="center"/>
    </xf>
    <xf borderId="0" fillId="0" fontId="37" numFmtId="0" xfId="0" applyAlignment="1" applyFont="1">
      <alignment horizontal="center" vertical="center"/>
    </xf>
    <xf borderId="0" fillId="0" fontId="34" numFmtId="169" xfId="0" applyAlignment="1" applyFont="1" applyNumberFormat="1">
      <alignment horizontal="center" readingOrder="0" vertical="center"/>
    </xf>
    <xf borderId="23" fillId="0" fontId="34" numFmtId="169" xfId="0" applyAlignment="1" applyBorder="1" applyFont="1" applyNumberFormat="1">
      <alignment horizontal="center" readingOrder="0" vertical="center"/>
    </xf>
    <xf borderId="24" fillId="15" fontId="34" numFmtId="169" xfId="0" applyAlignment="1" applyBorder="1" applyFont="1" applyNumberFormat="1">
      <alignment horizontal="center" readingOrder="0" vertical="center"/>
    </xf>
    <xf borderId="24" fillId="0" fontId="34" numFmtId="169" xfId="0" applyAlignment="1" applyBorder="1" applyFont="1" applyNumberFormat="1">
      <alignment horizontal="center" readingOrder="0" vertical="center"/>
    </xf>
    <xf borderId="25" fillId="0" fontId="35" numFmtId="0" xfId="0" applyAlignment="1" applyBorder="1" applyFont="1">
      <alignment horizontal="center" readingOrder="0" vertical="center"/>
    </xf>
    <xf borderId="19" fillId="0" fontId="34" numFmtId="0" xfId="0" applyAlignment="1" applyBorder="1" applyFont="1">
      <alignment horizontal="center" readingOrder="0" vertical="center"/>
    </xf>
    <xf borderId="20" fillId="15" fontId="35" numFmtId="0" xfId="0" applyAlignment="1" applyBorder="1" applyFont="1">
      <alignment horizontal="center" readingOrder="0" vertical="center"/>
    </xf>
    <xf borderId="20" fillId="0" fontId="35" numFmtId="0" xfId="0" applyAlignment="1" applyBorder="1" applyFont="1">
      <alignment horizontal="center" readingOrder="0"/>
    </xf>
    <xf borderId="20" fillId="0" fontId="35" numFmtId="0" xfId="0" applyAlignment="1" applyBorder="1" applyFont="1">
      <alignment horizontal="center"/>
    </xf>
    <xf borderId="20" fillId="0" fontId="35" numFmtId="0" xfId="0" applyAlignment="1" applyBorder="1" applyFont="1">
      <alignment horizontal="center" readingOrder="0" vertical="center"/>
    </xf>
    <xf borderId="18" fillId="0" fontId="35" numFmtId="0" xfId="0" applyAlignment="1" applyBorder="1" applyFont="1">
      <alignment horizontal="center"/>
    </xf>
    <xf borderId="26" fillId="0" fontId="35" numFmtId="0" xfId="0" applyAlignment="1" applyBorder="1" applyFont="1">
      <alignment horizontal="center" vertical="center"/>
    </xf>
    <xf borderId="0" fillId="0" fontId="35" numFmtId="0" xfId="0" applyAlignment="1" applyFont="1">
      <alignment horizontal="center"/>
    </xf>
    <xf borderId="7" fillId="0" fontId="35" numFmtId="0" xfId="0" applyAlignment="1" applyBorder="1" applyFont="1">
      <alignment horizontal="center"/>
    </xf>
    <xf borderId="5" fillId="0" fontId="34" numFmtId="0" xfId="0" applyAlignment="1" applyBorder="1" applyFont="1">
      <alignment horizontal="center" readingOrder="0" vertical="center"/>
    </xf>
    <xf borderId="6" fillId="15" fontId="35" numFmtId="0" xfId="0" applyAlignment="1" applyBorder="1" applyFont="1">
      <alignment horizontal="center" readingOrder="0" vertical="center"/>
    </xf>
    <xf borderId="6" fillId="0" fontId="35" numFmtId="0" xfId="0" applyAlignment="1" applyBorder="1" applyFont="1">
      <alignment horizontal="center" readingOrder="0"/>
    </xf>
    <xf borderId="6" fillId="0" fontId="35" numFmtId="0" xfId="0" applyAlignment="1" applyBorder="1" applyFont="1">
      <alignment horizontal="center" readingOrder="0" vertical="center"/>
    </xf>
    <xf borderId="6" fillId="0" fontId="35" numFmtId="0" xfId="0" applyAlignment="1" applyBorder="1" applyFont="1">
      <alignment horizontal="center"/>
    </xf>
    <xf borderId="27" fillId="4" fontId="35" numFmtId="0" xfId="0" applyAlignment="1" applyBorder="1" applyFont="1">
      <alignment horizontal="center"/>
    </xf>
    <xf borderId="28" fillId="0" fontId="34" numFmtId="0" xfId="0" applyAlignment="1" applyBorder="1" applyFont="1">
      <alignment horizontal="center" readingOrder="0" vertical="center"/>
    </xf>
    <xf borderId="29" fillId="15" fontId="35" numFmtId="0" xfId="0" applyAlignment="1" applyBorder="1" applyFont="1">
      <alignment horizontal="center" readingOrder="0" vertical="center"/>
    </xf>
    <xf borderId="29" fillId="4" fontId="35" numFmtId="0" xfId="0" applyAlignment="1" applyBorder="1" applyFont="1">
      <alignment horizontal="center"/>
    </xf>
    <xf borderId="29" fillId="4" fontId="35" numFmtId="0" xfId="0" applyAlignment="1" applyBorder="1" applyFont="1">
      <alignment horizontal="center" readingOrder="0"/>
    </xf>
    <xf borderId="29" fillId="4" fontId="35" numFmtId="0" xfId="0" applyAlignment="1" applyBorder="1" applyFont="1">
      <alignment horizontal="center" readingOrder="0" vertical="center"/>
    </xf>
    <xf borderId="30" fillId="4" fontId="35" numFmtId="0" xfId="0" applyAlignment="1" applyBorder="1" applyFont="1">
      <alignment horizontal="center"/>
    </xf>
    <xf borderId="26" fillId="0" fontId="35" numFmtId="0" xfId="0" applyAlignment="1" applyBorder="1" applyFont="1">
      <alignment horizontal="center" readingOrder="0" vertical="center"/>
    </xf>
    <xf borderId="31" fillId="0" fontId="34" numFmtId="169" xfId="0" applyAlignment="1" applyBorder="1" applyFont="1" applyNumberFormat="1">
      <alignment horizontal="center" readingOrder="0" vertical="center"/>
    </xf>
    <xf borderId="32" fillId="0" fontId="35" numFmtId="169" xfId="0" applyAlignment="1" applyBorder="1" applyFont="1" applyNumberFormat="1">
      <alignment horizontal="center" readingOrder="0" vertical="center"/>
    </xf>
    <xf borderId="33" fillId="0" fontId="35" numFmtId="0" xfId="0" applyAlignment="1" applyBorder="1" applyFont="1">
      <alignment horizontal="center" readingOrder="0" vertical="center"/>
    </xf>
    <xf borderId="34" fillId="0" fontId="36" numFmtId="169" xfId="0" applyAlignment="1" applyBorder="1" applyFont="1" applyNumberFormat="1">
      <alignment horizontal="center" readingOrder="0" vertical="center"/>
    </xf>
    <xf borderId="35" fillId="0" fontId="36" numFmtId="0" xfId="0" applyAlignment="1" applyBorder="1" applyFont="1">
      <alignment horizontal="center" readingOrder="0" vertical="center"/>
    </xf>
    <xf borderId="35" fillId="0" fontId="37" numFmtId="0" xfId="0" applyAlignment="1" applyBorder="1" applyFont="1">
      <alignment horizontal="center" readingOrder="0" vertical="center"/>
    </xf>
    <xf borderId="36" fillId="0" fontId="38" numFmtId="0" xfId="0" applyAlignment="1" applyBorder="1" applyFont="1">
      <alignment horizontal="left" vertical="center"/>
    </xf>
    <xf borderId="37" fillId="0" fontId="34" numFmtId="169" xfId="0" applyAlignment="1" applyBorder="1" applyFont="1" applyNumberFormat="1">
      <alignment horizontal="center" readingOrder="0" vertical="center"/>
    </xf>
    <xf borderId="38" fillId="0" fontId="34" numFmtId="169" xfId="0" applyAlignment="1" applyBorder="1" applyFont="1" applyNumberFormat="1">
      <alignment horizontal="center" readingOrder="0" vertical="center"/>
    </xf>
    <xf borderId="39" fillId="0" fontId="34" numFmtId="169" xfId="0" applyAlignment="1" applyBorder="1" applyFont="1" applyNumberFormat="1">
      <alignment horizontal="center" readingOrder="0" vertical="center"/>
    </xf>
    <xf borderId="40" fillId="0" fontId="35" numFmtId="0" xfId="0" applyAlignment="1" applyBorder="1" applyFont="1">
      <alignment horizontal="center" readingOrder="0" vertical="center"/>
    </xf>
    <xf borderId="37" fillId="0" fontId="34" numFmtId="0" xfId="0" applyAlignment="1" applyBorder="1" applyFont="1">
      <alignment horizontal="center" readingOrder="0" vertical="center"/>
    </xf>
    <xf borderId="41" fillId="0" fontId="34" numFmtId="0" xfId="0" applyAlignment="1" applyBorder="1" applyFont="1">
      <alignment horizontal="center" readingOrder="0" vertical="center"/>
    </xf>
    <xf borderId="20" fillId="0" fontId="35" numFmtId="0" xfId="0" applyAlignment="1" applyBorder="1" applyFont="1">
      <alignment horizontal="center" vertical="center"/>
    </xf>
    <xf borderId="18" fillId="0" fontId="35" numFmtId="0" xfId="0" applyAlignment="1" applyBorder="1" applyFont="1">
      <alignment horizontal="center" vertical="center"/>
    </xf>
    <xf borderId="42" fillId="0" fontId="35" numFmtId="0" xfId="0" applyAlignment="1" applyBorder="1" applyFont="1">
      <alignment horizontal="center" vertical="center"/>
    </xf>
    <xf borderId="7" fillId="0" fontId="35" numFmtId="0" xfId="0" applyAlignment="1" applyBorder="1" applyFont="1">
      <alignment horizontal="center" vertical="center"/>
    </xf>
    <xf borderId="42" fillId="0" fontId="35" numFmtId="0" xfId="0" applyAlignment="1" applyBorder="1" applyFont="1">
      <alignment horizontal="center" readingOrder="0" vertical="center"/>
    </xf>
    <xf borderId="43" fillId="0" fontId="34" numFmtId="0" xfId="0" applyAlignment="1" applyBorder="1" applyFont="1">
      <alignment horizontal="center" readingOrder="0" vertical="center"/>
    </xf>
    <xf borderId="6" fillId="0" fontId="35" numFmtId="0" xfId="0" applyAlignment="1" applyBorder="1" applyFont="1">
      <alignment horizontal="center" vertical="center"/>
    </xf>
    <xf borderId="44" fillId="4" fontId="35" numFmtId="0" xfId="0" applyAlignment="1" applyBorder="1" applyFont="1">
      <alignment horizontal="center" vertical="center"/>
    </xf>
    <xf borderId="45" fillId="0" fontId="34" numFmtId="0" xfId="0" applyAlignment="1" applyBorder="1" applyFont="1">
      <alignment horizontal="center" readingOrder="0" vertical="center"/>
    </xf>
    <xf borderId="46" fillId="4" fontId="35" numFmtId="0" xfId="0" applyAlignment="1" applyBorder="1" applyFont="1">
      <alignment horizontal="center" readingOrder="0" vertical="center"/>
    </xf>
    <xf borderId="46" fillId="4" fontId="35" numFmtId="0" xfId="0" applyAlignment="1" applyBorder="1" applyFont="1">
      <alignment horizontal="center" vertical="center"/>
    </xf>
    <xf borderId="47" fillId="4" fontId="35" numFmtId="0" xfId="0" applyAlignment="1" applyBorder="1" applyFont="1">
      <alignment horizontal="center" vertical="center"/>
    </xf>
    <xf borderId="37" fillId="0" fontId="39" numFmtId="169" xfId="0" applyAlignment="1" applyBorder="1" applyFont="1" applyNumberFormat="1">
      <alignment horizontal="center" readingOrder="0" vertical="center"/>
    </xf>
    <xf borderId="48" fillId="0" fontId="39" numFmtId="0" xfId="0" applyAlignment="1" applyBorder="1" applyFont="1">
      <alignment horizontal="center" readingOrder="0" vertical="center"/>
    </xf>
    <xf borderId="49" fillId="0" fontId="40" numFmtId="0" xfId="0" applyAlignment="1" applyBorder="1" applyFont="1">
      <alignment horizontal="center" readingOrder="0" vertical="center"/>
    </xf>
    <xf borderId="49" fillId="0" fontId="40" numFmtId="169" xfId="0" applyAlignment="1" applyBorder="1" applyFont="1" applyNumberFormat="1">
      <alignment horizontal="center" readingOrder="0" vertical="center"/>
    </xf>
    <xf borderId="50" fillId="0" fontId="40" numFmtId="0" xfId="0" applyAlignment="1" applyBorder="1" applyFont="1">
      <alignment horizontal="center" vertical="center"/>
    </xf>
    <xf borderId="0" fillId="0" fontId="40" numFmtId="0" xfId="0" applyAlignment="1" applyFont="1">
      <alignment horizontal="center" vertical="center"/>
    </xf>
    <xf borderId="51" fillId="0" fontId="34" numFmtId="169" xfId="0" applyAlignment="1" applyBorder="1" applyFont="1" applyNumberFormat="1">
      <alignment horizontal="center" readingOrder="0" vertical="center"/>
    </xf>
    <xf borderId="52" fillId="0" fontId="34" numFmtId="169" xfId="0" applyAlignment="1" applyBorder="1" applyFont="1" applyNumberFormat="1">
      <alignment horizontal="center" readingOrder="0" vertical="center"/>
    </xf>
    <xf borderId="53" fillId="0" fontId="35" numFmtId="0" xfId="0" applyAlignment="1" applyBorder="1" applyFont="1">
      <alignment horizontal="center" vertical="center"/>
    </xf>
    <xf borderId="54" fillId="0" fontId="34" numFmtId="0" xfId="0" applyAlignment="1" applyBorder="1" applyFont="1">
      <alignment horizontal="center" readingOrder="0" vertical="center"/>
    </xf>
    <xf borderId="18" fillId="0" fontId="35" numFmtId="0" xfId="0" applyAlignment="1" applyBorder="1" applyFont="1">
      <alignment horizontal="center" readingOrder="0" vertical="center"/>
    </xf>
    <xf borderId="55" fillId="0" fontId="35" numFmtId="0" xfId="0" applyAlignment="1" applyBorder="1" applyFont="1">
      <alignment horizontal="center" vertical="center"/>
    </xf>
    <xf borderId="7" fillId="0" fontId="35" numFmtId="0" xfId="0" applyAlignment="1" applyBorder="1" applyFont="1">
      <alignment horizontal="center" readingOrder="0" vertical="center"/>
    </xf>
    <xf borderId="56" fillId="0" fontId="34" numFmtId="0" xfId="0" applyAlignment="1" applyBorder="1" applyFont="1">
      <alignment horizontal="center" readingOrder="0" vertical="center"/>
    </xf>
    <xf borderId="27" fillId="4" fontId="35" numFmtId="0" xfId="0" applyAlignment="1" applyBorder="1" applyFont="1">
      <alignment horizontal="center" readingOrder="0" vertical="center"/>
    </xf>
    <xf borderId="57" fillId="0" fontId="34" numFmtId="0" xfId="0" applyAlignment="1" applyBorder="1" applyFont="1">
      <alignment horizontal="center" readingOrder="0" vertical="center"/>
    </xf>
    <xf borderId="30" fillId="4" fontId="35" numFmtId="0" xfId="0" applyAlignment="1" applyBorder="1" applyFont="1">
      <alignment horizontal="center" readingOrder="0" vertical="center"/>
    </xf>
    <xf borderId="58" fillId="0" fontId="39" numFmtId="0" xfId="0" applyAlignment="1" applyBorder="1" applyFont="1">
      <alignment horizontal="center" readingOrder="0" vertical="center"/>
    </xf>
    <xf borderId="59" fillId="0" fontId="35" numFmtId="169" xfId="0" applyAlignment="1" applyBorder="1" applyFont="1" applyNumberFormat="1">
      <alignment horizontal="center" readingOrder="0" vertical="center"/>
    </xf>
    <xf borderId="60" fillId="0" fontId="35" numFmtId="0" xfId="0" applyAlignment="1" applyBorder="1" applyFont="1">
      <alignment horizontal="center" vertical="center"/>
    </xf>
    <xf borderId="40" fillId="0" fontId="35" numFmtId="0" xfId="0" applyAlignment="1" applyBorder="1" applyFont="1">
      <alignment horizontal="center" vertical="center"/>
    </xf>
    <xf borderId="61" fillId="4" fontId="35" numFmtId="0" xfId="0" applyAlignment="1" applyBorder="1" applyFont="1">
      <alignment horizontal="center" readingOrder="0" vertical="center"/>
    </xf>
    <xf borderId="62" fillId="0" fontId="34" numFmtId="0" xfId="0" applyAlignment="1" applyBorder="1" applyFont="1">
      <alignment horizontal="center" readingOrder="0" vertical="center"/>
    </xf>
    <xf borderId="63" fillId="4" fontId="35" numFmtId="0" xfId="0" applyAlignment="1" applyBorder="1" applyFont="1">
      <alignment horizontal="center" readingOrder="0" vertical="center"/>
    </xf>
    <xf borderId="0" fillId="0" fontId="34" numFmtId="0" xfId="0" applyAlignment="1" applyFont="1">
      <alignment horizontal="center" vertical="center"/>
    </xf>
    <xf borderId="49" fillId="0" fontId="35" numFmtId="0" xfId="0" applyAlignment="1" applyBorder="1" applyFont="1">
      <alignment horizontal="center" readingOrder="0" vertical="center"/>
    </xf>
    <xf borderId="50" fillId="0" fontId="35" numFmtId="0" xfId="0" applyAlignment="1" applyBorder="1" applyFont="1">
      <alignment horizontal="center" readingOrder="0" vertical="center"/>
    </xf>
    <xf borderId="0" fillId="0" fontId="35" numFmtId="0" xfId="0" applyAlignment="1" applyFont="1">
      <alignment horizontal="center" readingOrder="0" vertical="center"/>
    </xf>
    <xf borderId="64" fillId="0" fontId="34" numFmtId="0" xfId="0" applyAlignment="1" applyBorder="1" applyFont="1">
      <alignment horizontal="center" readingOrder="0" vertical="center"/>
    </xf>
    <xf borderId="65" fillId="0" fontId="35" numFmtId="0" xfId="0" applyAlignment="1" applyBorder="1" applyFont="1">
      <alignment horizontal="center" readingOrder="0" vertical="center"/>
    </xf>
    <xf borderId="66" fillId="0" fontId="35" numFmtId="0" xfId="0" applyAlignment="1" applyBorder="1" applyFont="1">
      <alignment horizontal="center" readingOrder="0" vertical="center"/>
    </xf>
    <xf borderId="67" fillId="0" fontId="34" numFmtId="0" xfId="0" applyAlignment="1" applyBorder="1" applyFont="1">
      <alignment horizontal="center" readingOrder="0" vertical="center"/>
    </xf>
    <xf borderId="68" fillId="0" fontId="35" numFmtId="0" xfId="0" applyAlignment="1" applyBorder="1" applyFont="1">
      <alignment horizontal="center" readingOrder="0" vertical="center"/>
    </xf>
    <xf borderId="69" fillId="0" fontId="35" numFmtId="0" xfId="0" applyAlignment="1" applyBorder="1" applyFont="1">
      <alignment horizontal="center" readingOrder="0" vertical="center"/>
    </xf>
    <xf borderId="70" fillId="0" fontId="34" numFmtId="0" xfId="0" applyAlignment="1" applyBorder="1" applyFont="1">
      <alignment horizontal="center" readingOrder="0" vertical="center"/>
    </xf>
    <xf borderId="12" fillId="0" fontId="35" numFmtId="0" xfId="0" applyAlignment="1" applyBorder="1" applyFont="1">
      <alignment horizontal="center" readingOrder="0" vertical="center"/>
    </xf>
    <xf borderId="71" fillId="16" fontId="41" numFmtId="0" xfId="0" applyAlignment="1" applyBorder="1" applyFill="1" applyFont="1">
      <alignment horizontal="center" readingOrder="0" vertical="center"/>
    </xf>
    <xf borderId="72" fillId="16" fontId="41" numFmtId="0" xfId="0" applyAlignment="1" applyBorder="1" applyFont="1">
      <alignment horizontal="center" readingOrder="0" vertical="center"/>
    </xf>
    <xf borderId="73" fillId="0" fontId="34" numFmtId="0" xfId="0" applyAlignment="1" applyBorder="1" applyFont="1">
      <alignment horizontal="center" readingOrder="0" vertical="center"/>
    </xf>
    <xf borderId="74" fillId="0" fontId="35" numFmtId="0" xfId="0" applyAlignment="1" applyBorder="1" applyFont="1">
      <alignment horizontal="center" readingOrder="0" vertical="center"/>
    </xf>
    <xf borderId="75" fillId="16" fontId="41" numFmtId="0" xfId="0" applyAlignment="1" applyBorder="1" applyFont="1">
      <alignment horizontal="center" readingOrder="0" vertical="center"/>
    </xf>
    <xf borderId="76" fillId="16" fontId="41" numFmtId="0" xfId="0" applyAlignment="1" applyBorder="1" applyFont="1">
      <alignment horizontal="center" readingOrder="0" vertical="center"/>
    </xf>
    <xf borderId="0" fillId="5" fontId="9" numFmtId="0" xfId="0" applyAlignment="1" applyFont="1">
      <alignment horizontal="left" readingOrder="0"/>
    </xf>
    <xf borderId="0" fillId="5" fontId="9" numFmtId="164" xfId="0" applyAlignment="1" applyFont="1" applyNumberFormat="1">
      <alignment horizontal="right"/>
    </xf>
    <xf borderId="0" fillId="5" fontId="9" numFmtId="0" xfId="0" applyAlignment="1" applyFont="1">
      <alignment horizontal="left"/>
    </xf>
    <xf borderId="3" fillId="5" fontId="3" numFmtId="0" xfId="0" applyAlignment="1" applyBorder="1" applyFont="1">
      <alignment horizontal="center" readingOrder="0" vertical="center"/>
    </xf>
    <xf borderId="0" fillId="5" fontId="10" numFmtId="164" xfId="0" applyAlignment="1" applyFont="1" applyNumberFormat="1">
      <alignment horizontal="right" readingOrder="0"/>
    </xf>
    <xf borderId="0" fillId="5" fontId="10" numFmtId="0" xfId="0" applyAlignment="1" applyFont="1">
      <alignment horizontal="left"/>
    </xf>
    <xf borderId="0" fillId="5" fontId="10" numFmtId="0" xfId="0" applyAlignment="1" applyFont="1">
      <alignment horizontal="left" readingOrder="0"/>
    </xf>
    <xf borderId="1" fillId="5" fontId="3" numFmtId="0" xfId="0" applyAlignment="1" applyBorder="1" applyFont="1">
      <alignment horizontal="center" readingOrder="0" vertical="center"/>
    </xf>
    <xf borderId="0" fillId="5" fontId="2" numFmtId="0" xfId="0" applyAlignment="1" applyFont="1">
      <alignment horizontal="left" readingOrder="0"/>
    </xf>
    <xf borderId="0" fillId="5" fontId="10" numFmtId="164" xfId="0" applyAlignment="1" applyFont="1" applyNumberFormat="1">
      <alignment horizontal="left"/>
    </xf>
    <xf borderId="0" fillId="0" fontId="42" numFmtId="0" xfId="0" applyAlignment="1" applyFont="1">
      <alignment horizontal="left" readingOrder="0"/>
    </xf>
    <xf borderId="0" fillId="0" fontId="43" numFmtId="0" xfId="0" applyAlignment="1" applyFont="1">
      <alignment horizontal="left" readingOrder="0"/>
    </xf>
    <xf borderId="1" fillId="2" fontId="1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left"/>
    </xf>
    <xf borderId="0" fillId="2" fontId="2" numFmtId="0" xfId="0" applyAlignment="1" applyFont="1">
      <alignment horizontal="left" readingOrder="0"/>
    </xf>
    <xf borderId="19" fillId="0" fontId="44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4" fillId="0" fontId="7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left"/>
    </xf>
    <xf borderId="0" fillId="0" fontId="9" numFmtId="0" xfId="0" applyAlignment="1" applyFont="1">
      <alignment horizontal="left" vertical="center"/>
    </xf>
    <xf borderId="5" fillId="17" fontId="3" numFmtId="0" xfId="0" applyAlignment="1" applyBorder="1" applyFill="1" applyFont="1">
      <alignment horizontal="center" readingOrder="0" vertical="center"/>
    </xf>
    <xf borderId="77" fillId="0" fontId="6" numFmtId="0" xfId="0" applyAlignment="1" applyBorder="1" applyFont="1">
      <alignment horizontal="center" readingOrder="0" vertical="center"/>
    </xf>
    <xf borderId="78" fillId="0" fontId="6" numFmtId="0" xfId="0" applyAlignment="1" applyBorder="1" applyFont="1">
      <alignment horizontal="center" readingOrder="0" vertical="center"/>
    </xf>
    <xf borderId="10" fillId="16" fontId="6" numFmtId="0" xfId="0" applyAlignment="1" applyBorder="1" applyFont="1">
      <alignment horizontal="center" vertical="center"/>
    </xf>
    <xf borderId="11" fillId="17" fontId="7" numFmtId="0" xfId="0" applyAlignment="1" applyBorder="1" applyFont="1">
      <alignment horizontal="center" readingOrder="0" vertical="center"/>
    </xf>
    <xf borderId="79" fillId="18" fontId="6" numFmtId="0" xfId="0" applyAlignment="1" applyBorder="1" applyFill="1" applyFont="1">
      <alignment horizontal="center" readingOrder="0" vertical="center"/>
    </xf>
    <xf borderId="80" fillId="0" fontId="6" numFmtId="0" xfId="0" applyAlignment="1" applyBorder="1" applyFont="1">
      <alignment horizontal="center" vertical="center"/>
    </xf>
    <xf borderId="81" fillId="13" fontId="45" numFmtId="0" xfId="0" applyAlignment="1" applyBorder="1" applyFont="1">
      <alignment horizontal="center" readingOrder="0" vertical="center"/>
    </xf>
    <xf borderId="82" fillId="13" fontId="45" numFmtId="0" xfId="0" applyAlignment="1" applyBorder="1" applyFont="1">
      <alignment horizontal="center" readingOrder="0" vertical="center"/>
    </xf>
    <xf borderId="83" fillId="13" fontId="45" numFmtId="0" xfId="0" applyAlignment="1" applyBorder="1" applyFont="1">
      <alignment horizontal="center" readingOrder="0" vertical="center"/>
    </xf>
    <xf borderId="80" fillId="19" fontId="6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5" fillId="20" fontId="3" numFmtId="0" xfId="0" applyAlignment="1" applyBorder="1" applyFill="1" applyFont="1">
      <alignment horizontal="center" readingOrder="0" vertical="center"/>
    </xf>
    <xf borderId="84" fillId="0" fontId="6" numFmtId="0" xfId="0" applyAlignment="1" applyBorder="1" applyFont="1">
      <alignment horizontal="center" readingOrder="0" vertical="center"/>
    </xf>
    <xf borderId="85" fillId="0" fontId="6" numFmtId="0" xfId="0" applyAlignment="1" applyBorder="1" applyFont="1">
      <alignment horizontal="center" readingOrder="0" vertical="center"/>
    </xf>
    <xf borderId="7" fillId="16" fontId="6" numFmtId="0" xfId="0" applyAlignment="1" applyBorder="1" applyFont="1">
      <alignment horizontal="center" vertical="center"/>
    </xf>
    <xf borderId="11" fillId="20" fontId="7" numFmtId="0" xfId="0" applyAlignment="1" applyBorder="1" applyFont="1">
      <alignment horizontal="center" readingOrder="0" vertical="center"/>
    </xf>
    <xf borderId="86" fillId="0" fontId="6" numFmtId="0" xfId="0" applyAlignment="1" applyBorder="1" applyFont="1">
      <alignment horizontal="center" readingOrder="0" vertical="center"/>
    </xf>
    <xf borderId="80" fillId="0" fontId="6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horizontal="center" readingOrder="0" vertical="center"/>
    </xf>
    <xf borderId="87" fillId="18" fontId="6" numFmtId="0" xfId="0" applyAlignment="1" applyBorder="1" applyFont="1">
      <alignment horizontal="center" readingOrder="0" vertical="center"/>
    </xf>
    <xf borderId="12" fillId="0" fontId="10" numFmtId="0" xfId="0" applyAlignment="1" applyBorder="1" applyFont="1">
      <alignment horizontal="center" readingOrder="0" vertical="center"/>
    </xf>
    <xf borderId="86" fillId="0" fontId="6" numFmtId="0" xfId="0" applyAlignment="1" applyBorder="1" applyFont="1">
      <alignment horizontal="center" vertical="center"/>
    </xf>
    <xf borderId="80" fillId="18" fontId="6" numFmtId="0" xfId="0" applyAlignment="1" applyBorder="1" applyFont="1">
      <alignment horizontal="center" readingOrder="0" vertical="center"/>
    </xf>
    <xf borderId="11" fillId="21" fontId="7" numFmtId="0" xfId="0" applyAlignment="1" applyBorder="1" applyFill="1" applyFont="1">
      <alignment horizontal="center" readingOrder="0" vertical="center"/>
    </xf>
    <xf borderId="5" fillId="11" fontId="3" numFmtId="0" xfId="0" applyAlignment="1" applyBorder="1" applyFont="1">
      <alignment horizontal="center" readingOrder="0" vertical="center"/>
    </xf>
    <xf borderId="84" fillId="0" fontId="14" numFmtId="0" xfId="0" applyAlignment="1" applyBorder="1" applyFont="1">
      <alignment horizontal="center" readingOrder="0" vertical="center"/>
    </xf>
    <xf borderId="78" fillId="0" fontId="14" numFmtId="0" xfId="0" applyAlignment="1" applyBorder="1" applyFont="1">
      <alignment horizontal="center" vertical="center"/>
    </xf>
    <xf borderId="78" fillId="0" fontId="8" numFmtId="0" xfId="0" applyAlignment="1" applyBorder="1" applyFont="1">
      <alignment horizontal="center" readingOrder="0" vertical="center"/>
    </xf>
    <xf borderId="78" fillId="0" fontId="14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vertical="center"/>
    </xf>
    <xf borderId="11" fillId="11" fontId="7" numFmtId="0" xfId="0" applyAlignment="1" applyBorder="1" applyFont="1">
      <alignment horizontal="center" readingOrder="0" vertical="center"/>
    </xf>
    <xf borderId="86" fillId="0" fontId="8" numFmtId="0" xfId="0" applyAlignment="1" applyBorder="1" applyFont="1">
      <alignment horizontal="center" vertical="center"/>
    </xf>
    <xf borderId="80" fillId="0" fontId="8" numFmtId="0" xfId="0" applyAlignment="1" applyBorder="1" applyFont="1">
      <alignment horizontal="center" vertical="center"/>
    </xf>
    <xf borderId="80" fillId="0" fontId="8" numFmtId="0" xfId="0" applyAlignment="1" applyBorder="1" applyFont="1">
      <alignment horizontal="center" readingOrder="0" vertical="center"/>
    </xf>
    <xf borderId="80" fillId="18" fontId="14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horizontal="center" vertical="center"/>
    </xf>
    <xf borderId="84" fillId="0" fontId="14" numFmtId="0" xfId="0" applyAlignment="1" applyBorder="1" applyFont="1">
      <alignment horizontal="center" vertical="center"/>
    </xf>
    <xf borderId="80" fillId="0" fontId="10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horizontal="center" vertical="center"/>
    </xf>
    <xf borderId="18" fillId="16" fontId="6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readingOrder="0" vertical="center"/>
    </xf>
    <xf borderId="19" fillId="11" fontId="3" numFmtId="0" xfId="0" applyAlignment="1" applyBorder="1" applyFont="1">
      <alignment horizontal="center" readingOrder="0" vertical="center"/>
    </xf>
    <xf borderId="19" fillId="0" fontId="14" numFmtId="0" xfId="0" applyAlignment="1" applyBorder="1" applyFont="1">
      <alignment horizontal="center" vertical="center"/>
    </xf>
    <xf borderId="20" fillId="0" fontId="8" numFmtId="0" xfId="0" applyAlignment="1" applyBorder="1" applyFont="1">
      <alignment horizontal="center" readingOrder="0" vertical="center"/>
    </xf>
    <xf borderId="20" fillId="0" fontId="14" numFmtId="0" xfId="0" applyAlignment="1" applyBorder="1" applyFont="1">
      <alignment horizontal="center" vertical="center"/>
    </xf>
    <xf borderId="20" fillId="0" fontId="14" numFmtId="0" xfId="0" applyAlignment="1" applyBorder="1" applyFont="1">
      <alignment horizontal="center" readingOrder="0" vertical="center"/>
    </xf>
    <xf borderId="20" fillId="0" fontId="6" numFmtId="0" xfId="0" applyAlignment="1" applyBorder="1" applyFont="1">
      <alignment horizontal="center" vertical="center"/>
    </xf>
    <xf borderId="88" fillId="22" fontId="3" numFmtId="0" xfId="0" applyAlignment="1" applyBorder="1" applyFill="1" applyFont="1">
      <alignment horizontal="center" readingOrder="0" vertical="center"/>
    </xf>
    <xf borderId="89" fillId="0" fontId="46" numFmtId="0" xfId="0" applyAlignment="1" applyBorder="1" applyFont="1">
      <alignment horizontal="center" readingOrder="0" vertical="center"/>
    </xf>
    <xf borderId="8" fillId="0" fontId="46" numFmtId="0" xfId="0" applyAlignment="1" applyBorder="1" applyFont="1">
      <alignment horizontal="center" readingOrder="0" vertical="center"/>
    </xf>
    <xf borderId="9" fillId="16" fontId="6" numFmtId="0" xfId="0" applyAlignment="1" applyBorder="1" applyFont="1">
      <alignment horizontal="center" readingOrder="0" vertical="center"/>
    </xf>
    <xf borderId="90" fillId="22" fontId="3" numFmtId="0" xfId="0" applyAlignment="1" applyBorder="1" applyFont="1">
      <alignment horizontal="center" readingOrder="0" vertical="center"/>
    </xf>
    <xf borderId="91" fillId="22" fontId="3" numFmtId="0" xfId="0" applyAlignment="1" applyBorder="1" applyFont="1">
      <alignment horizontal="center" readingOrder="0" vertical="center"/>
    </xf>
    <xf borderId="8" fillId="0" fontId="47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center" readingOrder="0" vertical="center"/>
    </xf>
    <xf borderId="92" fillId="0" fontId="3" numFmtId="0" xfId="0" applyAlignment="1" applyBorder="1" applyFont="1">
      <alignment horizontal="center" readingOrder="0" vertical="center"/>
    </xf>
    <xf borderId="5" fillId="16" fontId="3" numFmtId="0" xfId="0" applyAlignment="1" applyBorder="1" applyFont="1">
      <alignment horizontal="center" readingOrder="0" vertical="center"/>
    </xf>
    <xf borderId="89" fillId="0" fontId="14" numFmtId="0" xfId="0" applyAlignment="1" applyBorder="1" applyFont="1">
      <alignment horizontal="center" readingOrder="0" vertical="center"/>
    </xf>
    <xf borderId="8" fillId="0" fontId="14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4" fillId="16" fontId="3" numFmtId="0" xfId="0" applyAlignment="1" applyBorder="1" applyFont="1">
      <alignment horizontal="center" readingOrder="0" vertical="center"/>
    </xf>
    <xf borderId="11" fillId="16" fontId="3" numFmtId="0" xfId="0" applyAlignment="1" applyBorder="1" applyFont="1">
      <alignment horizontal="center" readingOrder="0" vertical="center"/>
    </xf>
    <xf borderId="5" fillId="23" fontId="3" numFmtId="0" xfId="0" applyAlignment="1" applyBorder="1" applyFill="1" applyFont="1">
      <alignment horizontal="center" readingOrder="0" vertical="center"/>
    </xf>
    <xf borderId="8" fillId="0" fontId="48" numFmtId="0" xfId="0" applyAlignment="1" applyBorder="1" applyFont="1">
      <alignment horizontal="center" readingOrder="0" vertical="center"/>
    </xf>
    <xf borderId="4" fillId="23" fontId="3" numFmtId="0" xfId="0" applyAlignment="1" applyBorder="1" applyFont="1">
      <alignment horizontal="center" readingOrder="0" vertical="center"/>
    </xf>
    <xf borderId="11" fillId="23" fontId="3" numFmtId="0" xfId="0" applyAlignment="1" applyBorder="1" applyFont="1">
      <alignment horizontal="center" readingOrder="0" vertical="center"/>
    </xf>
    <xf borderId="7" fillId="16" fontId="6" numFmtId="0" xfId="0" applyAlignment="1" applyBorder="1" applyFont="1">
      <alignment horizontal="center" readingOrder="0" vertical="center"/>
    </xf>
    <xf borderId="4" fillId="3" fontId="8" numFmtId="0" xfId="0" applyAlignment="1" applyBorder="1" applyFont="1">
      <alignment horizontal="center" readingOrder="0" vertical="center"/>
    </xf>
    <xf borderId="4" fillId="3" fontId="49" numFmtId="0" xfId="0" applyAlignment="1" applyBorder="1" applyFont="1">
      <alignment horizontal="center" readingOrder="0" vertical="center"/>
    </xf>
    <xf borderId="4" fillId="4" fontId="49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/>
    </xf>
    <xf borderId="5" fillId="18" fontId="3" numFmtId="0" xfId="0" applyAlignment="1" applyBorder="1" applyFont="1">
      <alignment horizontal="center" readingOrder="0" vertical="center"/>
    </xf>
    <xf borderId="8" fillId="0" fontId="50" numFmtId="0" xfId="0" applyAlignment="1" applyBorder="1" applyFont="1">
      <alignment horizontal="center" readingOrder="0" vertical="center"/>
    </xf>
    <xf borderId="4" fillId="18" fontId="3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readingOrder="0" vertical="center"/>
    </xf>
    <xf borderId="19" fillId="0" fontId="46" numFmtId="0" xfId="0" applyAlignment="1" applyBorder="1" applyFont="1">
      <alignment horizontal="center" readingOrder="0" vertical="center"/>
    </xf>
    <xf borderId="20" fillId="0" fontId="46" numFmtId="0" xfId="0" applyAlignment="1" applyBorder="1" applyFont="1">
      <alignment horizontal="center" readingOrder="0" vertical="center"/>
    </xf>
    <xf borderId="20" fillId="0" fontId="5" numFmtId="0" xfId="0" applyAlignment="1" applyBorder="1" applyFont="1">
      <alignment horizontal="center" readingOrder="0" vertical="center"/>
    </xf>
    <xf borderId="6" fillId="0" fontId="50" numFmtId="0" xfId="0" applyAlignment="1" applyBorder="1" applyFont="1">
      <alignment horizontal="center" readingOrder="0" vertical="center"/>
    </xf>
    <xf borderId="20" fillId="0" fontId="6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6" fillId="0" fontId="46" numFmtId="0" xfId="0" applyAlignment="1" applyBorder="1" applyFont="1">
      <alignment horizontal="center" readingOrder="0" vertical="center"/>
    </xf>
    <xf borderId="19" fillId="0" fontId="51" numFmtId="0" xfId="0" applyAlignment="1" applyBorder="1" applyFont="1">
      <alignment horizontal="center" readingOrder="0" vertical="center"/>
    </xf>
    <xf borderId="20" fillId="0" fontId="52" numFmtId="0" xfId="0" applyAlignment="1" applyBorder="1" applyFont="1">
      <alignment horizontal="center" readingOrder="0" vertical="center"/>
    </xf>
    <xf borderId="18" fillId="0" fontId="6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left"/>
    </xf>
    <xf borderId="11" fillId="4" fontId="49" numFmtId="0" xfId="0" applyAlignment="1" applyBorder="1" applyFont="1">
      <alignment horizontal="center" readingOrder="0" vertical="center"/>
    </xf>
    <xf borderId="11" fillId="0" fontId="46" numFmtId="0" xfId="0" applyAlignment="1" applyBorder="1" applyFont="1">
      <alignment horizontal="center" readingOrder="0" vertical="center"/>
    </xf>
    <xf borderId="12" fillId="0" fontId="46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readingOrder="0" vertical="center"/>
    </xf>
    <xf borderId="13" fillId="16" fontId="6" numFmtId="0" xfId="0" applyAlignment="1" applyBorder="1" applyFont="1">
      <alignment horizontal="center" readingOrder="0" vertical="center"/>
    </xf>
    <xf borderId="15" fillId="3" fontId="7" numFmtId="0" xfId="0" applyAlignment="1" applyBorder="1" applyFont="1">
      <alignment horizontal="center" readingOrder="0" vertical="center"/>
    </xf>
    <xf borderId="5" fillId="3" fontId="49" numFmtId="0" xfId="0" applyAlignment="1" applyBorder="1" applyFont="1">
      <alignment horizontal="center" readingOrder="0" vertical="center"/>
    </xf>
    <xf borderId="3" fillId="6" fontId="3" numFmtId="165" xfId="0" applyAlignment="1" applyBorder="1" applyFont="1" applyNumberFormat="1">
      <alignment horizontal="center" readingOrder="0" vertical="center"/>
    </xf>
    <xf borderId="3" fillId="7" fontId="3" numFmtId="165" xfId="0" applyAlignment="1" applyBorder="1" applyFont="1" applyNumberFormat="1">
      <alignment horizontal="center" readingOrder="0" vertical="center"/>
    </xf>
    <xf borderId="0" fillId="24" fontId="9" numFmtId="0" xfId="0" applyAlignment="1" applyFill="1" applyFont="1">
      <alignment horizontal="left" readingOrder="0"/>
    </xf>
    <xf borderId="0" fillId="24" fontId="9" numFmtId="164" xfId="0" applyAlignment="1" applyFont="1" applyNumberFormat="1">
      <alignment horizontal="right"/>
    </xf>
    <xf borderId="0" fillId="24" fontId="9" numFmtId="0" xfId="0" applyAlignment="1" applyFont="1">
      <alignment horizontal="left"/>
    </xf>
    <xf borderId="0" fillId="0" fontId="9" numFmtId="164" xfId="0" applyAlignment="1" applyFont="1" applyNumberFormat="1">
      <alignment horizontal="right" readingOrder="0"/>
    </xf>
    <xf borderId="0" fillId="0" fontId="53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5" fillId="0" fontId="2" numFmtId="0" xfId="0" applyAlignment="1" applyBorder="1" applyFont="1">
      <alignment horizontal="left" readingOrder="0"/>
    </xf>
    <xf borderId="7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left" readingOrder="0"/>
    </xf>
    <xf borderId="4" fillId="0" fontId="2" numFmtId="0" xfId="0" applyAlignment="1" applyBorder="1" applyFont="1">
      <alignment horizontal="left"/>
    </xf>
    <xf borderId="11" fillId="0" fontId="2" numFmtId="0" xfId="0" applyAlignment="1" applyBorder="1" applyFont="1">
      <alignment horizontal="left" readingOrder="0"/>
    </xf>
    <xf borderId="11" fillId="0" fontId="2" numFmtId="0" xfId="0" applyAlignment="1" applyBorder="1" applyFont="1">
      <alignment horizontal="left"/>
    </xf>
    <xf borderId="0" fillId="0" fontId="17" numFmtId="0" xfId="0" applyAlignment="1" applyFont="1">
      <alignment horizontal="left"/>
    </xf>
    <xf borderId="0" fillId="0" fontId="7" numFmtId="0" xfId="0" applyAlignment="1" applyFont="1">
      <alignment horizontal="center" readingOrder="0" shrinkToFit="0" vertical="center" wrapText="1"/>
    </xf>
    <xf borderId="0" fillId="0" fontId="54" numFmtId="0" xfId="0" applyAlignment="1" applyFont="1">
      <alignment horizontal="left" shrinkToFit="0" wrapText="1"/>
    </xf>
    <xf borderId="0" fillId="0" fontId="55" numFmtId="0" xfId="0" applyAlignment="1" applyFont="1">
      <alignment horizontal="right" readingOrder="0" shrinkToFit="0" vertical="top" wrapText="1"/>
    </xf>
    <xf borderId="0" fillId="0" fontId="7" numFmtId="0" xfId="0" applyAlignment="1" applyFont="1">
      <alignment horizontal="right" readingOrder="0" shrinkToFit="0" vertical="top" wrapText="1"/>
    </xf>
    <xf borderId="2" fillId="15" fontId="7" numFmtId="0" xfId="0" applyAlignment="1" applyBorder="1" applyFont="1">
      <alignment horizontal="right" readingOrder="0" shrinkToFit="0" vertical="top" wrapText="1"/>
    </xf>
    <xf borderId="2" fillId="0" fontId="7" numFmtId="0" xfId="0" applyAlignment="1" applyBorder="1" applyFont="1">
      <alignment horizontal="right" readingOrder="0" shrinkToFit="0" vertical="top" wrapText="1"/>
    </xf>
    <xf borderId="0" fillId="0" fontId="56" numFmtId="0" xfId="0" applyAlignment="1" applyFont="1">
      <alignment horizontal="center"/>
    </xf>
    <xf borderId="0" fillId="0" fontId="56" numFmtId="164" xfId="0" applyAlignment="1" applyFont="1" applyNumberFormat="1">
      <alignment horizontal="center"/>
    </xf>
    <xf borderId="19" fillId="0" fontId="56" numFmtId="0" xfId="0" applyAlignment="1" applyBorder="1" applyFont="1">
      <alignment horizontal="center" readingOrder="0"/>
    </xf>
    <xf borderId="0" fillId="0" fontId="9" numFmtId="0" xfId="0" applyAlignment="1" applyFont="1">
      <alignment horizontal="center"/>
    </xf>
    <xf borderId="0" fillId="0" fontId="56" numFmtId="0" xfId="0" applyAlignment="1" applyFont="1">
      <alignment horizontal="center" readingOrder="0"/>
    </xf>
    <xf borderId="0" fillId="0" fontId="56" numFmtId="164" xfId="0" applyAlignment="1" applyFont="1" applyNumberFormat="1">
      <alignment horizontal="center" readingOrder="0"/>
    </xf>
    <xf borderId="4" fillId="0" fontId="7" numFmtId="0" xfId="0" applyAlignment="1" applyBorder="1" applyFont="1">
      <alignment horizontal="center" readingOrder="0"/>
    </xf>
    <xf borderId="4" fillId="0" fontId="10" numFmtId="170" xfId="0" applyAlignment="1" applyBorder="1" applyFont="1" applyNumberFormat="1">
      <alignment horizontal="right" readingOrder="0"/>
    </xf>
    <xf borderId="0" fillId="0" fontId="10" numFmtId="170" xfId="0" applyAlignment="1" applyFont="1" applyNumberFormat="1">
      <alignment horizontal="right" readingOrder="0"/>
    </xf>
    <xf borderId="10" fillId="0" fontId="10" numFmtId="170" xfId="0" applyAlignment="1" applyBorder="1" applyFont="1" applyNumberFormat="1">
      <alignment horizontal="right" readingOrder="0"/>
    </xf>
    <xf borderId="5" fillId="0" fontId="56" numFmtId="0" xfId="0" applyAlignment="1" applyBorder="1" applyFont="1">
      <alignment horizontal="left" readingOrder="0"/>
    </xf>
    <xf borderId="7" fillId="13" fontId="10" numFmtId="164" xfId="0" applyAlignment="1" applyBorder="1" applyFont="1" applyNumberFormat="1">
      <alignment horizontal="right" readingOrder="0"/>
    </xf>
    <xf borderId="7" fillId="0" fontId="10" numFmtId="164" xfId="0" applyAlignment="1" applyBorder="1" applyFont="1" applyNumberFormat="1">
      <alignment horizontal="right" readingOrder="0"/>
    </xf>
    <xf borderId="7" fillId="25" fontId="10" numFmtId="164" xfId="0" applyAlignment="1" applyBorder="1" applyFill="1" applyFont="1" applyNumberFormat="1">
      <alignment horizontal="right" readingOrder="0"/>
    </xf>
    <xf borderId="3" fillId="25" fontId="6" numFmtId="164" xfId="0" applyAlignment="1" applyBorder="1" applyFont="1" applyNumberFormat="1">
      <alignment horizontal="right" readingOrder="0"/>
    </xf>
    <xf borderId="3" fillId="25" fontId="10" numFmtId="164" xfId="0" applyAlignment="1" applyBorder="1" applyFont="1" applyNumberFormat="1">
      <alignment horizontal="right" readingOrder="0"/>
    </xf>
    <xf borderId="3" fillId="0" fontId="6" numFmtId="164" xfId="0" applyAlignment="1" applyBorder="1" applyFont="1" applyNumberFormat="1">
      <alignment horizontal="right"/>
    </xf>
    <xf borderId="0" fillId="0" fontId="10" numFmtId="0" xfId="0" applyAlignment="1" applyFont="1">
      <alignment horizontal="left" readingOrder="0"/>
    </xf>
    <xf borderId="4" fillId="0" fontId="56" numFmtId="0" xfId="0" applyAlignment="1" applyBorder="1" applyFont="1">
      <alignment horizontal="left" readingOrder="0"/>
    </xf>
    <xf borderId="10" fillId="13" fontId="10" numFmtId="164" xfId="0" applyAlignment="1" applyBorder="1" applyFont="1" applyNumberFormat="1">
      <alignment horizontal="right" readingOrder="0"/>
    </xf>
    <xf borderId="10" fillId="0" fontId="10" numFmtId="164" xfId="0" applyAlignment="1" applyBorder="1" applyFont="1" applyNumberFormat="1">
      <alignment horizontal="right" readingOrder="0"/>
    </xf>
    <xf borderId="1" fillId="0" fontId="6" numFmtId="164" xfId="0" applyAlignment="1" applyBorder="1" applyFont="1" applyNumberFormat="1">
      <alignment horizontal="right" readingOrder="0"/>
    </xf>
    <xf borderId="1" fillId="0" fontId="10" numFmtId="164" xfId="0" applyAlignment="1" applyBorder="1" applyFont="1" applyNumberFormat="1">
      <alignment horizontal="right" readingOrder="0"/>
    </xf>
    <xf borderId="1" fillId="25" fontId="6" numFmtId="164" xfId="0" applyAlignment="1" applyBorder="1" applyFont="1" applyNumberFormat="1">
      <alignment horizontal="right" readingOrder="0"/>
    </xf>
    <xf borderId="1" fillId="25" fontId="10" numFmtId="164" xfId="0" applyAlignment="1" applyBorder="1" applyFont="1" applyNumberFormat="1">
      <alignment horizontal="right" readingOrder="0"/>
    </xf>
    <xf borderId="10" fillId="25" fontId="10" numFmtId="164" xfId="0" applyAlignment="1" applyBorder="1" applyFont="1" applyNumberFormat="1">
      <alignment horizontal="right" readingOrder="0"/>
    </xf>
    <xf borderId="1" fillId="0" fontId="6" numFmtId="164" xfId="0" applyAlignment="1" applyBorder="1" applyFont="1" applyNumberFormat="1">
      <alignment horizontal="right"/>
    </xf>
    <xf borderId="11" fillId="0" fontId="56" numFmtId="0" xfId="0" applyAlignment="1" applyBorder="1" applyFont="1">
      <alignment horizontal="left" readingOrder="0"/>
    </xf>
    <xf borderId="13" fillId="13" fontId="10" numFmtId="164" xfId="0" applyAlignment="1" applyBorder="1" applyFont="1" applyNumberFormat="1">
      <alignment horizontal="right" readingOrder="0"/>
    </xf>
    <xf borderId="13" fillId="0" fontId="10" numFmtId="164" xfId="0" applyAlignment="1" applyBorder="1" applyFont="1" applyNumberFormat="1">
      <alignment horizontal="right" readingOrder="0"/>
    </xf>
    <xf borderId="15" fillId="0" fontId="10" numFmtId="164" xfId="0" applyAlignment="1" applyBorder="1" applyFont="1" applyNumberFormat="1">
      <alignment horizontal="right" readingOrder="0"/>
    </xf>
    <xf borderId="15" fillId="0" fontId="6" numFmtId="164" xfId="0" applyAlignment="1" applyBorder="1" applyFont="1" applyNumberFormat="1">
      <alignment horizontal="right" readingOrder="0"/>
    </xf>
    <xf borderId="15" fillId="25" fontId="10" numFmtId="164" xfId="0" applyAlignment="1" applyBorder="1" applyFont="1" applyNumberFormat="1">
      <alignment horizontal="right" readingOrder="0"/>
    </xf>
    <xf borderId="0" fillId="0" fontId="10" numFmtId="164" xfId="0" applyAlignment="1" applyFont="1" applyNumberFormat="1">
      <alignment horizontal="right"/>
    </xf>
    <xf borderId="11" fillId="0" fontId="10" numFmtId="164" xfId="0" applyAlignment="1" applyBorder="1" applyFont="1" applyNumberFormat="1">
      <alignment horizontal="center"/>
    </xf>
    <xf borderId="19" fillId="0" fontId="10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thur Pasta Makers ®" id="{59248724-edaf-4146-ad43-2908b76df815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83" dT="2022-01-08T00:34:41.00" personId="{59248724-edaf-4146-ad43-2908b76df815}" id="{120b97db-ff61-460d-865c-6a9b5440cbb5}" done="1">
    <x18tc:text xml:space="preserve">CUOTA 8/40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416" dT="2023-04-17T21:19:28.00" personId="{59248724-edaf-4146-ad43-2908b76df815}" id="{cb1d2a96-f94f-4c34-94f4-1e6a9d5047b1}" done="1">
    <x18tc:text xml:space="preserve">SE LE DIO DIA LUNES</x18tc:text>
  </x18tc:threadedComment>
  <x18tc:threadedComment ref="D571" dT="2023-08-12T17:32:48.00" personId="{59248724-edaf-4146-ad43-2908b76df815}" id="{e2801ac7-ae93-44b3-9908-ff34fa7d6834}" done="0">
    <x18tc:text xml:space="preserve">se le liquido el 12/8 a Mariela (los dias de julio trabajados</x18tc:text>
  </x18tc:threadedComment>
  <x18tc:threadedComment ref="K454" dT="2023-05-13T18:38:02.00" personId="{59248724-edaf-4146-ad43-2908b76df815}" id="{f8fe93f2-7f97-410c-ba67-f41710b108b1}" done="0">
    <x18tc:text xml:space="preserve">no vino sabado, se le desconto</x18tc:text>
  </x18tc:threadedComment>
  <x18tc:threadedComment ref="D595" dT="2023-08-12T17:33:49.00" personId="{59248724-edaf-4146-ad43-2908b76df815}" id="{1eb2ceca-d63a-4155-9011-8a72c6ae94d4}" done="0">
    <x18tc:text xml:space="preserve">se le liquido el 12/8 los dias trabajados</x18tc:text>
  </x18tc:threadedComment>
  <x18tc:threadedComment ref="L455" dT="2023-05-11T22:35:16.00" personId="{59248724-edaf-4146-ad43-2908b76df815}" id="{2374a2b8-5a85-4c51-8914-937a9379b66a}" done="0">
    <x18tc:text xml:space="preserve">MIERCOLES 16 A 20
JUEVES 14 A 20</x18tc:text>
  </x18tc:threadedComment>
  <x18tc:threadedComment ref="D550" dT="2023-07-08T18:23:05.00" personId="{59248724-edaf-4146-ad43-2908b76df815}" id="{929fd42e-d16a-4095-9ac7-5e79ca6d53d9}" done="0">
    <x18tc:text xml:space="preserve">falto el dia 5/7 sin justificativo medico</x18tc:text>
  </x18tc:threadedComment>
  <x18tc:threadedComment ref="D558" dT="2023-07-21T15:44:38.00" personId="{59248724-edaf-4146-ad43-2908b76df815}" id="{afe77c73-204c-467d-b62f-e4803cc4b15f}" done="0">
    <x18tc:text xml:space="preserve">falto sin cert el mierc 12</x18tc:text>
  </x18tc:threadedComment>
  <x18tc:threadedComment ref="D566" dT="2023-07-26T17:38:04.00" personId="{59248724-edaf-4146-ad43-2908b76df815}" id="{a90b2147-55a4-4106-bee8-3f1631fc3048}" done="0">
    <x18tc:text xml:space="preserve">falto viernes y sabado</x18tc:text>
  </x18tc:threadedComment>
  <x18tc:threadedComment ref="K446" dT="2023-05-13T18:36:57.00" personId="{59248724-edaf-4146-ad43-2908b76df815}" id="{371555a2-9fd5-41d0-b8d5-02d46d7731eb}" done="1">
    <x18tc:text xml:space="preserve">no vino sabado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807" dT="2024-10-07T17:38:10.00" personId="{59248724-edaf-4146-ad43-2908b76df815}" id="{653944fe-f571-4c58-b303-372fd9d997c2}" done="0">
    <x18tc:text xml:space="preserve">harina de almendra 1k</x18tc:text>
  </x18tc:threadedComment>
  <x18tc:threadedComment ref="L818" dT="2024-10-16T17:53:25.00" personId="{59248724-edaf-4146-ad43-2908b76df815}" id="{7606d45e-344e-488e-b785-fb23260a6a83}" done="0">
    <x18tc:text xml:space="preserve">cafe</x18tc:text>
  </x18tc:threadedComment>
  <x18tc:threadedComment ref="L797" dT="2024-10-02T18:12:27.00" personId="{59248724-edaf-4146-ad43-2908b76df815}" id="{9d14dbc0-8787-4721-8b32-b954d4b590b8}" done="0">
    <x18tc:text xml:space="preserve">CUARTOS DE CAFE</x18tc:text>
  </x18tc:threadedComment>
  <x18tc:threadedComment ref="L797" dT="2024-10-05T19:02:08.00" personId="{59248724-edaf-4146-ad43-2908b76df815}" id="{61f5ec16-63eb-4aaa-a377-69f37536fa6c}" parentId="{9d14dbc0-8787-4721-8b32-b954d4b590b8}">
    <x18tc:text xml:space="preserve">era 41600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679" dT="2025-08-11T18:05:28.00" personId="{59248724-edaf-4146-ad43-2908b76df815}" id="{fd991eef-b2a4-4eb2-8b7d-08dccec192f9}" done="0">
    <x18tc:text xml:space="preserve">transfer 10/8</x18tc:text>
  </x18tc:threadedComment>
  <x18tc:threadedComment ref="I808" dT="2025-10-24T20:18:18.00" personId="{59248724-edaf-4146-ad43-2908b76df815}" id="{2ae4d7ee-1bc2-4d3c-90e4-b12b142043a5}" done="0">
    <x18tc:text xml:space="preserve">factura tutto farra baby shower</x18tc:text>
  </x18tc:threadedComment>
  <x18tc:threadedComment ref="E798" dT="2025-10-17T20:01:45.00" personId="{59248724-edaf-4146-ad43-2908b76df815}" id="{c900248c-6c51-4c75-95fd-6acabc52b132}" done="0">
    <x18tc:text xml:space="preserve">LOS 270 DE LAS VACACIONES SE LOS DOY EL LUNES 27</x18tc:text>
  </x18tc:threadedComment>
  <x18tc:threadedComment ref="C461" dT="2025-04-18T16:49:14.00" personId="{59248724-edaf-4146-ad43-2908b76df815}" id="{505a3d9f-8b33-46a5-9906-cc84ded79e67}" done="0">
    <x18tc:text xml:space="preserve">se le debia 1 semana de vacas</x18tc:text>
  </x18tc:threadedComment>
  <x18tc:threadedComment ref="B606" dT="2025-07-09T22:10:24.00" personId="{59248724-edaf-4146-ad43-2908b76df815}" id="{ec8c8cd6-214d-466d-a58c-c096369b1b5b}" done="0">
    <x18tc:text xml:space="preserve">se pago el martes 8/7</x18tc:text>
  </x18tc:threadedComment>
  <x18tc:threadedComment ref="H698" dT="2025-08-28T17:06:09.00" personId="{59248724-edaf-4146-ad43-2908b76df815}" id="{877db4d3-528e-4449-9262-4ff4f8022b96}" done="0">
    <x18tc:text xml:space="preserve">diferencial x horas de cocina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425" dT="2026-03-14T19:12:09.00" personId="{59248724-edaf-4146-ad43-2908b76df815}" id="{dbbeeaf9-f4a9-48bc-beec-6bd2a567093b}" done="0">
    <x18tc:text xml:space="preserve">consum 10/3
budin</x18tc:text>
  </x18tc:threadedComment>
  <x18tc:threadedComment ref="E402" dT="2026-03-07T17:06:06.00" personId="{59248724-edaf-4146-ad43-2908b76df815}" id="{67c0a815-1aa7-4084-bdf5-926a62585754}" done="1">
    <x18tc:text xml:space="preserve">se pago lo adeudado de la semana anterior</x18tc:text>
  </x18tc:threadedComment>
  <x18tc:threadedComment ref="E402" dT="2026-03-07T17:06:21.00" personId="{59248724-edaf-4146-ad43-2908b76df815}" id="{08f02c65-f4d0-458c-a9fc-3441436b39a4}" done="0">
    <x18tc:text xml:space="preserve">se pago lo adeudado de la semana anterior</x18tc:text>
  </x18tc:threadedComment>
  <x18tc:threadedComment ref="H355" dT="2026-02-14T18:12:22.00" personId="{59248724-edaf-4146-ad43-2908b76df815}" id="{2ae3c4fd-7184-493f-8955-9f4b0db1ef50}" done="0">
    <x18tc:text xml:space="preserve">vacaciones no gozadas</x18tc:text>
  </x18tc:threadedComment>
  <x18tc:threadedComment ref="H342" dT="2026-02-04T16:40:13.00" personId="{59248724-edaf-4146-ad43-2908b76df815}" id="{df6544c2-c5e1-4b92-880b-a3f72906991f}" done="0">
    <x18tc:text xml:space="preserve">se pago el miercoles 4/2</x18tc:text>
  </x18tc:threadedComment>
  <x18tc:threadedComment ref="I449" dT="2026-04-01T18:53:20.00" personId="{59248724-edaf-4146-ad43-2908b76df815}" id="{a20e08f8-e51d-4775-96ef-6260167c88ca}" done="0">
    <x18tc:text xml:space="preserve">retiro de 20000 30/4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17" dT="2021-08-14T19:45:13.00" personId="{59248724-edaf-4146-ad43-2908b76df815}" id="{8b655777-1511-45f6-92ba-4b950eed85e4}" done="0">
    <x18tc:text xml:space="preserve">falto 1 dia y medio x eso se pago 1000 de extras y no 2000</x18tc:text>
  </x18tc:threadedComment>
  <x18tc:threadedComment ref="G269" dT="2021-11-17T17:22:08.00" personId="{59248724-edaf-4146-ad43-2908b76df815}" id="{d0904054-1ff2-4333-9314-487f6785b06d}" done="1">
    <x18tc:text xml:space="preserve">martes vino a las 11</x18tc:text>
  </x18tc:threadedComment>
  <x18tc:threadedComment ref="F264" dT="2021-10-22T23:27:05.00" personId="{59248724-edaf-4146-ad43-2908b76df815}" id="{eb9650e7-ce0e-47d4-bd06-4b94d0952823}" done="0">
    <x18tc:text xml:space="preserve">llegada tarde</x18tc:text>
  </x18tc:threadedComment>
  <x18tc:threadedComment ref="G293" dT="2021-11-17T17:28:13.00" personId="{59248724-edaf-4146-ad43-2908b76df815}" id="{8ff91ebb-bf4d-4f17-a5a7-1610d1006ff1}" done="1">
    <x18tc:text xml:space="preserve">MARTES LLEGO 11HS</x18tc:text>
  </x18tc:threadedComment>
  <x18tc:threadedComment ref="F212" dT="2021-08-10T22:42:55.00" personId="{59248724-edaf-4146-ad43-2908b76df815}" id="{cad2d3fb-2cc4-4030-ae0c-eca35302b79b}" done="0">
    <x18tc:text xml:space="preserve">1 ternerita 1 pyj 1 bolo 1 oreo</x18tc:text>
  </x18tc:threadedComment>
  <x18tc:threadedComment ref="C269" dT="2021-11-17T17:21:51.00" personId="{59248724-edaf-4146-ad43-2908b76df815}" id="{814d0fc2-9757-42cf-bd54-cabab265368e}" done="1">
    <x18tc:text xml:space="preserve">martes vino 9.30</x18tc:text>
  </x18tc:threadedComment>
  <x18tc:threadedComment ref="K269" dT="2021-11-17T17:24:13.00" personId="{59248724-edaf-4146-ad43-2908b76df815}" id="{e26646dc-5398-4109-ac0e-988f0352ccd9}" done="1">
    <x18tc:text xml:space="preserve">vino martes 9.30</x18tc:text>
  </x18tc:threadedComment>
  <x18tc:threadedComment ref="F77" dT="2021-03-17T22:21:52.00" personId="{59248724-edaf-4146-ad43-2908b76df815}" id="{6f31b230-37c3-4e65-bc3c-cd63fe888663}" done="0">
    <x18tc:text xml:space="preserve">dia sabado 13 descontado x ausente sin aviso</x18tc:text>
  </x18tc:threadedComment>
  <x18tc:threadedComment ref="K269" dT="2021-11-17T17:22:40.00" personId="{59248724-edaf-4146-ad43-2908b76df815}" id="{92728964-b829-4249-b128-7a4d4b2298f4}" done="1">
    <x18tc:text xml:space="preserve">martes vino 9.30</x18tc:text>
  </x18tc:threadedComment>
  <x18tc:threadedComment ref="G77" dT="2021-03-17T22:26:04.00" personId="{59248724-edaf-4146-ad43-2908b76df815}" id="{77251245-9121-44fb-9cc5-ad805865fe8b}" done="0">
    <x18tc:text xml:space="preserve">suma horas extra para cubrir a Rafa</x18tc:text>
  </x18tc:threadedComment>
  <x18tc:threadedComment ref="K269" dT="2021-11-17T17:23:12.00" personId="{59248724-edaf-4146-ad43-2908b76df815}" id="{92a07490-5ca9-4964-95b2-d231f0d5e6ad}" done="1">
    <x18tc:text xml:space="preserve">martes vino 9.30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14"/>
    <col customWidth="1" min="3" max="3" width="13.71"/>
    <col customWidth="1" min="8" max="8" width="16.43"/>
    <col customWidth="1" min="10" max="13" width="14.0"/>
    <col customWidth="1" min="14" max="14" width="20.71"/>
  </cols>
  <sheetData>
    <row r="1" hidden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/>
      <c r="K1" s="4"/>
      <c r="L1" s="4"/>
      <c r="M1" s="4"/>
      <c r="N1" s="1" t="s">
        <v>0</v>
      </c>
      <c r="O1" s="2" t="s">
        <v>1</v>
      </c>
      <c r="P1" s="3" t="s">
        <v>2</v>
      </c>
      <c r="Q1" s="3" t="s">
        <v>3</v>
      </c>
      <c r="R1" s="3" t="s">
        <v>4</v>
      </c>
      <c r="S1" s="3" t="s">
        <v>9</v>
      </c>
      <c r="T1" s="3" t="s">
        <v>5</v>
      </c>
      <c r="U1" s="3" t="s">
        <v>6</v>
      </c>
      <c r="V1" s="1" t="s">
        <v>10</v>
      </c>
      <c r="W1" s="4" t="s">
        <v>7</v>
      </c>
      <c r="X1" s="4" t="s">
        <v>8</v>
      </c>
      <c r="Y1" s="5" t="s">
        <v>11</v>
      </c>
    </row>
    <row r="2" hidden="1">
      <c r="A2" s="6" t="s">
        <v>12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hidden="1">
      <c r="A3" s="9">
        <v>43918.0</v>
      </c>
      <c r="B3" s="10">
        <v>8500.0</v>
      </c>
      <c r="C3" s="10">
        <v>7250.0</v>
      </c>
      <c r="D3" s="10">
        <v>6050.0</v>
      </c>
      <c r="E3" s="10">
        <v>6050.0</v>
      </c>
      <c r="F3" s="10">
        <v>5800.0</v>
      </c>
      <c r="G3" s="10">
        <v>5800.0</v>
      </c>
      <c r="H3" s="11">
        <v>0.0</v>
      </c>
      <c r="I3" s="12"/>
      <c r="J3" s="12"/>
      <c r="K3" s="12"/>
      <c r="L3" s="12"/>
      <c r="M3" s="12"/>
      <c r="N3" s="13">
        <f>SUM(B3:I3)</f>
        <v>39450</v>
      </c>
    </row>
    <row r="4" hidden="1">
      <c r="A4" s="14">
        <v>44108.0</v>
      </c>
      <c r="B4" s="10">
        <v>8500.0</v>
      </c>
      <c r="C4" s="10">
        <v>7250.0</v>
      </c>
      <c r="D4" s="10">
        <v>6050.0</v>
      </c>
      <c r="E4" s="10">
        <v>6050.0</v>
      </c>
      <c r="F4" s="10">
        <v>5800.0</v>
      </c>
      <c r="G4" s="10">
        <v>5800.0</v>
      </c>
      <c r="H4" s="11">
        <v>0.0</v>
      </c>
      <c r="I4" s="12"/>
      <c r="J4" s="12"/>
      <c r="K4" s="12"/>
      <c r="L4" s="12"/>
      <c r="M4" s="12"/>
      <c r="N4" s="13">
        <f t="shared" ref="N4:N7" si="1">SUM(B4:H4)</f>
        <v>39450</v>
      </c>
    </row>
    <row r="5" hidden="1">
      <c r="A5" s="15" t="s">
        <v>13</v>
      </c>
      <c r="B5" s="10">
        <v>8500.0</v>
      </c>
      <c r="C5" s="10">
        <v>7250.0</v>
      </c>
      <c r="D5" s="10">
        <v>6050.0</v>
      </c>
      <c r="E5" s="10">
        <v>6050.0</v>
      </c>
      <c r="F5" s="10">
        <v>5800.0</v>
      </c>
      <c r="G5" s="10">
        <v>5800.0</v>
      </c>
      <c r="H5" s="11">
        <v>0.0</v>
      </c>
      <c r="I5" s="12"/>
      <c r="J5" s="12"/>
      <c r="K5" s="12"/>
      <c r="L5" s="12"/>
      <c r="M5" s="12"/>
      <c r="N5" s="13">
        <f t="shared" si="1"/>
        <v>39450</v>
      </c>
    </row>
    <row r="6" hidden="1">
      <c r="A6" s="15" t="s">
        <v>14</v>
      </c>
      <c r="B6" s="16">
        <v>8500.0</v>
      </c>
      <c r="C6" s="16">
        <v>7250.0</v>
      </c>
      <c r="D6" s="16">
        <v>6050.0</v>
      </c>
      <c r="E6" s="16">
        <v>6050.0</v>
      </c>
      <c r="F6" s="16">
        <v>5800.0</v>
      </c>
      <c r="G6" s="16">
        <v>5800.0</v>
      </c>
      <c r="H6" s="17">
        <v>0.0</v>
      </c>
      <c r="I6" s="18"/>
      <c r="J6" s="18"/>
      <c r="K6" s="18"/>
      <c r="L6" s="18"/>
      <c r="M6" s="18"/>
      <c r="N6" s="19">
        <f t="shared" si="1"/>
        <v>39450</v>
      </c>
    </row>
    <row r="7" hidden="1">
      <c r="A7" s="15" t="s">
        <v>14</v>
      </c>
      <c r="B7" s="16">
        <v>8500.0</v>
      </c>
      <c r="C7" s="16">
        <v>7250.0</v>
      </c>
      <c r="D7" s="16">
        <v>6050.0</v>
      </c>
      <c r="E7" s="16">
        <v>6050.0</v>
      </c>
      <c r="F7" s="16">
        <v>5800.0</v>
      </c>
      <c r="G7" s="16">
        <v>5800.0</v>
      </c>
      <c r="H7" s="17">
        <v>0.0</v>
      </c>
      <c r="I7" s="18"/>
      <c r="J7" s="18"/>
      <c r="K7" s="18"/>
      <c r="L7" s="18"/>
      <c r="M7" s="18"/>
      <c r="N7" s="19">
        <f t="shared" si="1"/>
        <v>39450</v>
      </c>
    </row>
    <row r="8" hidden="1">
      <c r="A8" s="20" t="s">
        <v>15</v>
      </c>
      <c r="B8" s="21">
        <f t="shared" ref="B8:H8" si="2">SUM(B3:B6)</f>
        <v>34000</v>
      </c>
      <c r="C8" s="21">
        <f t="shared" si="2"/>
        <v>29000</v>
      </c>
      <c r="D8" s="21">
        <f t="shared" si="2"/>
        <v>24200</v>
      </c>
      <c r="E8" s="21">
        <f t="shared" si="2"/>
        <v>24200</v>
      </c>
      <c r="F8" s="21">
        <f t="shared" si="2"/>
        <v>23200</v>
      </c>
      <c r="G8" s="21">
        <f t="shared" si="2"/>
        <v>23200</v>
      </c>
      <c r="H8" s="21">
        <f t="shared" si="2"/>
        <v>0</v>
      </c>
      <c r="I8" s="21"/>
      <c r="J8" s="21"/>
      <c r="K8" s="21"/>
      <c r="L8" s="21"/>
      <c r="M8" s="21"/>
      <c r="N8" s="22">
        <f>SUM(N3:N6)</f>
        <v>157800</v>
      </c>
    </row>
    <row r="9" hidden="1">
      <c r="A9" s="23" t="s">
        <v>16</v>
      </c>
      <c r="B9" s="24">
        <v>10475.0</v>
      </c>
      <c r="C9" s="24">
        <v>9463.0</v>
      </c>
      <c r="D9" s="24">
        <v>9075.0</v>
      </c>
      <c r="E9" s="24">
        <v>9075.0</v>
      </c>
      <c r="F9" s="24">
        <v>10410.0</v>
      </c>
      <c r="G9" s="24">
        <v>10410.0</v>
      </c>
      <c r="H9" s="24"/>
      <c r="I9" s="24"/>
      <c r="J9" s="25"/>
      <c r="K9" s="25"/>
      <c r="L9" s="25"/>
      <c r="M9" s="25"/>
      <c r="N9" s="26">
        <f t="shared" ref="N9:N12" si="4">SUM(B9:I9)</f>
        <v>58908</v>
      </c>
    </row>
    <row r="10" hidden="1">
      <c r="A10" s="27" t="s">
        <v>17</v>
      </c>
      <c r="B10" s="28">
        <f t="shared" ref="B10:H10" si="3">B8-(B9)</f>
        <v>23525</v>
      </c>
      <c r="C10" s="28">
        <f t="shared" si="3"/>
        <v>19537</v>
      </c>
      <c r="D10" s="28">
        <f t="shared" si="3"/>
        <v>15125</v>
      </c>
      <c r="E10" s="28">
        <f t="shared" si="3"/>
        <v>15125</v>
      </c>
      <c r="F10" s="28">
        <f t="shared" si="3"/>
        <v>12790</v>
      </c>
      <c r="G10" s="28">
        <f t="shared" si="3"/>
        <v>12790</v>
      </c>
      <c r="H10" s="28">
        <f t="shared" si="3"/>
        <v>0</v>
      </c>
      <c r="I10" s="28"/>
      <c r="J10" s="29"/>
      <c r="K10" s="29"/>
      <c r="L10" s="29"/>
      <c r="M10" s="29"/>
      <c r="N10" s="30">
        <f t="shared" si="4"/>
        <v>98892</v>
      </c>
    </row>
    <row r="11" hidden="1">
      <c r="A11" s="23" t="s">
        <v>18</v>
      </c>
      <c r="B11" s="24"/>
      <c r="C11" s="24"/>
      <c r="D11" s="24"/>
      <c r="E11" s="24"/>
      <c r="F11" s="24"/>
      <c r="G11" s="24"/>
      <c r="H11" s="24"/>
      <c r="I11" s="24"/>
      <c r="J11" s="25"/>
      <c r="K11" s="25"/>
      <c r="L11" s="25"/>
      <c r="M11" s="25"/>
      <c r="N11" s="26">
        <f t="shared" si="4"/>
        <v>0</v>
      </c>
    </row>
    <row r="12" hidden="1">
      <c r="A12" s="9">
        <v>43918.0</v>
      </c>
      <c r="B12" s="10">
        <f t="shared" ref="B12:D12" si="5">B10/3</f>
        <v>7841.666667</v>
      </c>
      <c r="C12" s="10">
        <f t="shared" si="5"/>
        <v>6512.333333</v>
      </c>
      <c r="D12" s="10">
        <f t="shared" si="5"/>
        <v>5041.666667</v>
      </c>
      <c r="E12" s="10">
        <v>7050.0</v>
      </c>
      <c r="F12" s="10">
        <f t="shared" ref="F12:G12" si="6">F10/3</f>
        <v>4263.333333</v>
      </c>
      <c r="G12" s="10">
        <f t="shared" si="6"/>
        <v>4263.333333</v>
      </c>
      <c r="H12" s="11">
        <v>0.0</v>
      </c>
      <c r="I12" s="12"/>
      <c r="J12" s="12"/>
      <c r="K12" s="12"/>
      <c r="L12" s="12"/>
      <c r="M12" s="12"/>
      <c r="N12" s="13">
        <f t="shared" si="4"/>
        <v>34972.33333</v>
      </c>
    </row>
    <row r="13" hidden="1">
      <c r="A13" s="14">
        <v>44108.0</v>
      </c>
      <c r="B13" s="10">
        <f>B8/4+650</f>
        <v>9150</v>
      </c>
      <c r="C13" s="10">
        <f>C8/4+700</f>
        <v>7950</v>
      </c>
      <c r="D13" s="10">
        <f t="shared" ref="D13:E13" si="7">D8/4+1000</f>
        <v>7050</v>
      </c>
      <c r="E13" s="10">
        <f t="shared" si="7"/>
        <v>7050</v>
      </c>
      <c r="F13" s="31">
        <f t="shared" ref="F13:G13" si="8">F8/4+1500</f>
        <v>7300</v>
      </c>
      <c r="G13" s="31">
        <f t="shared" si="8"/>
        <v>7300</v>
      </c>
      <c r="H13" s="11">
        <v>0.0</v>
      </c>
      <c r="I13" s="12"/>
      <c r="J13" s="12"/>
      <c r="K13" s="12"/>
      <c r="L13" s="12"/>
      <c r="M13" s="12"/>
      <c r="N13" s="13">
        <f t="shared" ref="N13:N15" si="11">SUM(B13:H13)</f>
        <v>45800</v>
      </c>
    </row>
    <row r="14" hidden="1">
      <c r="A14" s="15" t="s">
        <v>13</v>
      </c>
      <c r="B14" s="10">
        <f t="shared" ref="B14:D14" si="9">B8/4</f>
        <v>8500</v>
      </c>
      <c r="C14" s="10">
        <f t="shared" si="9"/>
        <v>7250</v>
      </c>
      <c r="D14" s="10">
        <f t="shared" si="9"/>
        <v>6050</v>
      </c>
      <c r="E14" s="10">
        <f>E8/4+1000</f>
        <v>7050</v>
      </c>
      <c r="F14" s="10">
        <f t="shared" ref="F14:G14" si="10">F8/4</f>
        <v>5800</v>
      </c>
      <c r="G14" s="10">
        <f t="shared" si="10"/>
        <v>5800</v>
      </c>
      <c r="H14" s="11">
        <v>0.0</v>
      </c>
      <c r="I14" s="12"/>
      <c r="J14" s="12"/>
      <c r="K14" s="12"/>
      <c r="L14" s="12"/>
      <c r="M14" s="12"/>
      <c r="N14" s="13">
        <f t="shared" si="11"/>
        <v>40450</v>
      </c>
    </row>
    <row r="15" hidden="1">
      <c r="A15" s="15" t="s">
        <v>14</v>
      </c>
      <c r="B15" s="16">
        <f t="shared" ref="B15:F15" si="12">B8/4</f>
        <v>8500</v>
      </c>
      <c r="C15" s="16">
        <f t="shared" si="12"/>
        <v>7250</v>
      </c>
      <c r="D15" s="16">
        <f t="shared" si="12"/>
        <v>6050</v>
      </c>
      <c r="E15" s="16">
        <f t="shared" si="12"/>
        <v>6050</v>
      </c>
      <c r="F15" s="16">
        <f t="shared" si="12"/>
        <v>5800</v>
      </c>
      <c r="G15" s="16">
        <f>G8/4+2900</f>
        <v>8700</v>
      </c>
      <c r="H15" s="17">
        <v>0.0</v>
      </c>
      <c r="I15" s="18"/>
      <c r="J15" s="18"/>
      <c r="K15" s="18"/>
      <c r="L15" s="18"/>
      <c r="M15" s="18"/>
      <c r="N15" s="19">
        <f t="shared" si="11"/>
        <v>42350</v>
      </c>
    </row>
    <row r="16" hidden="1">
      <c r="A16" s="32" t="s">
        <v>19</v>
      </c>
      <c r="B16" s="16">
        <v>8500.0</v>
      </c>
      <c r="C16" s="33">
        <v>7250.0</v>
      </c>
      <c r="D16" s="33">
        <v>6050.0</v>
      </c>
      <c r="E16" s="33">
        <v>6050.0</v>
      </c>
      <c r="F16" s="33">
        <v>5800.0</v>
      </c>
      <c r="G16" s="33">
        <v>8700.0</v>
      </c>
      <c r="H16" s="34"/>
      <c r="I16" s="35"/>
      <c r="J16" s="35"/>
      <c r="K16" s="35"/>
      <c r="L16" s="35"/>
      <c r="M16" s="35"/>
      <c r="N16" s="35"/>
    </row>
    <row r="17" hidden="1">
      <c r="A17" s="27" t="s">
        <v>20</v>
      </c>
      <c r="B17" s="28"/>
      <c r="C17" s="28"/>
      <c r="D17" s="28"/>
      <c r="E17" s="28"/>
      <c r="F17" s="36" t="s">
        <v>21</v>
      </c>
      <c r="G17" s="36" t="s">
        <v>21</v>
      </c>
      <c r="H17" s="37"/>
      <c r="I17" s="37"/>
      <c r="J17" s="37"/>
      <c r="K17" s="37"/>
      <c r="L17" s="37"/>
      <c r="M17" s="37"/>
      <c r="N17" s="37"/>
    </row>
    <row r="18" hidden="1">
      <c r="A18" s="37"/>
      <c r="B18" s="38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hidden="1">
      <c r="A19" s="39" t="s">
        <v>22</v>
      </c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</row>
    <row r="20" hidden="1">
      <c r="A20" s="42">
        <v>43918.0</v>
      </c>
      <c r="B20" s="43"/>
      <c r="C20" s="44"/>
      <c r="D20" s="44"/>
      <c r="E20" s="45"/>
      <c r="F20" s="44"/>
      <c r="G20" s="45"/>
      <c r="H20" s="44"/>
      <c r="I20" s="44"/>
      <c r="J20" s="44"/>
      <c r="K20" s="44"/>
      <c r="L20" s="44"/>
      <c r="M20" s="44"/>
      <c r="N20" s="44"/>
    </row>
    <row r="21" hidden="1">
      <c r="A21" s="42">
        <v>44108.0</v>
      </c>
      <c r="B21" s="46"/>
      <c r="C21" s="45"/>
      <c r="D21" s="45"/>
      <c r="E21" s="45"/>
      <c r="F21" s="44"/>
      <c r="G21" s="44"/>
      <c r="H21" s="44"/>
      <c r="I21" s="44"/>
      <c r="J21" s="44"/>
      <c r="K21" s="44"/>
      <c r="L21" s="44"/>
      <c r="M21" s="44"/>
      <c r="N21" s="44"/>
    </row>
    <row r="22" hidden="1">
      <c r="A22" s="39" t="s">
        <v>13</v>
      </c>
      <c r="B22" s="43"/>
      <c r="C22" s="44"/>
      <c r="D22" s="44"/>
      <c r="E22" s="45"/>
      <c r="F22" s="44"/>
      <c r="G22" s="44"/>
      <c r="H22" s="44"/>
      <c r="I22" s="44"/>
      <c r="J22" s="44"/>
      <c r="K22" s="44"/>
      <c r="L22" s="44"/>
      <c r="M22" s="44"/>
      <c r="N22" s="44"/>
    </row>
    <row r="23" hidden="1">
      <c r="A23" s="39" t="s">
        <v>14</v>
      </c>
      <c r="B23" s="46"/>
      <c r="C23" s="45"/>
      <c r="D23" s="44"/>
      <c r="E23" s="45"/>
      <c r="F23" s="44"/>
      <c r="G23" s="44"/>
      <c r="H23" s="44"/>
      <c r="I23" s="44"/>
      <c r="J23" s="44"/>
      <c r="K23" s="44"/>
      <c r="L23" s="44"/>
      <c r="M23" s="44"/>
      <c r="N23" s="44"/>
    </row>
    <row r="24" hidden="1">
      <c r="A24" s="39" t="s">
        <v>19</v>
      </c>
      <c r="B24" s="46"/>
      <c r="C24" s="44"/>
      <c r="D24" s="44"/>
      <c r="E24" s="45">
        <v>1720.0</v>
      </c>
      <c r="F24" s="44"/>
      <c r="G24" s="44"/>
      <c r="H24" s="44"/>
      <c r="I24" s="44"/>
      <c r="J24" s="44"/>
      <c r="K24" s="44"/>
      <c r="L24" s="44"/>
      <c r="M24" s="44"/>
      <c r="N24" s="44"/>
    </row>
    <row r="25" hidden="1">
      <c r="A25" s="37"/>
      <c r="B25" s="38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</row>
    <row r="26" hidden="1">
      <c r="A26" s="47" t="s">
        <v>23</v>
      </c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7" t="s">
        <v>24</v>
      </c>
    </row>
    <row r="27" hidden="1">
      <c r="A27" s="50">
        <v>43918.0</v>
      </c>
      <c r="B27" s="51">
        <f t="shared" ref="B27:D27" si="13">B12-B20</f>
        <v>7841.666667</v>
      </c>
      <c r="C27" s="52">
        <f t="shared" si="13"/>
        <v>6512.333333</v>
      </c>
      <c r="D27" s="52">
        <f t="shared" si="13"/>
        <v>5041.666667</v>
      </c>
      <c r="E27" s="52"/>
      <c r="F27" s="52">
        <f t="shared" ref="F27:G27" si="14">F12-F20</f>
        <v>4263.333333</v>
      </c>
      <c r="G27" s="52">
        <f t="shared" si="14"/>
        <v>4263.333333</v>
      </c>
      <c r="H27" s="52"/>
      <c r="I27" s="52"/>
      <c r="J27" s="52"/>
      <c r="K27" s="52"/>
      <c r="L27" s="52"/>
      <c r="M27" s="52"/>
      <c r="N27" s="53">
        <f t="shared" ref="N27:N29" si="16">SUM(B27:I27)</f>
        <v>27922.33333</v>
      </c>
    </row>
    <row r="28" hidden="1">
      <c r="A28" s="50">
        <v>44108.0</v>
      </c>
      <c r="B28" s="51">
        <f>B13-B20-B21</f>
        <v>9150</v>
      </c>
      <c r="C28" s="52">
        <f t="shared" ref="C28:G28" si="15">C13-C21-C20</f>
        <v>7950</v>
      </c>
      <c r="D28" s="52">
        <f t="shared" si="15"/>
        <v>7050</v>
      </c>
      <c r="E28" s="52">
        <f t="shared" si="15"/>
        <v>7050</v>
      </c>
      <c r="F28" s="52">
        <f t="shared" si="15"/>
        <v>7300</v>
      </c>
      <c r="G28" s="52">
        <f t="shared" si="15"/>
        <v>7300</v>
      </c>
      <c r="H28" s="52"/>
      <c r="I28" s="52"/>
      <c r="J28" s="52"/>
      <c r="K28" s="52"/>
      <c r="L28" s="52"/>
      <c r="M28" s="52"/>
      <c r="N28" s="53">
        <f t="shared" si="16"/>
        <v>45800</v>
      </c>
    </row>
    <row r="29" hidden="1">
      <c r="A29" s="47" t="s">
        <v>13</v>
      </c>
      <c r="B29" s="51">
        <f t="shared" ref="B29:G29" si="17">B14-B22</f>
        <v>8500</v>
      </c>
      <c r="C29" s="52">
        <f t="shared" si="17"/>
        <v>7250</v>
      </c>
      <c r="D29" s="52">
        <f t="shared" si="17"/>
        <v>6050</v>
      </c>
      <c r="E29" s="52">
        <f t="shared" si="17"/>
        <v>7050</v>
      </c>
      <c r="F29" s="52">
        <f t="shared" si="17"/>
        <v>5800</v>
      </c>
      <c r="G29" s="52">
        <f t="shared" si="17"/>
        <v>5800</v>
      </c>
      <c r="H29" s="52"/>
      <c r="I29" s="52"/>
      <c r="J29" s="52"/>
      <c r="K29" s="52"/>
      <c r="L29" s="52"/>
      <c r="M29" s="52"/>
      <c r="N29" s="53">
        <f t="shared" si="16"/>
        <v>40450</v>
      </c>
    </row>
    <row r="30" hidden="1">
      <c r="A30" s="47" t="s">
        <v>25</v>
      </c>
      <c r="B30" s="51">
        <f t="shared" ref="B30:D30" si="18">B15-B23</f>
        <v>8500</v>
      </c>
      <c r="C30" s="52">
        <f t="shared" si="18"/>
        <v>7250</v>
      </c>
      <c r="D30" s="52">
        <f t="shared" si="18"/>
        <v>6050</v>
      </c>
      <c r="E30" s="52">
        <f>E16</f>
        <v>6050</v>
      </c>
      <c r="F30" s="52">
        <f t="shared" ref="F30:G30" si="19">F15-F23</f>
        <v>5800</v>
      </c>
      <c r="G30" s="52">
        <f t="shared" si="19"/>
        <v>8700</v>
      </c>
      <c r="H30" s="52"/>
      <c r="I30" s="52"/>
      <c r="J30" s="52"/>
      <c r="K30" s="52"/>
      <c r="L30" s="52"/>
      <c r="M30" s="52"/>
      <c r="N30" s="53">
        <f>SUM(B30:G30)</f>
        <v>42350</v>
      </c>
    </row>
    <row r="31" hidden="1">
      <c r="A31" s="47" t="s">
        <v>19</v>
      </c>
      <c r="B31" s="54">
        <v>8500.0</v>
      </c>
      <c r="C31" s="52">
        <f t="shared" ref="C31:G31" si="20">C16-C24</f>
        <v>7250</v>
      </c>
      <c r="D31" s="52">
        <f t="shared" si="20"/>
        <v>6050</v>
      </c>
      <c r="E31" s="52">
        <f t="shared" si="20"/>
        <v>4330</v>
      </c>
      <c r="F31" s="52">
        <f t="shared" si="20"/>
        <v>5800</v>
      </c>
      <c r="G31" s="52">
        <f t="shared" si="20"/>
        <v>8700</v>
      </c>
      <c r="H31" s="52"/>
      <c r="I31" s="52"/>
      <c r="J31" s="52"/>
      <c r="K31" s="52"/>
      <c r="L31" s="52"/>
      <c r="M31" s="52"/>
      <c r="N31" s="52"/>
    </row>
    <row r="32" hidden="1"/>
    <row r="33" hidden="1"/>
    <row r="34" hidden="1">
      <c r="A34" s="1" t="s">
        <v>0</v>
      </c>
      <c r="B34" s="2" t="s">
        <v>1</v>
      </c>
      <c r="C34" s="3" t="s">
        <v>2</v>
      </c>
      <c r="D34" s="3" t="s">
        <v>3</v>
      </c>
      <c r="E34" s="3" t="s">
        <v>4</v>
      </c>
      <c r="F34" s="3" t="s">
        <v>5</v>
      </c>
      <c r="G34" s="3" t="s">
        <v>6</v>
      </c>
      <c r="H34" s="4" t="s">
        <v>7</v>
      </c>
      <c r="I34" s="4" t="s">
        <v>8</v>
      </c>
      <c r="J34" s="4"/>
      <c r="K34" s="4"/>
      <c r="L34" s="4"/>
      <c r="M34" s="4"/>
      <c r="N34" s="1" t="s">
        <v>0</v>
      </c>
    </row>
    <row r="35" hidden="1">
      <c r="A35" s="6" t="s">
        <v>26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8"/>
    </row>
    <row r="36" hidden="1">
      <c r="A36" s="55" t="s">
        <v>27</v>
      </c>
      <c r="B36" s="10">
        <v>8500.0</v>
      </c>
      <c r="C36" s="10">
        <v>7250.0</v>
      </c>
      <c r="D36" s="56">
        <v>6050.0</v>
      </c>
      <c r="E36" s="10">
        <v>6050.0</v>
      </c>
      <c r="F36" s="10">
        <f>5800+2900</f>
        <v>8700</v>
      </c>
      <c r="G36" s="56">
        <v>6050.0</v>
      </c>
      <c r="H36" s="11">
        <v>0.0</v>
      </c>
      <c r="I36" s="12"/>
      <c r="J36" s="12"/>
      <c r="K36" s="12"/>
      <c r="L36" s="12"/>
      <c r="M36" s="12"/>
      <c r="N36" s="13">
        <f>SUM(B36:I36)</f>
        <v>42600</v>
      </c>
    </row>
    <row r="37" hidden="1">
      <c r="A37" s="15" t="s">
        <v>28</v>
      </c>
      <c r="B37" s="10">
        <v>8500.0</v>
      </c>
      <c r="C37" s="10">
        <v>7250.0</v>
      </c>
      <c r="D37" s="56">
        <v>6050.0</v>
      </c>
      <c r="E37" s="10">
        <v>6050.0</v>
      </c>
      <c r="F37" s="10">
        <v>6050.0</v>
      </c>
      <c r="G37" s="10">
        <v>6050.0</v>
      </c>
      <c r="H37" s="11">
        <v>0.0</v>
      </c>
      <c r="I37" s="12"/>
      <c r="J37" s="12"/>
      <c r="K37" s="12"/>
      <c r="L37" s="12"/>
      <c r="M37" s="12"/>
      <c r="N37" s="13">
        <f t="shared" ref="N37:N40" si="21">SUM(B37:H37)</f>
        <v>39950</v>
      </c>
    </row>
    <row r="38" hidden="1">
      <c r="A38" s="15" t="s">
        <v>29</v>
      </c>
      <c r="B38" s="10">
        <v>8500.0</v>
      </c>
      <c r="C38" s="10">
        <v>7250.0</v>
      </c>
      <c r="D38" s="10">
        <v>6050.0</v>
      </c>
      <c r="E38" s="10">
        <v>6050.0</v>
      </c>
      <c r="F38" s="10">
        <v>6050.0</v>
      </c>
      <c r="G38" s="10">
        <v>6050.0</v>
      </c>
      <c r="H38" s="11">
        <v>0.0</v>
      </c>
      <c r="I38" s="12"/>
      <c r="J38" s="12"/>
      <c r="K38" s="12"/>
      <c r="L38" s="12"/>
      <c r="M38" s="12"/>
      <c r="N38" s="13">
        <f t="shared" si="21"/>
        <v>39950</v>
      </c>
    </row>
    <row r="39" hidden="1">
      <c r="A39" s="15" t="s">
        <v>30</v>
      </c>
      <c r="B39" s="16">
        <v>8500.0</v>
      </c>
      <c r="C39" s="16">
        <v>7250.0</v>
      </c>
      <c r="D39" s="16">
        <v>6050.0</v>
      </c>
      <c r="E39" s="16">
        <v>6050.0</v>
      </c>
      <c r="F39" s="16">
        <v>6050.0</v>
      </c>
      <c r="G39" s="16">
        <v>6050.0</v>
      </c>
      <c r="H39" s="17">
        <v>0.0</v>
      </c>
      <c r="I39" s="18"/>
      <c r="J39" s="18"/>
      <c r="K39" s="18"/>
      <c r="L39" s="18"/>
      <c r="M39" s="18"/>
      <c r="N39" s="19">
        <f t="shared" si="21"/>
        <v>39950</v>
      </c>
    </row>
    <row r="40" hidden="1">
      <c r="A40" s="15"/>
      <c r="B40" s="16"/>
      <c r="C40" s="16"/>
      <c r="D40" s="16"/>
      <c r="E40" s="16"/>
      <c r="F40" s="16"/>
      <c r="G40" s="16"/>
      <c r="H40" s="17">
        <v>0.0</v>
      </c>
      <c r="I40" s="18"/>
      <c r="J40" s="18"/>
      <c r="K40" s="18"/>
      <c r="L40" s="18"/>
      <c r="M40" s="18"/>
      <c r="N40" s="19">
        <f t="shared" si="21"/>
        <v>0</v>
      </c>
    </row>
    <row r="41" hidden="1">
      <c r="A41" s="20" t="s">
        <v>15</v>
      </c>
      <c r="B41" s="21">
        <f t="shared" ref="B41:H41" si="22">SUM(B36:B39)</f>
        <v>34000</v>
      </c>
      <c r="C41" s="21">
        <f t="shared" si="22"/>
        <v>29000</v>
      </c>
      <c r="D41" s="21">
        <f t="shared" si="22"/>
        <v>24200</v>
      </c>
      <c r="E41" s="21">
        <f t="shared" si="22"/>
        <v>24200</v>
      </c>
      <c r="F41" s="21">
        <f t="shared" si="22"/>
        <v>26850</v>
      </c>
      <c r="G41" s="21">
        <f t="shared" si="22"/>
        <v>24200</v>
      </c>
      <c r="H41" s="21">
        <f t="shared" si="22"/>
        <v>0</v>
      </c>
      <c r="I41" s="20" t="s">
        <v>15</v>
      </c>
      <c r="J41" s="20"/>
      <c r="K41" s="20"/>
      <c r="L41" s="20"/>
      <c r="M41" s="20"/>
      <c r="N41" s="21">
        <f t="shared" ref="N41:U41" si="23">SUM(N36:N39)</f>
        <v>162450</v>
      </c>
      <c r="O41" s="21">
        <f t="shared" si="23"/>
        <v>0</v>
      </c>
      <c r="P41" s="21">
        <f t="shared" si="23"/>
        <v>0</v>
      </c>
      <c r="Q41" s="21">
        <f t="shared" si="23"/>
        <v>0</v>
      </c>
      <c r="R41" s="21">
        <f t="shared" si="23"/>
        <v>0</v>
      </c>
      <c r="S41" s="21">
        <f t="shared" si="23"/>
        <v>0</v>
      </c>
      <c r="T41" s="21">
        <f t="shared" si="23"/>
        <v>0</v>
      </c>
      <c r="U41" s="21">
        <f t="shared" si="23"/>
        <v>0</v>
      </c>
    </row>
    <row r="42" hidden="1">
      <c r="A42" s="23" t="s">
        <v>16</v>
      </c>
      <c r="B42" s="24">
        <v>12000.0</v>
      </c>
      <c r="C42" s="24">
        <v>10800.0</v>
      </c>
      <c r="D42" s="24">
        <v>10300.0</v>
      </c>
      <c r="E42" s="24">
        <v>10500.0</v>
      </c>
      <c r="F42" s="24">
        <v>12000.0</v>
      </c>
      <c r="G42" s="24">
        <v>12000.0</v>
      </c>
      <c r="H42" s="24"/>
      <c r="I42" s="21"/>
      <c r="J42" s="21"/>
      <c r="K42" s="21"/>
      <c r="L42" s="21"/>
      <c r="M42" s="21"/>
      <c r="N42" s="22">
        <f>SUM(N36:N39)</f>
        <v>162450</v>
      </c>
    </row>
    <row r="43" hidden="1">
      <c r="A43" s="57" t="s">
        <v>17</v>
      </c>
      <c r="B43" s="58">
        <f t="shared" ref="B43:G43" si="24">B41-(B42)</f>
        <v>22000</v>
      </c>
      <c r="C43" s="58">
        <f t="shared" si="24"/>
        <v>18200</v>
      </c>
      <c r="D43" s="58">
        <f t="shared" si="24"/>
        <v>13900</v>
      </c>
      <c r="E43" s="58">
        <f t="shared" si="24"/>
        <v>13700</v>
      </c>
      <c r="F43" s="58">
        <f t="shared" si="24"/>
        <v>14850</v>
      </c>
      <c r="G43" s="58">
        <f t="shared" si="24"/>
        <v>12200</v>
      </c>
      <c r="H43" s="58">
        <f>H40-(H42)</f>
        <v>0</v>
      </c>
      <c r="I43" s="25"/>
      <c r="J43" s="25"/>
      <c r="K43" s="25"/>
      <c r="L43" s="25"/>
      <c r="M43" s="25"/>
      <c r="N43" s="26">
        <f t="shared" ref="N43:N45" si="25">SUM(B43:I43)</f>
        <v>94850</v>
      </c>
    </row>
    <row r="44" hidden="1">
      <c r="A44" s="27"/>
      <c r="B44" s="28"/>
      <c r="C44" s="28"/>
      <c r="D44" s="28"/>
      <c r="E44" s="28"/>
      <c r="F44" s="28"/>
      <c r="G44" s="28"/>
      <c r="H44" s="28"/>
      <c r="I44" s="28"/>
      <c r="J44" s="29"/>
      <c r="K44" s="29"/>
      <c r="L44" s="29"/>
      <c r="M44" s="29"/>
      <c r="N44" s="30">
        <f t="shared" si="25"/>
        <v>0</v>
      </c>
    </row>
    <row r="45" hidden="1">
      <c r="A45" s="23"/>
      <c r="B45" s="24"/>
      <c r="C45" s="24"/>
      <c r="D45" s="24"/>
      <c r="E45" s="24"/>
      <c r="F45" s="24"/>
      <c r="G45" s="24"/>
      <c r="H45" s="24"/>
      <c r="I45" s="24"/>
      <c r="J45" s="25"/>
      <c r="K45" s="25"/>
      <c r="L45" s="25"/>
      <c r="M45" s="25"/>
      <c r="N45" s="26">
        <f t="shared" si="25"/>
        <v>0</v>
      </c>
    </row>
    <row r="46" hidden="1">
      <c r="A46" s="37"/>
      <c r="B46" s="38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</row>
    <row r="47" hidden="1">
      <c r="A47" s="39" t="s">
        <v>22</v>
      </c>
      <c r="B47" s="40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</row>
    <row r="48" hidden="1">
      <c r="A48" s="59" t="s">
        <v>27</v>
      </c>
      <c r="B48" s="43"/>
      <c r="C48" s="44"/>
      <c r="D48" s="44"/>
      <c r="E48" s="45">
        <v>200.0</v>
      </c>
      <c r="F48" s="44"/>
      <c r="G48" s="45"/>
      <c r="H48" s="44"/>
      <c r="I48" s="44"/>
      <c r="J48" s="44"/>
      <c r="K48" s="44"/>
      <c r="L48" s="44"/>
      <c r="M48" s="44"/>
      <c r="N48" s="44"/>
    </row>
    <row r="49" hidden="1">
      <c r="A49" s="60" t="s">
        <v>28</v>
      </c>
      <c r="B49" s="46"/>
      <c r="C49" s="45"/>
      <c r="D49" s="45"/>
      <c r="E49" s="45"/>
      <c r="F49" s="45">
        <v>1000.0</v>
      </c>
      <c r="G49" s="44"/>
      <c r="H49" s="44"/>
      <c r="I49" s="44"/>
      <c r="J49" s="44"/>
      <c r="K49" s="44"/>
      <c r="L49" s="44"/>
      <c r="M49" s="44"/>
      <c r="N49" s="44"/>
    </row>
    <row r="50" hidden="1">
      <c r="A50" s="60" t="s">
        <v>29</v>
      </c>
      <c r="B50" s="43"/>
      <c r="C50" s="44"/>
      <c r="D50" s="44"/>
      <c r="E50" s="45"/>
      <c r="F50" s="44"/>
      <c r="G50" s="44"/>
      <c r="H50" s="44"/>
      <c r="I50" s="44"/>
      <c r="J50" s="44"/>
      <c r="K50" s="44"/>
      <c r="L50" s="44"/>
      <c r="M50" s="44"/>
      <c r="N50" s="44"/>
    </row>
    <row r="51" hidden="1">
      <c r="A51" s="60" t="s">
        <v>30</v>
      </c>
      <c r="B51" s="46"/>
      <c r="C51" s="45"/>
      <c r="D51" s="44"/>
      <c r="E51" s="45"/>
      <c r="F51" s="44"/>
      <c r="G51" s="44"/>
      <c r="H51" s="44"/>
      <c r="I51" s="44"/>
      <c r="J51" s="44"/>
      <c r="K51" s="44"/>
      <c r="L51" s="44"/>
      <c r="M51" s="44"/>
      <c r="N51" s="44"/>
    </row>
    <row r="52" hidden="1">
      <c r="A52" s="39"/>
      <c r="B52" s="46"/>
      <c r="C52" s="44"/>
      <c r="D52" s="44"/>
      <c r="E52" s="45"/>
      <c r="F52" s="44"/>
      <c r="G52" s="44"/>
      <c r="H52" s="44"/>
      <c r="I52" s="44"/>
      <c r="J52" s="44"/>
      <c r="K52" s="44"/>
      <c r="L52" s="44"/>
      <c r="M52" s="44"/>
      <c r="N52" s="44"/>
    </row>
    <row r="53" hidden="1">
      <c r="A53" s="37"/>
      <c r="B53" s="38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</row>
    <row r="54" hidden="1">
      <c r="A54" s="47" t="s">
        <v>23</v>
      </c>
      <c r="B54" s="48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7" t="s">
        <v>24</v>
      </c>
    </row>
    <row r="55" hidden="1">
      <c r="A55" s="61" t="s">
        <v>27</v>
      </c>
      <c r="B55" s="51">
        <f>B36-B49</f>
        <v>8500</v>
      </c>
      <c r="C55" s="52">
        <f>C36-C48</f>
        <v>7250</v>
      </c>
      <c r="D55" s="62"/>
      <c r="E55" s="52">
        <f t="shared" ref="E55:F55" si="26">E36-E48</f>
        <v>5850</v>
      </c>
      <c r="F55" s="52">
        <f t="shared" si="26"/>
        <v>8700</v>
      </c>
      <c r="G55" s="62">
        <v>5800.0</v>
      </c>
      <c r="H55" s="52"/>
      <c r="I55" s="52"/>
      <c r="J55" s="52"/>
      <c r="K55" s="52"/>
      <c r="L55" s="52"/>
      <c r="M55" s="52"/>
      <c r="N55" s="53">
        <f t="shared" ref="N55:N57" si="27">SUM(B55:I55)</f>
        <v>36100</v>
      </c>
    </row>
    <row r="56" hidden="1">
      <c r="A56" s="63" t="s">
        <v>28</v>
      </c>
      <c r="B56" s="51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3">
        <f t="shared" si="27"/>
        <v>0</v>
      </c>
    </row>
    <row r="57" hidden="1">
      <c r="A57" s="63" t="s">
        <v>29</v>
      </c>
      <c r="B57" s="51">
        <f>(B43-B55)/2</f>
        <v>6750</v>
      </c>
      <c r="C57" s="52"/>
      <c r="D57" s="52">
        <f>(D41-12100-D42)</f>
        <v>1800</v>
      </c>
      <c r="E57" s="52">
        <f>(E43-E55-200)/2</f>
        <v>3825</v>
      </c>
      <c r="F57" s="52">
        <f>(11700-5800)/2-F49</f>
        <v>1950</v>
      </c>
      <c r="G57" s="52">
        <f>(G43-G55)/2</f>
        <v>3200</v>
      </c>
      <c r="H57" s="52"/>
      <c r="I57" s="52"/>
      <c r="J57" s="52"/>
      <c r="K57" s="52"/>
      <c r="L57" s="52"/>
      <c r="M57" s="52"/>
      <c r="N57" s="53">
        <f t="shared" si="27"/>
        <v>17525</v>
      </c>
    </row>
    <row r="58" hidden="1">
      <c r="A58" s="63" t="s">
        <v>30</v>
      </c>
      <c r="B58" s="51">
        <f>(B43-B55)/2</f>
        <v>6750</v>
      </c>
      <c r="C58" s="52"/>
      <c r="D58" s="52"/>
      <c r="E58" s="52">
        <f>(E43-E55-200)/2</f>
        <v>3825</v>
      </c>
      <c r="F58" s="52">
        <f>(12200-5800)/2</f>
        <v>3200</v>
      </c>
      <c r="G58" s="52">
        <f>(G43-G55)/2</f>
        <v>3200</v>
      </c>
      <c r="H58" s="52"/>
      <c r="I58" s="52"/>
      <c r="J58" s="52"/>
      <c r="K58" s="52"/>
      <c r="L58" s="52"/>
      <c r="M58" s="52"/>
      <c r="N58" s="53">
        <f>SUM(B58:G58)</f>
        <v>16975</v>
      </c>
    </row>
    <row r="59" hidden="1">
      <c r="A59" s="47"/>
      <c r="B59" s="54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</row>
    <row r="60" hidden="1"/>
    <row r="61" hidden="1">
      <c r="A61" s="1" t="s">
        <v>0</v>
      </c>
      <c r="B61" s="2" t="s">
        <v>1</v>
      </c>
      <c r="C61" s="3" t="s">
        <v>2</v>
      </c>
      <c r="D61" s="3" t="s">
        <v>3</v>
      </c>
      <c r="E61" s="3" t="s">
        <v>4</v>
      </c>
      <c r="F61" s="3" t="s">
        <v>5</v>
      </c>
      <c r="G61" s="3" t="s">
        <v>6</v>
      </c>
      <c r="H61" s="4" t="s">
        <v>7</v>
      </c>
      <c r="I61" s="4" t="s">
        <v>8</v>
      </c>
      <c r="J61" s="4"/>
      <c r="K61" s="4"/>
      <c r="L61" s="4"/>
      <c r="M61" s="4"/>
      <c r="N61" s="1" t="s">
        <v>0</v>
      </c>
    </row>
    <row r="62" hidden="1">
      <c r="A62" s="6" t="s">
        <v>31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8"/>
    </row>
    <row r="63" hidden="1">
      <c r="A63" s="55" t="s">
        <v>32</v>
      </c>
      <c r="B63" s="10">
        <v>9500.0</v>
      </c>
      <c r="C63" s="10">
        <v>7750.0</v>
      </c>
      <c r="D63" s="10">
        <v>7500.0</v>
      </c>
      <c r="E63" s="10">
        <v>7500.0</v>
      </c>
      <c r="F63" s="10">
        <v>7000.0</v>
      </c>
      <c r="G63" s="10">
        <v>7000.0</v>
      </c>
      <c r="H63" s="11">
        <v>0.0</v>
      </c>
      <c r="I63" s="12"/>
      <c r="J63" s="12"/>
      <c r="K63" s="12"/>
      <c r="L63" s="12"/>
      <c r="M63" s="12"/>
      <c r="N63" s="13">
        <f>SUM(B63:I63)</f>
        <v>46250</v>
      </c>
    </row>
    <row r="64" hidden="1">
      <c r="A64" s="15">
        <v>70.0</v>
      </c>
      <c r="B64" s="10">
        <v>9500.0</v>
      </c>
      <c r="C64" s="10">
        <v>7750.0</v>
      </c>
      <c r="D64" s="10">
        <v>7500.0</v>
      </c>
      <c r="E64" s="10">
        <v>7500.0</v>
      </c>
      <c r="F64" s="10">
        <v>7000.0</v>
      </c>
      <c r="G64" s="10">
        <v>7000.0</v>
      </c>
      <c r="H64" s="11">
        <v>0.0</v>
      </c>
      <c r="I64" s="12"/>
      <c r="J64" s="12"/>
      <c r="K64" s="12"/>
      <c r="L64" s="12"/>
      <c r="M64" s="12"/>
      <c r="N64" s="13">
        <f t="shared" ref="N64:N67" si="28">SUM(B64:H64)</f>
        <v>46250</v>
      </c>
    </row>
    <row r="65" hidden="1">
      <c r="A65" s="15" t="s">
        <v>29</v>
      </c>
      <c r="B65" s="10">
        <v>9500.0</v>
      </c>
      <c r="C65" s="10">
        <v>7750.0</v>
      </c>
      <c r="D65" s="10">
        <v>7500.0</v>
      </c>
      <c r="E65" s="10">
        <v>7500.0</v>
      </c>
      <c r="F65" s="10">
        <v>7000.0</v>
      </c>
      <c r="G65" s="10">
        <v>7000.0</v>
      </c>
      <c r="H65" s="11">
        <v>0.0</v>
      </c>
      <c r="I65" s="12"/>
      <c r="J65" s="12"/>
      <c r="K65" s="12"/>
      <c r="L65" s="12"/>
      <c r="M65" s="12"/>
      <c r="N65" s="13">
        <f t="shared" si="28"/>
        <v>46250</v>
      </c>
    </row>
    <row r="66" hidden="1">
      <c r="A66" s="15" t="s">
        <v>30</v>
      </c>
      <c r="B66" s="16">
        <v>9500.0</v>
      </c>
      <c r="C66" s="16">
        <v>7750.0</v>
      </c>
      <c r="D66" s="16">
        <v>7500.0</v>
      </c>
      <c r="E66" s="16">
        <v>7500.0</v>
      </c>
      <c r="F66" s="16">
        <v>7000.0</v>
      </c>
      <c r="G66" s="16">
        <v>7000.0</v>
      </c>
      <c r="H66" s="17">
        <v>0.0</v>
      </c>
      <c r="I66" s="18"/>
      <c r="J66" s="18"/>
      <c r="K66" s="18"/>
      <c r="L66" s="18"/>
      <c r="M66" s="18"/>
      <c r="N66" s="19">
        <f t="shared" si="28"/>
        <v>46250</v>
      </c>
    </row>
    <row r="67" hidden="1">
      <c r="A67" s="15"/>
      <c r="B67" s="16"/>
      <c r="C67" s="16"/>
      <c r="D67" s="16"/>
      <c r="E67" s="16"/>
      <c r="F67" s="16"/>
      <c r="G67" s="16"/>
      <c r="H67" s="17">
        <v>0.0</v>
      </c>
      <c r="I67" s="18"/>
      <c r="J67" s="18"/>
      <c r="K67" s="18"/>
      <c r="L67" s="18"/>
      <c r="M67" s="18"/>
      <c r="N67" s="19">
        <f t="shared" si="28"/>
        <v>0</v>
      </c>
    </row>
    <row r="68" hidden="1">
      <c r="A68" s="20" t="s">
        <v>15</v>
      </c>
      <c r="B68" s="21">
        <f t="shared" ref="B68:H68" si="29">SUM(B63:B66)</f>
        <v>38000</v>
      </c>
      <c r="C68" s="21">
        <f t="shared" si="29"/>
        <v>31000</v>
      </c>
      <c r="D68" s="21">
        <f t="shared" si="29"/>
        <v>30000</v>
      </c>
      <c r="E68" s="21">
        <f t="shared" si="29"/>
        <v>30000</v>
      </c>
      <c r="F68" s="21">
        <f t="shared" si="29"/>
        <v>28000</v>
      </c>
      <c r="G68" s="21">
        <f t="shared" si="29"/>
        <v>28000</v>
      </c>
      <c r="H68" s="21">
        <f t="shared" si="29"/>
        <v>0</v>
      </c>
      <c r="I68" s="20" t="s">
        <v>15</v>
      </c>
      <c r="J68" s="20"/>
      <c r="K68" s="20"/>
      <c r="L68" s="20"/>
      <c r="M68" s="20"/>
      <c r="N68" s="21">
        <f>SUM(N63:N66)</f>
        <v>185000</v>
      </c>
    </row>
    <row r="69" hidden="1">
      <c r="A69" s="23" t="s">
        <v>16</v>
      </c>
      <c r="B69" s="24">
        <v>10800.0</v>
      </c>
      <c r="C69" s="24">
        <v>9770.0</v>
      </c>
      <c r="D69" s="24">
        <v>9400.0</v>
      </c>
      <c r="E69" s="24">
        <v>9400.0</v>
      </c>
      <c r="F69" s="24">
        <v>10800.0</v>
      </c>
      <c r="G69" s="24">
        <v>10800.0</v>
      </c>
      <c r="H69" s="24"/>
      <c r="I69" s="21"/>
      <c r="J69" s="21"/>
      <c r="K69" s="21"/>
      <c r="L69" s="21"/>
      <c r="M69" s="21"/>
      <c r="N69" s="22"/>
    </row>
    <row r="70" hidden="1">
      <c r="A70" s="57" t="s">
        <v>17</v>
      </c>
      <c r="B70" s="58">
        <f t="shared" ref="B70:G70" si="30">B68-(B69)</f>
        <v>27200</v>
      </c>
      <c r="C70" s="58">
        <f t="shared" si="30"/>
        <v>21230</v>
      </c>
      <c r="D70" s="58">
        <f t="shared" si="30"/>
        <v>20600</v>
      </c>
      <c r="E70" s="58">
        <f t="shared" si="30"/>
        <v>20600</v>
      </c>
      <c r="F70" s="58">
        <f t="shared" si="30"/>
        <v>17200</v>
      </c>
      <c r="G70" s="58">
        <f t="shared" si="30"/>
        <v>17200</v>
      </c>
      <c r="H70" s="58">
        <f>H67-(H69)</f>
        <v>0</v>
      </c>
      <c r="I70" s="25"/>
      <c r="J70" s="25"/>
      <c r="K70" s="25"/>
      <c r="L70" s="25"/>
      <c r="M70" s="25"/>
      <c r="N70" s="26">
        <f t="shared" ref="N70:N72" si="31">SUM(B70:I70)</f>
        <v>124030</v>
      </c>
    </row>
    <row r="71" hidden="1">
      <c r="A71" s="27" t="s">
        <v>33</v>
      </c>
      <c r="B71" s="28"/>
      <c r="C71" s="28">
        <v>1000.0</v>
      </c>
      <c r="D71" s="28">
        <v>1000.0</v>
      </c>
      <c r="E71" s="28">
        <v>1000.0</v>
      </c>
      <c r="F71" s="28">
        <v>1000.0</v>
      </c>
      <c r="G71" s="28">
        <v>1000.0</v>
      </c>
      <c r="H71" s="28"/>
      <c r="I71" s="28"/>
      <c r="J71" s="29"/>
      <c r="K71" s="29"/>
      <c r="L71" s="29"/>
      <c r="M71" s="29"/>
      <c r="N71" s="30">
        <f t="shared" si="31"/>
        <v>5000</v>
      </c>
    </row>
    <row r="72" hidden="1">
      <c r="A72" s="23"/>
      <c r="B72" s="24"/>
      <c r="C72" s="24"/>
      <c r="D72" s="24"/>
      <c r="E72" s="24"/>
      <c r="F72" s="24"/>
      <c r="G72" s="24"/>
      <c r="H72" s="24"/>
      <c r="I72" s="24"/>
      <c r="J72" s="25"/>
      <c r="K72" s="25"/>
      <c r="L72" s="25"/>
      <c r="M72" s="25"/>
      <c r="N72" s="26">
        <f t="shared" si="31"/>
        <v>0</v>
      </c>
    </row>
    <row r="73" hidden="1">
      <c r="A73" s="37"/>
      <c r="B73" s="38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</row>
    <row r="74" hidden="1">
      <c r="A74" s="39" t="s">
        <v>22</v>
      </c>
      <c r="B74" s="40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</row>
    <row r="75" hidden="1">
      <c r="A75" s="59" t="s">
        <v>32</v>
      </c>
      <c r="B75" s="43">
        <v>2000.0</v>
      </c>
      <c r="C75" s="44"/>
      <c r="D75" s="44"/>
      <c r="E75" s="45"/>
      <c r="F75" s="44"/>
      <c r="G75" s="45"/>
      <c r="H75" s="44"/>
      <c r="I75" s="44"/>
      <c r="J75" s="44"/>
      <c r="K75" s="44"/>
      <c r="L75" s="44"/>
      <c r="M75" s="44"/>
      <c r="N75" s="44"/>
    </row>
    <row r="76" hidden="1">
      <c r="A76" s="60" t="s">
        <v>28</v>
      </c>
      <c r="B76" s="46"/>
      <c r="C76" s="45"/>
      <c r="D76" s="45"/>
      <c r="E76" s="45"/>
      <c r="F76" s="45"/>
      <c r="G76" s="44"/>
      <c r="H76" s="44"/>
      <c r="I76" s="44"/>
      <c r="J76" s="44"/>
      <c r="K76" s="44"/>
      <c r="L76" s="44"/>
      <c r="M76" s="44"/>
      <c r="N76" s="44"/>
    </row>
    <row r="77" hidden="1">
      <c r="A77" s="60" t="s">
        <v>29</v>
      </c>
      <c r="B77" s="43"/>
      <c r="C77" s="44"/>
      <c r="D77" s="44"/>
      <c r="E77" s="45">
        <f>1150+200</f>
        <v>1350</v>
      </c>
      <c r="F77" s="44">
        <f>3230</f>
        <v>3230</v>
      </c>
      <c r="G77" s="44"/>
      <c r="H77" s="44"/>
      <c r="I77" s="44"/>
      <c r="J77" s="44"/>
      <c r="K77" s="44"/>
      <c r="L77" s="44"/>
      <c r="M77" s="44"/>
      <c r="N77" s="44"/>
    </row>
    <row r="78" hidden="1">
      <c r="A78" s="60" t="s">
        <v>30</v>
      </c>
      <c r="B78" s="46"/>
      <c r="C78" s="45"/>
      <c r="D78" s="44"/>
      <c r="E78" s="45"/>
      <c r="F78" s="44"/>
      <c r="G78" s="44"/>
      <c r="H78" s="44"/>
      <c r="I78" s="44"/>
      <c r="J78" s="44"/>
      <c r="K78" s="44"/>
      <c r="L78" s="44"/>
      <c r="M78" s="44"/>
      <c r="N78" s="44"/>
    </row>
    <row r="79" hidden="1">
      <c r="A79" s="39"/>
      <c r="B79" s="46"/>
      <c r="C79" s="44"/>
      <c r="D79" s="44"/>
      <c r="E79" s="45"/>
      <c r="F79" s="44"/>
      <c r="G79" s="44"/>
      <c r="H79" s="44"/>
      <c r="I79" s="44"/>
      <c r="J79" s="44"/>
      <c r="K79" s="44"/>
      <c r="L79" s="44"/>
      <c r="M79" s="44"/>
      <c r="N79" s="44"/>
    </row>
    <row r="80" hidden="1">
      <c r="A80" s="37"/>
      <c r="B80" s="38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</row>
    <row r="81" hidden="1">
      <c r="A81" s="47" t="s">
        <v>23</v>
      </c>
      <c r="B81" s="48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7" t="s">
        <v>24</v>
      </c>
    </row>
    <row r="82" hidden="1">
      <c r="A82" s="61" t="s">
        <v>32</v>
      </c>
      <c r="B82" s="51">
        <f t="shared" ref="B82:G82" si="32">(B70/3)-B75</f>
        <v>7066.666667</v>
      </c>
      <c r="C82" s="52">
        <f t="shared" si="32"/>
        <v>7076.666667</v>
      </c>
      <c r="D82" s="62">
        <f t="shared" si="32"/>
        <v>6866.666667</v>
      </c>
      <c r="E82" s="52">
        <f t="shared" si="32"/>
        <v>6866.666667</v>
      </c>
      <c r="F82" s="52">
        <f t="shared" si="32"/>
        <v>5733.333333</v>
      </c>
      <c r="G82" s="62">
        <f t="shared" si="32"/>
        <v>5733.333333</v>
      </c>
      <c r="H82" s="52"/>
      <c r="I82" s="52"/>
      <c r="J82" s="52"/>
      <c r="K82" s="52"/>
      <c r="L82" s="52"/>
      <c r="M82" s="52"/>
      <c r="N82" s="52">
        <f>SUM(C82:I82)</f>
        <v>32276.66667</v>
      </c>
    </row>
    <row r="83" hidden="1">
      <c r="A83" s="63" t="s">
        <v>28</v>
      </c>
      <c r="B83" s="51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3">
        <f t="shared" ref="N83:N84" si="34">SUM(B83:I83)</f>
        <v>0</v>
      </c>
    </row>
    <row r="84" hidden="1">
      <c r="A84" s="63" t="s">
        <v>29</v>
      </c>
      <c r="B84" s="51">
        <f t="shared" ref="B84:D84" si="33">B70/3</f>
        <v>9066.666667</v>
      </c>
      <c r="C84" s="52">
        <f t="shared" si="33"/>
        <v>7076.666667</v>
      </c>
      <c r="D84" s="52">
        <f t="shared" si="33"/>
        <v>6866.666667</v>
      </c>
      <c r="E84" s="52">
        <f>(E70/3)-E77</f>
        <v>5516.666667</v>
      </c>
      <c r="F84" s="52">
        <f>(F70/3)+F77</f>
        <v>8963.333333</v>
      </c>
      <c r="G84" s="52">
        <f>G70/3</f>
        <v>5733.333333</v>
      </c>
      <c r="H84" s="52"/>
      <c r="I84" s="52"/>
      <c r="J84" s="52"/>
      <c r="K84" s="52"/>
      <c r="L84" s="52"/>
      <c r="M84" s="52"/>
      <c r="N84" s="53">
        <f t="shared" si="34"/>
        <v>43223.33333</v>
      </c>
    </row>
    <row r="85" hidden="1">
      <c r="A85" s="63" t="s">
        <v>30</v>
      </c>
      <c r="B85" s="51">
        <f t="shared" ref="B85:G85" si="35">B70/3</f>
        <v>9066.666667</v>
      </c>
      <c r="C85" s="52">
        <f t="shared" si="35"/>
        <v>7076.666667</v>
      </c>
      <c r="D85" s="52">
        <f t="shared" si="35"/>
        <v>6866.666667</v>
      </c>
      <c r="E85" s="52">
        <f t="shared" si="35"/>
        <v>6866.666667</v>
      </c>
      <c r="F85" s="52">
        <f t="shared" si="35"/>
        <v>5733.333333</v>
      </c>
      <c r="G85" s="52">
        <f t="shared" si="35"/>
        <v>5733.333333</v>
      </c>
      <c r="H85" s="52"/>
      <c r="I85" s="52"/>
      <c r="J85" s="52"/>
      <c r="K85" s="52"/>
      <c r="L85" s="52"/>
      <c r="M85" s="52"/>
      <c r="N85" s="53">
        <f>SUM(B85:G85)</f>
        <v>41343.33333</v>
      </c>
    </row>
    <row r="86" hidden="1">
      <c r="A86" s="47"/>
      <c r="B86" s="54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</row>
    <row r="87" hidden="1"/>
    <row r="88" hidden="1">
      <c r="A88" s="1" t="s">
        <v>0</v>
      </c>
      <c r="B88" s="2" t="s">
        <v>1</v>
      </c>
      <c r="C88" s="3" t="s">
        <v>2</v>
      </c>
      <c r="D88" s="3" t="s">
        <v>3</v>
      </c>
      <c r="E88" s="3" t="s">
        <v>4</v>
      </c>
      <c r="F88" s="3" t="s">
        <v>5</v>
      </c>
      <c r="G88" s="3" t="s">
        <v>6</v>
      </c>
      <c r="H88" s="4" t="s">
        <v>34</v>
      </c>
      <c r="I88" s="4"/>
      <c r="J88" s="4"/>
      <c r="K88" s="4"/>
      <c r="L88" s="4"/>
      <c r="M88" s="4"/>
      <c r="N88" s="1" t="s">
        <v>0</v>
      </c>
    </row>
    <row r="89" hidden="1">
      <c r="A89" s="6" t="s">
        <v>35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8"/>
    </row>
    <row r="90" hidden="1">
      <c r="A90" s="55" t="s">
        <v>36</v>
      </c>
      <c r="B90" s="10">
        <v>9500.0</v>
      </c>
      <c r="C90" s="10">
        <v>7750.0</v>
      </c>
      <c r="D90" s="10">
        <v>7500.0</v>
      </c>
      <c r="E90" s="10">
        <v>7500.0</v>
      </c>
      <c r="F90" s="10">
        <v>7000.0</v>
      </c>
      <c r="G90" s="10">
        <v>7000.0</v>
      </c>
      <c r="H90" s="11">
        <v>0.0</v>
      </c>
      <c r="I90" s="12"/>
      <c r="J90" s="12"/>
      <c r="K90" s="12"/>
      <c r="L90" s="12"/>
      <c r="M90" s="12"/>
      <c r="N90" s="13">
        <f>SUM(B90:I90)</f>
        <v>46250</v>
      </c>
    </row>
    <row r="91" hidden="1">
      <c r="A91" s="14">
        <v>44474.0</v>
      </c>
      <c r="B91" s="10">
        <v>9500.0</v>
      </c>
      <c r="C91" s="10">
        <v>7750.0</v>
      </c>
      <c r="D91" s="10">
        <v>7500.0</v>
      </c>
      <c r="E91" s="10">
        <v>7500.0</v>
      </c>
      <c r="F91" s="10">
        <v>7000.0</v>
      </c>
      <c r="G91" s="10">
        <v>7000.0</v>
      </c>
      <c r="H91" s="11">
        <v>0.0</v>
      </c>
      <c r="I91" s="12"/>
      <c r="J91" s="12"/>
      <c r="K91" s="12"/>
      <c r="L91" s="12"/>
      <c r="M91" s="12"/>
      <c r="N91" s="13">
        <f t="shared" ref="N91:N94" si="36">SUM(B91:H91)</f>
        <v>46250</v>
      </c>
    </row>
    <row r="92" hidden="1">
      <c r="A92" s="15" t="s">
        <v>37</v>
      </c>
      <c r="B92" s="10">
        <v>9500.0</v>
      </c>
      <c r="C92" s="10">
        <v>7750.0</v>
      </c>
      <c r="D92" s="10">
        <v>7500.0</v>
      </c>
      <c r="E92" s="10">
        <v>7500.0</v>
      </c>
      <c r="F92" s="10">
        <v>7000.0</v>
      </c>
      <c r="G92" s="10">
        <v>7000.0</v>
      </c>
      <c r="H92" s="11">
        <v>0.0</v>
      </c>
      <c r="I92" s="12"/>
      <c r="J92" s="12"/>
      <c r="K92" s="12"/>
      <c r="L92" s="12"/>
      <c r="M92" s="12"/>
      <c r="N92" s="13">
        <f t="shared" si="36"/>
        <v>46250</v>
      </c>
    </row>
    <row r="93" hidden="1">
      <c r="A93" s="15" t="s">
        <v>38</v>
      </c>
      <c r="B93" s="16">
        <v>9500.0</v>
      </c>
      <c r="C93" s="16">
        <v>7750.0</v>
      </c>
      <c r="D93" s="16">
        <v>7500.0</v>
      </c>
      <c r="E93" s="16">
        <v>7500.0</v>
      </c>
      <c r="F93" s="16">
        <v>7000.0</v>
      </c>
      <c r="G93" s="16">
        <v>7000.0</v>
      </c>
      <c r="H93" s="17">
        <v>0.0</v>
      </c>
      <c r="I93" s="18"/>
      <c r="J93" s="18"/>
      <c r="K93" s="18"/>
      <c r="L93" s="18"/>
      <c r="M93" s="18"/>
      <c r="N93" s="19">
        <f t="shared" si="36"/>
        <v>46250</v>
      </c>
    </row>
    <row r="94" hidden="1">
      <c r="A94" s="15" t="s">
        <v>39</v>
      </c>
      <c r="B94" s="16"/>
      <c r="C94" s="16"/>
      <c r="D94" s="16"/>
      <c r="E94" s="16"/>
      <c r="F94" s="16"/>
      <c r="G94" s="16"/>
      <c r="H94" s="17">
        <v>0.0</v>
      </c>
      <c r="I94" s="18"/>
      <c r="J94" s="18"/>
      <c r="K94" s="18"/>
      <c r="L94" s="18"/>
      <c r="M94" s="18"/>
      <c r="N94" s="19">
        <f t="shared" si="36"/>
        <v>0</v>
      </c>
    </row>
    <row r="95" hidden="1">
      <c r="A95" s="20" t="s">
        <v>15</v>
      </c>
      <c r="B95" s="21">
        <f t="shared" ref="B95:H95" si="37">SUM(B90:B93)</f>
        <v>38000</v>
      </c>
      <c r="C95" s="21">
        <f t="shared" si="37"/>
        <v>31000</v>
      </c>
      <c r="D95" s="21">
        <f t="shared" si="37"/>
        <v>30000</v>
      </c>
      <c r="E95" s="21">
        <f t="shared" si="37"/>
        <v>30000</v>
      </c>
      <c r="F95" s="21">
        <f t="shared" si="37"/>
        <v>28000</v>
      </c>
      <c r="G95" s="21">
        <f t="shared" si="37"/>
        <v>28000</v>
      </c>
      <c r="H95" s="21">
        <f t="shared" si="37"/>
        <v>0</v>
      </c>
      <c r="I95" s="20" t="s">
        <v>15</v>
      </c>
      <c r="J95" s="20"/>
      <c r="K95" s="20"/>
      <c r="L95" s="20"/>
      <c r="M95" s="20"/>
      <c r="N95" s="21">
        <f>SUM(N90:N93)</f>
        <v>185000</v>
      </c>
    </row>
    <row r="96" hidden="1">
      <c r="A96" s="23" t="s">
        <v>16</v>
      </c>
      <c r="B96" s="24">
        <v>10800.0</v>
      </c>
      <c r="C96" s="24">
        <v>9770.0</v>
      </c>
      <c r="D96" s="24">
        <v>9400.0</v>
      </c>
      <c r="E96" s="24">
        <v>9400.0</v>
      </c>
      <c r="F96" s="24">
        <v>10800.0</v>
      </c>
      <c r="G96" s="24">
        <v>10800.0</v>
      </c>
      <c r="H96" s="24"/>
      <c r="I96" s="21"/>
      <c r="J96" s="21"/>
      <c r="K96" s="21"/>
      <c r="L96" s="21"/>
      <c r="M96" s="21"/>
      <c r="N96" s="22"/>
    </row>
    <row r="97" hidden="1">
      <c r="A97" s="57" t="s">
        <v>17</v>
      </c>
      <c r="B97" s="58">
        <f t="shared" ref="B97:G97" si="38">B95-(B96)</f>
        <v>27200</v>
      </c>
      <c r="C97" s="58">
        <f t="shared" si="38"/>
        <v>21230</v>
      </c>
      <c r="D97" s="58">
        <f t="shared" si="38"/>
        <v>20600</v>
      </c>
      <c r="E97" s="58">
        <f t="shared" si="38"/>
        <v>20600</v>
      </c>
      <c r="F97" s="58">
        <f t="shared" si="38"/>
        <v>17200</v>
      </c>
      <c r="G97" s="58">
        <f t="shared" si="38"/>
        <v>17200</v>
      </c>
      <c r="H97" s="58">
        <f>H94-(H96)</f>
        <v>0</v>
      </c>
      <c r="I97" s="25"/>
      <c r="J97" s="25"/>
      <c r="K97" s="25"/>
      <c r="L97" s="25"/>
      <c r="M97" s="25"/>
      <c r="N97" s="26">
        <f t="shared" ref="N97:N100" si="39">SUM(B97:I97)</f>
        <v>124030</v>
      </c>
    </row>
    <row r="98" hidden="1">
      <c r="A98" s="27" t="s">
        <v>40</v>
      </c>
      <c r="B98" s="28"/>
      <c r="C98" s="28">
        <v>600.0</v>
      </c>
      <c r="D98" s="28">
        <v>1800.0</v>
      </c>
      <c r="E98" s="28">
        <v>1000.0</v>
      </c>
      <c r="F98" s="28"/>
      <c r="G98" s="28">
        <f>600*6</f>
        <v>3600</v>
      </c>
      <c r="H98" s="28"/>
      <c r="I98" s="28"/>
      <c r="J98" s="29"/>
      <c r="K98" s="29"/>
      <c r="L98" s="29"/>
      <c r="M98" s="29"/>
      <c r="N98" s="30">
        <f t="shared" si="39"/>
        <v>7000</v>
      </c>
    </row>
    <row r="99" hidden="1">
      <c r="A99" s="23" t="s">
        <v>41</v>
      </c>
      <c r="B99" s="24"/>
      <c r="C99" s="24">
        <v>1000.0</v>
      </c>
      <c r="D99" s="24">
        <v>1000.0</v>
      </c>
      <c r="E99" s="24">
        <v>1000.0</v>
      </c>
      <c r="F99" s="24">
        <v>1000.0</v>
      </c>
      <c r="G99" s="24">
        <v>1000.0</v>
      </c>
      <c r="H99" s="24"/>
      <c r="I99" s="24"/>
      <c r="J99" s="25"/>
      <c r="K99" s="25"/>
      <c r="L99" s="25"/>
      <c r="M99" s="25"/>
      <c r="N99" s="26">
        <f t="shared" si="39"/>
        <v>5000</v>
      </c>
    </row>
    <row r="100" hidden="1">
      <c r="A100" s="23" t="s">
        <v>42</v>
      </c>
      <c r="B100" s="24">
        <v>1000.0</v>
      </c>
      <c r="C100" s="24">
        <v>1000.0</v>
      </c>
      <c r="D100" s="24">
        <v>1000.0</v>
      </c>
      <c r="E100" s="24">
        <v>1000.0</v>
      </c>
      <c r="F100" s="24">
        <v>1000.0</v>
      </c>
      <c r="G100" s="24">
        <v>1000.0</v>
      </c>
      <c r="H100" s="24">
        <v>1000.0</v>
      </c>
      <c r="I100" s="24"/>
      <c r="J100" s="25"/>
      <c r="K100" s="25"/>
      <c r="L100" s="25"/>
      <c r="M100" s="25"/>
      <c r="N100" s="26">
        <f t="shared" si="39"/>
        <v>7000</v>
      </c>
    </row>
    <row r="101" hidden="1">
      <c r="A101" s="39" t="s">
        <v>22</v>
      </c>
      <c r="B101" s="40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</row>
    <row r="102" hidden="1">
      <c r="A102" s="59" t="s">
        <v>36</v>
      </c>
      <c r="B102" s="43"/>
      <c r="C102" s="44"/>
      <c r="D102" s="44"/>
      <c r="E102" s="45"/>
      <c r="F102" s="44"/>
      <c r="G102" s="45"/>
      <c r="H102" s="44"/>
      <c r="I102" s="44"/>
      <c r="J102" s="44"/>
      <c r="K102" s="44"/>
      <c r="L102" s="44"/>
      <c r="M102" s="44"/>
      <c r="N102" s="44"/>
    </row>
    <row r="103" hidden="1">
      <c r="A103" s="64">
        <v>44474.0</v>
      </c>
      <c r="B103" s="46"/>
      <c r="C103" s="45"/>
      <c r="D103" s="45"/>
      <c r="E103" s="45">
        <v>500.0</v>
      </c>
      <c r="F103" s="45"/>
      <c r="G103" s="44"/>
      <c r="H103" s="44"/>
      <c r="I103" s="44"/>
      <c r="J103" s="44"/>
      <c r="K103" s="44"/>
      <c r="L103" s="44"/>
      <c r="M103" s="44"/>
      <c r="N103" s="44"/>
    </row>
    <row r="104" hidden="1">
      <c r="A104" s="60" t="s">
        <v>37</v>
      </c>
      <c r="B104" s="43"/>
      <c r="C104" s="45">
        <v>1000.0</v>
      </c>
      <c r="D104" s="44"/>
      <c r="E104" s="45">
        <v>300.0</v>
      </c>
      <c r="F104" s="44"/>
      <c r="G104" s="44"/>
      <c r="H104" s="44"/>
      <c r="I104" s="44"/>
      <c r="J104" s="44"/>
      <c r="K104" s="44"/>
      <c r="L104" s="44"/>
      <c r="M104" s="44"/>
      <c r="N104" s="44"/>
    </row>
    <row r="105" hidden="1">
      <c r="A105" s="60" t="s">
        <v>38</v>
      </c>
      <c r="B105" s="46"/>
      <c r="C105" s="45"/>
      <c r="D105" s="44"/>
      <c r="E105" s="45">
        <v>300.0</v>
      </c>
      <c r="F105" s="44"/>
      <c r="G105" s="45">
        <v>340.0</v>
      </c>
      <c r="H105" s="44"/>
      <c r="I105" s="44"/>
      <c r="J105" s="44"/>
      <c r="K105" s="44"/>
      <c r="L105" s="44"/>
      <c r="M105" s="44"/>
      <c r="N105" s="44"/>
    </row>
    <row r="106" hidden="1">
      <c r="A106" s="64">
        <v>44222.0</v>
      </c>
      <c r="B106" s="46"/>
      <c r="C106" s="44"/>
      <c r="D106" s="44"/>
      <c r="E106" s="45"/>
      <c r="F106" s="44"/>
      <c r="G106" s="45"/>
      <c r="H106" s="44"/>
      <c r="I106" s="44"/>
      <c r="J106" s="44"/>
      <c r="K106" s="44"/>
      <c r="L106" s="44"/>
      <c r="M106" s="44"/>
      <c r="N106" s="44"/>
    </row>
    <row r="107" hidden="1">
      <c r="A107" s="37"/>
      <c r="B107" s="38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</row>
    <row r="108" hidden="1">
      <c r="A108" s="47" t="s">
        <v>23</v>
      </c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7" t="s">
        <v>24</v>
      </c>
    </row>
    <row r="109" hidden="1">
      <c r="A109" s="61" t="s">
        <v>36</v>
      </c>
      <c r="B109" s="51">
        <f>(B97/3)-B102</f>
        <v>9066.666667</v>
      </c>
      <c r="C109" s="52">
        <f t="shared" ref="C109:D109" si="40">(C97/3)-C102+C99</f>
        <v>8076.666667</v>
      </c>
      <c r="D109" s="62">
        <f t="shared" si="40"/>
        <v>7866.666667</v>
      </c>
      <c r="E109" s="52">
        <f>(E97/3)-E102+E98+E99</f>
        <v>8866.666667</v>
      </c>
      <c r="F109" s="52">
        <f t="shared" ref="F109:G109" si="41">(F97/3)-F102+F99</f>
        <v>6733.333333</v>
      </c>
      <c r="G109" s="62">
        <f t="shared" si="41"/>
        <v>6733.333333</v>
      </c>
      <c r="H109" s="52"/>
      <c r="I109" s="52"/>
      <c r="J109" s="52"/>
      <c r="K109" s="52"/>
      <c r="L109" s="52"/>
      <c r="M109" s="52"/>
      <c r="N109" s="53">
        <f t="shared" ref="N109:N111" si="43">SUM(B109:I109)</f>
        <v>47343.33333</v>
      </c>
    </row>
    <row r="110" hidden="1">
      <c r="A110" s="65">
        <v>44474.0</v>
      </c>
      <c r="B110" s="51">
        <f t="shared" ref="B110:C110" si="42">B97/3</f>
        <v>9066.666667</v>
      </c>
      <c r="C110" s="52">
        <f t="shared" si="42"/>
        <v>7076.666667</v>
      </c>
      <c r="D110" s="52">
        <f>D97/3+D98</f>
        <v>8666.666667</v>
      </c>
      <c r="E110" s="52">
        <f>(E97/3)-E103</f>
        <v>6366.666667</v>
      </c>
      <c r="F110" s="52">
        <f>(F97/3)+F104</f>
        <v>5733.333333</v>
      </c>
      <c r="G110" s="52">
        <f>G97/3</f>
        <v>5733.333333</v>
      </c>
      <c r="H110" s="52"/>
      <c r="I110" s="52"/>
      <c r="J110" s="52"/>
      <c r="K110" s="52"/>
      <c r="L110" s="52"/>
      <c r="M110" s="52"/>
      <c r="N110" s="53">
        <f t="shared" si="43"/>
        <v>42643.33333</v>
      </c>
    </row>
    <row r="111" hidden="1">
      <c r="A111" s="63" t="s">
        <v>37</v>
      </c>
      <c r="B111" s="66">
        <f>(B95-B109-B110)/2</f>
        <v>9933.333333</v>
      </c>
      <c r="C111" s="67">
        <f>(C95-7076-7076)/2-C104</f>
        <v>7424</v>
      </c>
      <c r="D111" s="67">
        <f>(D95-6866-6866)/2</f>
        <v>8134</v>
      </c>
      <c r="E111" s="67">
        <f>(E95-6866-6866)/2-E104</f>
        <v>7834</v>
      </c>
      <c r="F111" s="67">
        <f t="shared" ref="F111:G111" si="44">(F95-5733-5733)/2</f>
        <v>8267</v>
      </c>
      <c r="G111" s="67">
        <f t="shared" si="44"/>
        <v>8267</v>
      </c>
      <c r="H111" s="52"/>
      <c r="I111" s="52"/>
      <c r="J111" s="52"/>
      <c r="K111" s="52"/>
      <c r="L111" s="52"/>
      <c r="M111" s="52"/>
      <c r="N111" s="53">
        <f t="shared" si="43"/>
        <v>49859.33333</v>
      </c>
    </row>
    <row r="112" hidden="1">
      <c r="A112" s="63" t="s">
        <v>38</v>
      </c>
      <c r="B112" s="68">
        <f>B111-B105</f>
        <v>9933.333333</v>
      </c>
      <c r="C112" s="62">
        <f>8424-C105</f>
        <v>8424</v>
      </c>
      <c r="D112" s="52">
        <f t="shared" ref="D112:E112" si="45">8134-D105</f>
        <v>8134</v>
      </c>
      <c r="E112" s="52">
        <f t="shared" si="45"/>
        <v>7834</v>
      </c>
      <c r="F112" s="52">
        <f t="shared" ref="F112:G112" si="46">8267-F105</f>
        <v>8267</v>
      </c>
      <c r="G112" s="52">
        <f t="shared" si="46"/>
        <v>7927</v>
      </c>
      <c r="H112" s="52"/>
      <c r="I112" s="52"/>
      <c r="J112" s="52"/>
      <c r="K112" s="52"/>
      <c r="L112" s="52"/>
      <c r="M112" s="52"/>
      <c r="N112" s="53">
        <f>SUM(B112:G112)</f>
        <v>50519.33333</v>
      </c>
    </row>
    <row r="113" hidden="1">
      <c r="A113" s="65">
        <v>44222.0</v>
      </c>
      <c r="B113" s="54">
        <f>B93+B100</f>
        <v>10500</v>
      </c>
      <c r="C113" s="52">
        <f>C93+C100+C98</f>
        <v>9350</v>
      </c>
      <c r="D113" s="52">
        <f>D93+D100</f>
        <v>8500</v>
      </c>
      <c r="E113" s="52">
        <f>E93</f>
        <v>7500</v>
      </c>
      <c r="F113" s="62" t="s">
        <v>43</v>
      </c>
      <c r="G113" s="52">
        <f>G93+G98+G100</f>
        <v>11600</v>
      </c>
      <c r="H113" s="52">
        <f>(1000*4)+H100</f>
        <v>5000</v>
      </c>
      <c r="I113" s="52"/>
      <c r="J113" s="52"/>
      <c r="K113" s="52"/>
      <c r="L113" s="52"/>
      <c r="M113" s="52"/>
      <c r="N113" s="53">
        <f>SUM(B113:I113)</f>
        <v>52450</v>
      </c>
    </row>
    <row r="114" hidden="1"/>
    <row r="115" hidden="1"/>
    <row r="116" hidden="1">
      <c r="A116" s="1" t="s">
        <v>0</v>
      </c>
      <c r="B116" s="2" t="s">
        <v>1</v>
      </c>
      <c r="C116" s="3" t="s">
        <v>2</v>
      </c>
      <c r="D116" s="3" t="s">
        <v>3</v>
      </c>
      <c r="E116" s="3" t="s">
        <v>4</v>
      </c>
      <c r="F116" s="3" t="s">
        <v>34</v>
      </c>
      <c r="G116" s="3" t="s">
        <v>6</v>
      </c>
      <c r="H116" s="4"/>
      <c r="I116" s="4"/>
      <c r="J116" s="4"/>
      <c r="K116" s="4"/>
      <c r="L116" s="4"/>
      <c r="M116" s="4"/>
      <c r="N116" s="1" t="s">
        <v>0</v>
      </c>
    </row>
    <row r="117" hidden="1">
      <c r="A117" s="6" t="s">
        <v>44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8"/>
    </row>
    <row r="118" hidden="1">
      <c r="A118" s="55" t="s">
        <v>45</v>
      </c>
      <c r="B118" s="10">
        <v>9500.0</v>
      </c>
      <c r="C118" s="10">
        <v>7750.0</v>
      </c>
      <c r="D118" s="10">
        <v>7500.0</v>
      </c>
      <c r="E118" s="10">
        <v>7500.0</v>
      </c>
      <c r="F118" s="10">
        <v>7000.0</v>
      </c>
      <c r="G118" s="10">
        <v>7000.0</v>
      </c>
      <c r="H118" s="11">
        <v>0.0</v>
      </c>
      <c r="I118" s="12"/>
      <c r="J118" s="12"/>
      <c r="K118" s="12"/>
      <c r="L118" s="12"/>
      <c r="M118" s="12"/>
      <c r="N118" s="13">
        <f>SUM(B118:I118)</f>
        <v>46250</v>
      </c>
    </row>
    <row r="119" hidden="1">
      <c r="A119" s="15" t="s">
        <v>46</v>
      </c>
      <c r="B119" s="10">
        <v>9500.0</v>
      </c>
      <c r="C119" s="10">
        <v>7750.0</v>
      </c>
      <c r="D119" s="10">
        <v>7500.0</v>
      </c>
      <c r="E119" s="10">
        <v>7500.0</v>
      </c>
      <c r="F119" s="10">
        <v>7000.0</v>
      </c>
      <c r="G119" s="10">
        <v>7000.0</v>
      </c>
      <c r="H119" s="11">
        <v>0.0</v>
      </c>
      <c r="I119" s="12"/>
      <c r="J119" s="12"/>
      <c r="K119" s="12"/>
      <c r="L119" s="12"/>
      <c r="M119" s="12"/>
      <c r="N119" s="13">
        <f t="shared" ref="N119:N122" si="47">SUM(B119:H119)</f>
        <v>46250</v>
      </c>
    </row>
    <row r="120" hidden="1">
      <c r="A120" s="15" t="s">
        <v>47</v>
      </c>
      <c r="B120" s="10">
        <v>9500.0</v>
      </c>
      <c r="C120" s="10">
        <v>7750.0</v>
      </c>
      <c r="D120" s="10">
        <v>7500.0</v>
      </c>
      <c r="E120" s="10">
        <v>7500.0</v>
      </c>
      <c r="F120" s="10">
        <v>7000.0</v>
      </c>
      <c r="G120" s="10">
        <v>7000.0</v>
      </c>
      <c r="H120" s="11">
        <v>0.0</v>
      </c>
      <c r="I120" s="12"/>
      <c r="J120" s="12"/>
      <c r="K120" s="12"/>
      <c r="L120" s="12"/>
      <c r="M120" s="12"/>
      <c r="N120" s="13">
        <f t="shared" si="47"/>
        <v>46250</v>
      </c>
    </row>
    <row r="121" hidden="1">
      <c r="A121" s="15" t="s">
        <v>48</v>
      </c>
      <c r="B121" s="16">
        <v>9500.0</v>
      </c>
      <c r="C121" s="16">
        <v>7750.0</v>
      </c>
      <c r="D121" s="16">
        <v>7500.0</v>
      </c>
      <c r="E121" s="16">
        <v>7500.0</v>
      </c>
      <c r="F121" s="16">
        <v>7000.0</v>
      </c>
      <c r="G121" s="16">
        <v>7000.0</v>
      </c>
      <c r="H121" s="17">
        <v>0.0</v>
      </c>
      <c r="I121" s="18"/>
      <c r="J121" s="18"/>
      <c r="K121" s="18"/>
      <c r="L121" s="18"/>
      <c r="M121" s="18"/>
      <c r="N121" s="19">
        <f t="shared" si="47"/>
        <v>46250</v>
      </c>
    </row>
    <row r="122" hidden="1">
      <c r="A122" s="15"/>
      <c r="B122" s="16"/>
      <c r="C122" s="16"/>
      <c r="D122" s="16"/>
      <c r="E122" s="16"/>
      <c r="F122" s="16"/>
      <c r="G122" s="16"/>
      <c r="H122" s="17">
        <v>0.0</v>
      </c>
      <c r="I122" s="18"/>
      <c r="J122" s="18"/>
      <c r="K122" s="18"/>
      <c r="L122" s="18"/>
      <c r="M122" s="18"/>
      <c r="N122" s="19">
        <f t="shared" si="47"/>
        <v>0</v>
      </c>
    </row>
    <row r="123" hidden="1">
      <c r="A123" s="20" t="s">
        <v>15</v>
      </c>
      <c r="B123" s="21">
        <v>48800.0</v>
      </c>
      <c r="C123" s="21">
        <f t="shared" ref="C123:H123" si="48">SUM(C118:C121)</f>
        <v>31000</v>
      </c>
      <c r="D123" s="21">
        <f t="shared" si="48"/>
        <v>30000</v>
      </c>
      <c r="E123" s="21">
        <f t="shared" si="48"/>
        <v>30000</v>
      </c>
      <c r="F123" s="21">
        <f t="shared" si="48"/>
        <v>28000</v>
      </c>
      <c r="G123" s="21">
        <f t="shared" si="48"/>
        <v>28000</v>
      </c>
      <c r="H123" s="21">
        <f t="shared" si="48"/>
        <v>0</v>
      </c>
      <c r="I123" s="20" t="s">
        <v>15</v>
      </c>
      <c r="J123" s="20"/>
      <c r="K123" s="20"/>
      <c r="L123" s="20"/>
      <c r="M123" s="20"/>
      <c r="N123" s="21">
        <f>SUM(N118:N121)</f>
        <v>185000</v>
      </c>
    </row>
    <row r="124" hidden="1">
      <c r="A124" s="23" t="s">
        <v>16</v>
      </c>
      <c r="B124" s="24">
        <v>10800.0</v>
      </c>
      <c r="C124" s="24">
        <v>9770.0</v>
      </c>
      <c r="D124" s="24">
        <v>9400.0</v>
      </c>
      <c r="E124" s="24">
        <v>9400.0</v>
      </c>
      <c r="F124" s="24">
        <v>10800.0</v>
      </c>
      <c r="G124" s="24">
        <v>10800.0</v>
      </c>
      <c r="H124" s="24"/>
      <c r="I124" s="21"/>
      <c r="J124" s="21"/>
      <c r="K124" s="21"/>
      <c r="L124" s="21"/>
      <c r="M124" s="21"/>
      <c r="N124" s="22"/>
    </row>
    <row r="125" hidden="1">
      <c r="A125" s="57" t="s">
        <v>17</v>
      </c>
      <c r="B125" s="58">
        <f t="shared" ref="B125:E125" si="49">B123-(B124)</f>
        <v>38000</v>
      </c>
      <c r="C125" s="58">
        <f t="shared" si="49"/>
        <v>21230</v>
      </c>
      <c r="D125" s="58">
        <f t="shared" si="49"/>
        <v>20600</v>
      </c>
      <c r="E125" s="58">
        <f t="shared" si="49"/>
        <v>20600</v>
      </c>
      <c r="F125" s="58"/>
      <c r="G125" s="58">
        <f>G123-(G124)</f>
        <v>17200</v>
      </c>
      <c r="H125" s="58">
        <f>H122-(H124)</f>
        <v>0</v>
      </c>
      <c r="I125" s="25"/>
      <c r="J125" s="25"/>
      <c r="K125" s="25"/>
      <c r="L125" s="25"/>
      <c r="M125" s="25"/>
      <c r="N125" s="26">
        <f t="shared" ref="N125:N128" si="50">SUM(B125:I125)</f>
        <v>117630</v>
      </c>
    </row>
    <row r="126" hidden="1">
      <c r="A126" s="27" t="s">
        <v>40</v>
      </c>
      <c r="B126" s="28"/>
      <c r="C126" s="28"/>
      <c r="D126" s="28"/>
      <c r="E126" s="28"/>
      <c r="F126" s="28"/>
      <c r="G126" s="28"/>
      <c r="H126" s="28"/>
      <c r="I126" s="28"/>
      <c r="J126" s="29"/>
      <c r="K126" s="29"/>
      <c r="L126" s="29"/>
      <c r="M126" s="29"/>
      <c r="N126" s="30">
        <f t="shared" si="50"/>
        <v>0</v>
      </c>
    </row>
    <row r="127" hidden="1">
      <c r="A127" s="23" t="s">
        <v>49</v>
      </c>
      <c r="B127" s="24"/>
      <c r="C127" s="24"/>
      <c r="D127" s="24"/>
      <c r="E127" s="24"/>
      <c r="F127" s="24"/>
      <c r="G127" s="24"/>
      <c r="H127" s="24"/>
      <c r="I127" s="24"/>
      <c r="J127" s="25"/>
      <c r="K127" s="25"/>
      <c r="L127" s="25"/>
      <c r="M127" s="25"/>
      <c r="N127" s="26">
        <f t="shared" si="50"/>
        <v>0</v>
      </c>
    </row>
    <row r="128" hidden="1">
      <c r="A128" s="23"/>
      <c r="B128" s="24"/>
      <c r="C128" s="24"/>
      <c r="D128" s="24"/>
      <c r="E128" s="24"/>
      <c r="F128" s="24"/>
      <c r="G128" s="24"/>
      <c r="H128" s="24"/>
      <c r="I128" s="24"/>
      <c r="J128" s="25"/>
      <c r="K128" s="25"/>
      <c r="L128" s="25"/>
      <c r="M128" s="25"/>
      <c r="N128" s="26">
        <f t="shared" si="50"/>
        <v>0</v>
      </c>
    </row>
    <row r="129" hidden="1">
      <c r="A129" s="39" t="s">
        <v>22</v>
      </c>
      <c r="B129" s="40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</row>
    <row r="130" hidden="1">
      <c r="A130" s="59" t="s">
        <v>45</v>
      </c>
      <c r="B130" s="43"/>
      <c r="C130" s="44"/>
      <c r="D130" s="44"/>
      <c r="E130" s="45"/>
      <c r="F130" s="44"/>
      <c r="G130" s="45"/>
      <c r="H130" s="44"/>
      <c r="I130" s="44"/>
      <c r="J130" s="44"/>
      <c r="K130" s="44"/>
      <c r="L130" s="44"/>
      <c r="M130" s="44"/>
      <c r="N130" s="44"/>
    </row>
    <row r="131" hidden="1">
      <c r="A131" s="60" t="s">
        <v>46</v>
      </c>
      <c r="B131" s="46"/>
      <c r="C131" s="45"/>
      <c r="D131" s="45"/>
      <c r="E131" s="45"/>
      <c r="F131" s="45"/>
      <c r="G131" s="44"/>
      <c r="H131" s="44"/>
      <c r="I131" s="44"/>
      <c r="J131" s="44"/>
      <c r="K131" s="44"/>
      <c r="L131" s="44"/>
      <c r="M131" s="44"/>
      <c r="N131" s="44"/>
    </row>
    <row r="132" hidden="1">
      <c r="A132" s="60" t="s">
        <v>47</v>
      </c>
      <c r="B132" s="43"/>
      <c r="C132" s="45"/>
      <c r="D132" s="44"/>
      <c r="E132" s="45"/>
      <c r="F132" s="44"/>
      <c r="G132" s="44"/>
      <c r="H132" s="44"/>
      <c r="I132" s="44"/>
      <c r="J132" s="44"/>
      <c r="K132" s="44"/>
      <c r="L132" s="44"/>
      <c r="M132" s="44"/>
      <c r="N132" s="44"/>
    </row>
    <row r="133" hidden="1">
      <c r="A133" s="60" t="s">
        <v>48</v>
      </c>
      <c r="B133" s="46"/>
      <c r="C133" s="45"/>
      <c r="D133" s="44"/>
      <c r="E133" s="45"/>
      <c r="F133" s="44"/>
      <c r="G133" s="45"/>
      <c r="H133" s="44"/>
      <c r="I133" s="44"/>
      <c r="J133" s="44"/>
      <c r="K133" s="44"/>
      <c r="L133" s="44"/>
      <c r="M133" s="44"/>
      <c r="N133" s="44"/>
    </row>
    <row r="134" hidden="1">
      <c r="A134" s="47" t="s">
        <v>23</v>
      </c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7" t="s">
        <v>24</v>
      </c>
    </row>
    <row r="135" hidden="1">
      <c r="A135" s="61" t="s">
        <v>45</v>
      </c>
      <c r="B135" s="54">
        <v>9500.0</v>
      </c>
      <c r="C135" s="52"/>
      <c r="D135" s="62"/>
      <c r="E135" s="52"/>
      <c r="F135" s="52"/>
      <c r="G135" s="62"/>
      <c r="H135" s="52"/>
      <c r="I135" s="52"/>
      <c r="J135" s="52"/>
      <c r="K135" s="52"/>
      <c r="L135" s="52"/>
      <c r="M135" s="52"/>
      <c r="N135" s="53">
        <f t="shared" ref="N135:N137" si="51">SUM(B135:I135)</f>
        <v>9500</v>
      </c>
    </row>
    <row r="136" hidden="1">
      <c r="A136" s="63" t="s">
        <v>46</v>
      </c>
      <c r="B136" s="51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3">
        <f t="shared" si="51"/>
        <v>0</v>
      </c>
    </row>
    <row r="137" hidden="1">
      <c r="A137" s="63" t="s">
        <v>47</v>
      </c>
      <c r="B137" s="67">
        <f>(B125-B118)/2</f>
        <v>14250</v>
      </c>
      <c r="C137" s="67">
        <f t="shared" ref="C137:D137" si="52">(C125-C118)/2+1000</f>
        <v>7740</v>
      </c>
      <c r="D137" s="67">
        <f t="shared" si="52"/>
        <v>7550</v>
      </c>
      <c r="E137" s="67">
        <f>(E125-E119)/2+1000</f>
        <v>7550</v>
      </c>
      <c r="F137" s="67">
        <f>F119</f>
        <v>7000</v>
      </c>
      <c r="G137" s="67">
        <f>(G125-G118)/2+2900</f>
        <v>8000</v>
      </c>
      <c r="H137" s="52"/>
      <c r="I137" s="52"/>
      <c r="J137" s="52"/>
      <c r="K137" s="52"/>
      <c r="L137" s="52"/>
      <c r="M137" s="52"/>
      <c r="N137" s="52">
        <f t="shared" si="51"/>
        <v>52090</v>
      </c>
    </row>
    <row r="138" hidden="1">
      <c r="A138" s="63" t="s">
        <v>48</v>
      </c>
      <c r="B138" s="69">
        <v>14250.0</v>
      </c>
      <c r="C138" s="62">
        <v>7740.0</v>
      </c>
      <c r="D138" s="62">
        <v>7550.0</v>
      </c>
      <c r="E138" s="62">
        <v>7550.0</v>
      </c>
      <c r="F138" s="62">
        <v>7000.0</v>
      </c>
      <c r="G138" s="62">
        <v>8000.0</v>
      </c>
      <c r="H138" s="52"/>
      <c r="I138" s="52"/>
      <c r="J138" s="52"/>
      <c r="K138" s="52"/>
      <c r="L138" s="52"/>
      <c r="M138" s="52"/>
      <c r="N138" s="52">
        <f>SUM(B138:G138)</f>
        <v>52090</v>
      </c>
    </row>
    <row r="139" hidden="1">
      <c r="A139" s="65"/>
      <c r="B139" s="54"/>
      <c r="C139" s="52"/>
      <c r="D139" s="52"/>
      <c r="E139" s="52"/>
      <c r="F139" s="62"/>
      <c r="G139" s="52"/>
      <c r="H139" s="52"/>
      <c r="I139" s="52"/>
      <c r="J139" s="52"/>
      <c r="K139" s="52"/>
      <c r="L139" s="52"/>
      <c r="M139" s="52"/>
      <c r="N139" s="53">
        <f>SUM(B139:I139)</f>
        <v>0</v>
      </c>
    </row>
    <row r="140" hidden="1"/>
    <row r="141" hidden="1"/>
    <row r="142" hidden="1">
      <c r="A142" s="1" t="s">
        <v>0</v>
      </c>
      <c r="B142" s="2" t="s">
        <v>1</v>
      </c>
      <c r="C142" s="3" t="s">
        <v>2</v>
      </c>
      <c r="D142" s="3" t="s">
        <v>3</v>
      </c>
      <c r="E142" s="3" t="s">
        <v>4</v>
      </c>
      <c r="F142" s="3" t="s">
        <v>34</v>
      </c>
      <c r="G142" s="3" t="s">
        <v>6</v>
      </c>
      <c r="H142" s="4" t="s">
        <v>50</v>
      </c>
      <c r="I142" s="4" t="s">
        <v>51</v>
      </c>
      <c r="J142" s="4"/>
      <c r="K142" s="4"/>
      <c r="L142" s="4"/>
      <c r="M142" s="4"/>
      <c r="N142" s="1" t="s">
        <v>0</v>
      </c>
    </row>
    <row r="143" hidden="1">
      <c r="A143" s="6" t="s">
        <v>52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8"/>
    </row>
    <row r="144" hidden="1">
      <c r="A144" s="55" t="s">
        <v>53</v>
      </c>
      <c r="B144" s="10">
        <v>9500.0</v>
      </c>
      <c r="C144" s="10">
        <f t="shared" ref="C144:E144" si="53">C151/4</f>
        <v>6144.25</v>
      </c>
      <c r="D144" s="10">
        <f t="shared" si="53"/>
        <v>6000</v>
      </c>
      <c r="E144" s="10">
        <f t="shared" si="53"/>
        <v>6000</v>
      </c>
      <c r="F144" s="10">
        <v>7000.0</v>
      </c>
      <c r="G144" s="10">
        <f>G151/4</f>
        <v>5085</v>
      </c>
      <c r="H144" s="11"/>
      <c r="I144" s="12"/>
      <c r="J144" s="12"/>
      <c r="K144" s="12"/>
      <c r="L144" s="12"/>
      <c r="M144" s="12"/>
      <c r="N144" s="13">
        <f>SUM(B144:I144)</f>
        <v>39729.25</v>
      </c>
    </row>
    <row r="145" hidden="1">
      <c r="A145" s="15" t="s">
        <v>54</v>
      </c>
      <c r="B145" s="10">
        <v>9500.0</v>
      </c>
      <c r="C145" s="10">
        <f t="shared" ref="C145:E145" si="54">C151/4</f>
        <v>6144.25</v>
      </c>
      <c r="D145" s="10">
        <f t="shared" si="54"/>
        <v>6000</v>
      </c>
      <c r="E145" s="10">
        <f t="shared" si="54"/>
        <v>6000</v>
      </c>
      <c r="F145" s="10">
        <v>7000.0</v>
      </c>
      <c r="G145" s="10">
        <f>G151/4</f>
        <v>5085</v>
      </c>
      <c r="H145" s="11">
        <v>0.0</v>
      </c>
      <c r="I145" s="12"/>
      <c r="J145" s="12"/>
      <c r="K145" s="12"/>
      <c r="L145" s="12"/>
      <c r="M145" s="12"/>
      <c r="N145" s="13">
        <f t="shared" ref="N145:N148" si="56">SUM(B145:H145)</f>
        <v>39729.25</v>
      </c>
    </row>
    <row r="146" hidden="1">
      <c r="A146" s="15" t="s">
        <v>55</v>
      </c>
      <c r="B146" s="10">
        <v>9500.0</v>
      </c>
      <c r="C146" s="10">
        <f t="shared" ref="C146:E146" si="55">C151/4</f>
        <v>6144.25</v>
      </c>
      <c r="D146" s="10">
        <f t="shared" si="55"/>
        <v>6000</v>
      </c>
      <c r="E146" s="10">
        <f t="shared" si="55"/>
        <v>6000</v>
      </c>
      <c r="F146" s="10">
        <v>7000.0</v>
      </c>
      <c r="G146" s="10">
        <f>G151/4</f>
        <v>5085</v>
      </c>
      <c r="H146" s="11">
        <v>0.0</v>
      </c>
      <c r="I146" s="12"/>
      <c r="J146" s="12"/>
      <c r="K146" s="12"/>
      <c r="L146" s="12"/>
      <c r="M146" s="12"/>
      <c r="N146" s="13">
        <f t="shared" si="56"/>
        <v>39729.25</v>
      </c>
    </row>
    <row r="147" hidden="1">
      <c r="A147" s="15" t="s">
        <v>56</v>
      </c>
      <c r="B147" s="16">
        <v>9500.0</v>
      </c>
      <c r="C147" s="16">
        <f t="shared" ref="C147:E147" si="57">C151/4</f>
        <v>6144.25</v>
      </c>
      <c r="D147" s="16">
        <f t="shared" si="57"/>
        <v>6000</v>
      </c>
      <c r="E147" s="16">
        <f t="shared" si="57"/>
        <v>6000</v>
      </c>
      <c r="F147" s="16">
        <v>7000.0</v>
      </c>
      <c r="G147" s="16">
        <f>G151/4</f>
        <v>5085</v>
      </c>
      <c r="H147" s="17">
        <v>0.0</v>
      </c>
      <c r="I147" s="18"/>
      <c r="J147" s="18"/>
      <c r="K147" s="18"/>
      <c r="L147" s="18"/>
      <c r="M147" s="18"/>
      <c r="N147" s="19">
        <f t="shared" si="56"/>
        <v>39729.25</v>
      </c>
    </row>
    <row r="148" hidden="1">
      <c r="A148" s="15"/>
      <c r="B148" s="16"/>
      <c r="C148" s="16"/>
      <c r="D148" s="16"/>
      <c r="E148" s="16"/>
      <c r="F148" s="16"/>
      <c r="G148" s="16"/>
      <c r="H148" s="17">
        <v>0.0</v>
      </c>
      <c r="I148" s="18"/>
      <c r="J148" s="18"/>
      <c r="K148" s="18"/>
      <c r="L148" s="18"/>
      <c r="M148" s="18"/>
      <c r="N148" s="19">
        <f t="shared" si="56"/>
        <v>0</v>
      </c>
    </row>
    <row r="149" hidden="1">
      <c r="A149" s="20" t="s">
        <v>15</v>
      </c>
      <c r="B149" s="21">
        <v>48800.0</v>
      </c>
      <c r="C149" s="21">
        <v>35000.0</v>
      </c>
      <c r="D149" s="21">
        <v>34000.0</v>
      </c>
      <c r="E149" s="21">
        <v>34000.0</v>
      </c>
      <c r="F149" s="21">
        <f>SUM(F144:F147)</f>
        <v>28000</v>
      </c>
      <c r="G149" s="21">
        <v>32000.0</v>
      </c>
      <c r="H149" s="21">
        <f>SUM(H144:H147)</f>
        <v>0</v>
      </c>
      <c r="I149" s="20" t="s">
        <v>15</v>
      </c>
      <c r="J149" s="20"/>
      <c r="K149" s="20"/>
      <c r="L149" s="20"/>
      <c r="M149" s="20"/>
      <c r="N149" s="21">
        <f>SUM(N144:N147)</f>
        <v>158917</v>
      </c>
    </row>
    <row r="150" hidden="1">
      <c r="A150" s="23" t="s">
        <v>16</v>
      </c>
      <c r="B150" s="24">
        <v>11660.0</v>
      </c>
      <c r="C150" s="24">
        <v>10423.0</v>
      </c>
      <c r="D150" s="24">
        <v>10000.0</v>
      </c>
      <c r="E150" s="24">
        <v>10000.0</v>
      </c>
      <c r="F150" s="24"/>
      <c r="G150" s="24">
        <v>11660.0</v>
      </c>
      <c r="H150" s="24"/>
      <c r="I150" s="21"/>
      <c r="J150" s="21"/>
      <c r="K150" s="21"/>
      <c r="L150" s="21"/>
      <c r="M150" s="21"/>
      <c r="N150" s="22"/>
    </row>
    <row r="151" hidden="1">
      <c r="A151" s="57" t="s">
        <v>17</v>
      </c>
      <c r="B151" s="58">
        <f t="shared" ref="B151:E151" si="58">B149-(B150)</f>
        <v>37140</v>
      </c>
      <c r="C151" s="58">
        <f t="shared" si="58"/>
        <v>24577</v>
      </c>
      <c r="D151" s="58">
        <f t="shared" si="58"/>
        <v>24000</v>
      </c>
      <c r="E151" s="58">
        <f t="shared" si="58"/>
        <v>24000</v>
      </c>
      <c r="F151" s="58"/>
      <c r="G151" s="58">
        <f>G149-(G150)</f>
        <v>20340</v>
      </c>
      <c r="H151" s="58">
        <f>H148-(H150)</f>
        <v>0</v>
      </c>
      <c r="I151" s="25"/>
      <c r="J151" s="25"/>
      <c r="K151" s="25"/>
      <c r="L151" s="25"/>
      <c r="M151" s="25"/>
      <c r="N151" s="26">
        <f t="shared" ref="N151:N154" si="59">SUM(B151:I151)</f>
        <v>130057</v>
      </c>
    </row>
    <row r="152" hidden="1">
      <c r="A152" s="27" t="s">
        <v>40</v>
      </c>
      <c r="B152" s="28">
        <v>3000.0</v>
      </c>
      <c r="C152" s="28"/>
      <c r="D152" s="28">
        <v>3000.0</v>
      </c>
      <c r="E152" s="28"/>
      <c r="F152" s="28"/>
      <c r="G152" s="28"/>
      <c r="H152" s="28"/>
      <c r="I152" s="28"/>
      <c r="J152" s="29"/>
      <c r="K152" s="29"/>
      <c r="L152" s="29"/>
      <c r="M152" s="29"/>
      <c r="N152" s="30">
        <f t="shared" si="59"/>
        <v>6000</v>
      </c>
    </row>
    <row r="153" hidden="1">
      <c r="A153" s="23" t="s">
        <v>57</v>
      </c>
      <c r="B153" s="24"/>
      <c r="C153" s="24"/>
      <c r="D153" s="24"/>
      <c r="E153" s="24"/>
      <c r="F153" s="24"/>
      <c r="G153" s="24"/>
      <c r="H153" s="24"/>
      <c r="I153" s="24"/>
      <c r="J153" s="25"/>
      <c r="K153" s="25"/>
      <c r="L153" s="25"/>
      <c r="M153" s="25"/>
      <c r="N153" s="26">
        <f t="shared" si="59"/>
        <v>0</v>
      </c>
    </row>
    <row r="154" hidden="1">
      <c r="A154" s="23"/>
      <c r="B154" s="24"/>
      <c r="C154" s="24"/>
      <c r="D154" s="24"/>
      <c r="E154" s="24"/>
      <c r="F154" s="24"/>
      <c r="G154" s="24"/>
      <c r="H154" s="24"/>
      <c r="I154" s="24"/>
      <c r="J154" s="25"/>
      <c r="K154" s="25"/>
      <c r="L154" s="25"/>
      <c r="M154" s="25"/>
      <c r="N154" s="26">
        <f t="shared" si="59"/>
        <v>0</v>
      </c>
    </row>
    <row r="155" hidden="1">
      <c r="A155" s="39" t="s">
        <v>22</v>
      </c>
      <c r="B155" s="40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</row>
    <row r="156" hidden="1">
      <c r="A156" s="59" t="s">
        <v>53</v>
      </c>
      <c r="B156" s="43"/>
      <c r="C156" s="44"/>
      <c r="D156" s="44"/>
      <c r="E156" s="45"/>
      <c r="F156" s="45">
        <v>360.0</v>
      </c>
      <c r="G156" s="45"/>
      <c r="H156" s="44"/>
      <c r="I156" s="44"/>
      <c r="J156" s="44"/>
      <c r="K156" s="44"/>
      <c r="L156" s="44"/>
      <c r="M156" s="44"/>
      <c r="N156" s="44"/>
    </row>
    <row r="157" hidden="1">
      <c r="A157" s="60" t="s">
        <v>54</v>
      </c>
      <c r="B157" s="46"/>
      <c r="C157" s="45"/>
      <c r="D157" s="45"/>
      <c r="E157" s="45"/>
      <c r="F157" s="45"/>
      <c r="G157" s="44"/>
      <c r="H157" s="44"/>
      <c r="I157" s="44"/>
      <c r="J157" s="44"/>
      <c r="K157" s="44"/>
      <c r="L157" s="44"/>
      <c r="M157" s="44"/>
      <c r="N157" s="44"/>
    </row>
    <row r="158" hidden="1">
      <c r="A158" s="60" t="s">
        <v>55</v>
      </c>
      <c r="B158" s="43"/>
      <c r="C158" s="45"/>
      <c r="D158" s="44"/>
      <c r="E158" s="45"/>
      <c r="F158" s="44"/>
      <c r="G158" s="44"/>
      <c r="H158" s="44"/>
      <c r="I158" s="44"/>
      <c r="J158" s="44"/>
      <c r="K158" s="44"/>
      <c r="L158" s="44"/>
      <c r="M158" s="44"/>
      <c r="N158" s="44"/>
    </row>
    <row r="159" hidden="1">
      <c r="A159" s="60" t="s">
        <v>56</v>
      </c>
      <c r="B159" s="46"/>
      <c r="C159" s="45"/>
      <c r="D159" s="44"/>
      <c r="E159" s="45"/>
      <c r="F159" s="44"/>
      <c r="G159" s="45"/>
      <c r="H159" s="44"/>
      <c r="I159" s="44"/>
      <c r="J159" s="44"/>
      <c r="K159" s="44"/>
      <c r="L159" s="44"/>
      <c r="M159" s="44"/>
      <c r="N159" s="44"/>
    </row>
    <row r="160" hidden="1">
      <c r="A160" s="47" t="s">
        <v>23</v>
      </c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7" t="s">
        <v>24</v>
      </c>
    </row>
    <row r="161" hidden="1">
      <c r="A161" s="61" t="s">
        <v>53</v>
      </c>
      <c r="B161" s="54">
        <f t="shared" ref="B161:D161" si="60">B151/3</f>
        <v>12380</v>
      </c>
      <c r="C161" s="52">
        <f t="shared" si="60"/>
        <v>8192.333333</v>
      </c>
      <c r="D161" s="62">
        <f t="shared" si="60"/>
        <v>8000</v>
      </c>
      <c r="E161" s="52">
        <f>E151/3-(2*1300)+500</f>
        <v>5900</v>
      </c>
      <c r="F161" s="62">
        <f>F144-F156</f>
        <v>6640</v>
      </c>
      <c r="G161" s="62">
        <f>G151/3</f>
        <v>6780</v>
      </c>
      <c r="H161" s="52"/>
      <c r="I161" s="52"/>
      <c r="J161" s="52"/>
      <c r="K161" s="52"/>
      <c r="L161" s="52"/>
      <c r="M161" s="52"/>
      <c r="N161" s="53">
        <f t="shared" ref="N161:N165" si="61">SUM(B161:I161)</f>
        <v>47892.33333</v>
      </c>
    </row>
    <row r="162" hidden="1">
      <c r="A162" s="63" t="s">
        <v>54</v>
      </c>
      <c r="B162" s="51"/>
      <c r="C162" s="52"/>
      <c r="D162" s="52"/>
      <c r="E162" s="52"/>
      <c r="F162" s="62">
        <v>7000.0</v>
      </c>
      <c r="G162" s="52"/>
      <c r="H162" s="62">
        <v>20200.0</v>
      </c>
      <c r="I162" s="62">
        <v>11000.0</v>
      </c>
      <c r="J162" s="62"/>
      <c r="K162" s="62"/>
      <c r="L162" s="62"/>
      <c r="M162" s="62"/>
      <c r="N162" s="53">
        <f t="shared" si="61"/>
        <v>38200</v>
      </c>
    </row>
    <row r="163" hidden="1">
      <c r="A163" s="63" t="s">
        <v>55</v>
      </c>
      <c r="B163" s="67">
        <f>B151/3</f>
        <v>12380</v>
      </c>
      <c r="C163" s="67"/>
      <c r="D163" s="67">
        <f>D151/3+3200</f>
        <v>11200</v>
      </c>
      <c r="E163" s="67"/>
      <c r="F163" s="69">
        <f>7000+600</f>
        <v>7600</v>
      </c>
      <c r="G163" s="67">
        <f>G151/3+1000</f>
        <v>7780</v>
      </c>
      <c r="H163" s="62">
        <v>16400.0</v>
      </c>
      <c r="I163" s="62">
        <v>11400.0</v>
      </c>
      <c r="J163" s="62"/>
      <c r="K163" s="62"/>
      <c r="L163" s="62"/>
      <c r="M163" s="62"/>
      <c r="N163" s="52">
        <f t="shared" si="61"/>
        <v>66760</v>
      </c>
    </row>
    <row r="164" hidden="1">
      <c r="A164" s="63" t="s">
        <v>56</v>
      </c>
      <c r="B164" s="69">
        <f>B151/3</f>
        <v>12380</v>
      </c>
      <c r="C164" s="62"/>
      <c r="D164" s="62">
        <f>D151/3+3200</f>
        <v>11200</v>
      </c>
      <c r="E164" s="62"/>
      <c r="F164" s="62">
        <f>7000+1000</f>
        <v>8000</v>
      </c>
      <c r="G164" s="62">
        <f>G151/3+1000</f>
        <v>7780</v>
      </c>
      <c r="H164" s="52"/>
      <c r="I164" s="62">
        <v>7000.0</v>
      </c>
      <c r="J164" s="62"/>
      <c r="K164" s="62"/>
      <c r="L164" s="62"/>
      <c r="M164" s="62"/>
      <c r="N164" s="52">
        <f t="shared" si="61"/>
        <v>46360</v>
      </c>
    </row>
    <row r="165" hidden="1">
      <c r="A165" s="65"/>
      <c r="B165" s="54"/>
      <c r="C165" s="52"/>
      <c r="D165" s="52"/>
      <c r="E165" s="52"/>
      <c r="F165" s="62"/>
      <c r="G165" s="52"/>
      <c r="H165" s="52"/>
      <c r="I165" s="52"/>
      <c r="J165" s="52"/>
      <c r="K165" s="52"/>
      <c r="L165" s="52"/>
      <c r="M165" s="52"/>
      <c r="N165" s="53">
        <f t="shared" si="61"/>
        <v>0</v>
      </c>
    </row>
    <row r="166" hidden="1"/>
    <row r="167" hidden="1"/>
    <row r="168" hidden="1">
      <c r="A168" s="1" t="s">
        <v>0</v>
      </c>
      <c r="B168" s="2" t="s">
        <v>1</v>
      </c>
      <c r="C168" s="3"/>
      <c r="D168" s="3" t="s">
        <v>3</v>
      </c>
      <c r="E168" s="3" t="s">
        <v>58</v>
      </c>
      <c r="F168" s="3" t="s">
        <v>34</v>
      </c>
      <c r="G168" s="3" t="s">
        <v>6</v>
      </c>
      <c r="H168" s="4" t="s">
        <v>50</v>
      </c>
      <c r="I168" s="4" t="s">
        <v>51</v>
      </c>
      <c r="J168" s="4"/>
      <c r="K168" s="4"/>
      <c r="L168" s="4"/>
      <c r="M168" s="4"/>
      <c r="N168" s="1" t="s">
        <v>0</v>
      </c>
    </row>
    <row r="169" hidden="1">
      <c r="A169" s="6" t="s">
        <v>59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8"/>
    </row>
    <row r="170" hidden="1">
      <c r="A170" s="55" t="s">
        <v>60</v>
      </c>
      <c r="B170" s="10">
        <v>9500.0</v>
      </c>
      <c r="C170" s="10"/>
      <c r="D170" s="10">
        <f>D177/4</f>
        <v>6000</v>
      </c>
      <c r="E170" s="10"/>
      <c r="F170" s="10">
        <v>7000.0</v>
      </c>
      <c r="G170" s="10">
        <f>G177/4</f>
        <v>5085</v>
      </c>
      <c r="H170" s="11"/>
      <c r="I170" s="12"/>
      <c r="J170" s="12"/>
      <c r="K170" s="12"/>
      <c r="L170" s="12"/>
      <c r="M170" s="12"/>
      <c r="N170" s="13">
        <f>SUM(B170:I170)</f>
        <v>27585</v>
      </c>
    </row>
    <row r="171" hidden="1">
      <c r="A171" s="15" t="s">
        <v>61</v>
      </c>
      <c r="B171" s="10">
        <v>9500.0</v>
      </c>
      <c r="C171" s="10"/>
      <c r="D171" s="10">
        <f>D177/4</f>
        <v>6000</v>
      </c>
      <c r="E171" s="10"/>
      <c r="F171" s="10">
        <v>7000.0</v>
      </c>
      <c r="G171" s="10">
        <f>G177/4</f>
        <v>5085</v>
      </c>
      <c r="H171" s="11">
        <v>0.0</v>
      </c>
      <c r="I171" s="12"/>
      <c r="J171" s="12"/>
      <c r="K171" s="12"/>
      <c r="L171" s="12"/>
      <c r="M171" s="12"/>
      <c r="N171" s="13">
        <f t="shared" ref="N171:N174" si="62">SUM(B171:H171)</f>
        <v>27585</v>
      </c>
    </row>
    <row r="172" hidden="1">
      <c r="A172" s="15"/>
      <c r="B172" s="10">
        <v>9500.0</v>
      </c>
      <c r="C172" s="10"/>
      <c r="D172" s="10">
        <f>D177/4</f>
        <v>6000</v>
      </c>
      <c r="E172" s="10"/>
      <c r="F172" s="10">
        <v>7000.0</v>
      </c>
      <c r="G172" s="10">
        <f>G177/4</f>
        <v>5085</v>
      </c>
      <c r="H172" s="11">
        <v>0.0</v>
      </c>
      <c r="I172" s="12"/>
      <c r="J172" s="12"/>
      <c r="K172" s="12"/>
      <c r="L172" s="12"/>
      <c r="M172" s="12"/>
      <c r="N172" s="13">
        <f t="shared" si="62"/>
        <v>27585</v>
      </c>
    </row>
    <row r="173" hidden="1">
      <c r="A173" s="15"/>
      <c r="B173" s="16">
        <v>9500.0</v>
      </c>
      <c r="C173" s="16"/>
      <c r="D173" s="16">
        <f>D177/4</f>
        <v>6000</v>
      </c>
      <c r="E173" s="16"/>
      <c r="F173" s="16">
        <v>7000.0</v>
      </c>
      <c r="G173" s="16">
        <f>G177/4</f>
        <v>5085</v>
      </c>
      <c r="H173" s="17">
        <v>0.0</v>
      </c>
      <c r="I173" s="18"/>
      <c r="J173" s="18"/>
      <c r="K173" s="18"/>
      <c r="L173" s="18"/>
      <c r="M173" s="18"/>
      <c r="N173" s="19">
        <f t="shared" si="62"/>
        <v>27585</v>
      </c>
    </row>
    <row r="174" hidden="1">
      <c r="A174" s="15"/>
      <c r="B174" s="16"/>
      <c r="C174" s="16"/>
      <c r="D174" s="16"/>
      <c r="E174" s="16"/>
      <c r="F174" s="16"/>
      <c r="G174" s="16"/>
      <c r="H174" s="17">
        <v>0.0</v>
      </c>
      <c r="I174" s="18"/>
      <c r="J174" s="18"/>
      <c r="K174" s="18"/>
      <c r="L174" s="18"/>
      <c r="M174" s="18"/>
      <c r="N174" s="19">
        <f t="shared" si="62"/>
        <v>0</v>
      </c>
    </row>
    <row r="175" hidden="1">
      <c r="A175" s="20" t="s">
        <v>15</v>
      </c>
      <c r="B175" s="21">
        <v>48800.0</v>
      </c>
      <c r="C175" s="21"/>
      <c r="D175" s="21">
        <v>34000.0</v>
      </c>
      <c r="E175" s="21">
        <v>32000.0</v>
      </c>
      <c r="F175" s="21">
        <f>SUM(F170:F173)</f>
        <v>28000</v>
      </c>
      <c r="G175" s="21">
        <v>32000.0</v>
      </c>
      <c r="H175" s="21">
        <f>SUM(H170:H173)</f>
        <v>0</v>
      </c>
      <c r="I175" s="20" t="s">
        <v>15</v>
      </c>
      <c r="J175" s="20"/>
      <c r="K175" s="20"/>
      <c r="L175" s="20"/>
      <c r="M175" s="20"/>
      <c r="N175" s="21">
        <f>SUM(N170:N173)</f>
        <v>110340</v>
      </c>
    </row>
    <row r="176" hidden="1">
      <c r="A176" s="23" t="s">
        <v>16</v>
      </c>
      <c r="B176" s="24">
        <v>11660.0</v>
      </c>
      <c r="C176" s="24"/>
      <c r="D176" s="24">
        <v>10000.0</v>
      </c>
      <c r="E176" s="24"/>
      <c r="F176" s="24"/>
      <c r="G176" s="24">
        <v>11660.0</v>
      </c>
      <c r="H176" s="24"/>
      <c r="I176" s="21"/>
      <c r="J176" s="21"/>
      <c r="K176" s="21"/>
      <c r="L176" s="21"/>
      <c r="M176" s="21"/>
      <c r="N176" s="22"/>
    </row>
    <row r="177" hidden="1">
      <c r="A177" s="57" t="s">
        <v>17</v>
      </c>
      <c r="B177" s="58">
        <f>B175-(B176)</f>
        <v>37140</v>
      </c>
      <c r="C177" s="58"/>
      <c r="D177" s="58">
        <f>D175-(D176)</f>
        <v>24000</v>
      </c>
      <c r="E177" s="58">
        <v>32000.0</v>
      </c>
      <c r="F177" s="58"/>
      <c r="G177" s="58">
        <f>G175-(G176)</f>
        <v>20340</v>
      </c>
      <c r="H177" s="58">
        <f>H174-(H176)</f>
        <v>0</v>
      </c>
      <c r="I177" s="25"/>
      <c r="J177" s="25"/>
      <c r="K177" s="25"/>
      <c r="L177" s="25"/>
      <c r="M177" s="25"/>
      <c r="N177" s="26">
        <f t="shared" ref="N177:N180" si="63">SUM(B177:I177)</f>
        <v>113480</v>
      </c>
    </row>
    <row r="178" hidden="1">
      <c r="A178" s="27" t="s">
        <v>40</v>
      </c>
      <c r="B178" s="28"/>
      <c r="C178" s="28"/>
      <c r="D178" s="28"/>
      <c r="E178" s="28"/>
      <c r="F178" s="28"/>
      <c r="G178" s="28"/>
      <c r="H178" s="28"/>
      <c r="I178" s="28"/>
      <c r="J178" s="29"/>
      <c r="K178" s="29"/>
      <c r="L178" s="29"/>
      <c r="M178" s="29"/>
      <c r="N178" s="30">
        <f t="shared" si="63"/>
        <v>0</v>
      </c>
    </row>
    <row r="179" hidden="1">
      <c r="A179" s="23" t="s">
        <v>62</v>
      </c>
      <c r="B179" s="24">
        <f>(B175/2)-14000</f>
        <v>10400</v>
      </c>
      <c r="C179" s="24"/>
      <c r="D179" s="24">
        <f>(D175/2)-12000</f>
        <v>5000</v>
      </c>
      <c r="E179" s="24"/>
      <c r="F179" s="24"/>
      <c r="G179" s="24">
        <f>(G175/2)-10000</f>
        <v>6000</v>
      </c>
      <c r="H179" s="24"/>
      <c r="I179" s="24"/>
      <c r="J179" s="25"/>
      <c r="K179" s="25"/>
      <c r="L179" s="25"/>
      <c r="M179" s="25"/>
      <c r="N179" s="26">
        <f t="shared" si="63"/>
        <v>21400</v>
      </c>
    </row>
    <row r="180" hidden="1">
      <c r="A180" s="23" t="s">
        <v>63</v>
      </c>
      <c r="B180" s="24"/>
      <c r="C180" s="24"/>
      <c r="D180" s="24">
        <v>1000.0</v>
      </c>
      <c r="E180" s="24"/>
      <c r="F180" s="24">
        <v>1000.0</v>
      </c>
      <c r="G180" s="24"/>
      <c r="H180" s="24"/>
      <c r="I180" s="24"/>
      <c r="J180" s="25"/>
      <c r="K180" s="25"/>
      <c r="L180" s="25"/>
      <c r="M180" s="25"/>
      <c r="N180" s="26">
        <f t="shared" si="63"/>
        <v>2000</v>
      </c>
    </row>
    <row r="181" hidden="1">
      <c r="A181" s="39" t="s">
        <v>22</v>
      </c>
      <c r="B181" s="40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</row>
    <row r="182" hidden="1">
      <c r="A182" s="59" t="s">
        <v>60</v>
      </c>
      <c r="B182" s="43"/>
      <c r="C182" s="44"/>
      <c r="D182" s="44"/>
      <c r="E182" s="45"/>
      <c r="F182" s="45"/>
      <c r="G182" s="45"/>
      <c r="H182" s="44"/>
      <c r="I182" s="44"/>
      <c r="J182" s="44"/>
      <c r="K182" s="44"/>
      <c r="L182" s="44"/>
      <c r="M182" s="44"/>
      <c r="N182" s="44"/>
    </row>
    <row r="183" hidden="1">
      <c r="A183" s="60" t="s">
        <v>61</v>
      </c>
      <c r="B183" s="46"/>
      <c r="C183" s="45"/>
      <c r="D183" s="45"/>
      <c r="E183" s="45"/>
      <c r="F183" s="45"/>
      <c r="G183" s="44"/>
      <c r="H183" s="44"/>
      <c r="I183" s="44"/>
      <c r="J183" s="44"/>
      <c r="K183" s="44"/>
      <c r="L183" s="44"/>
      <c r="M183" s="44"/>
      <c r="N183" s="44"/>
    </row>
    <row r="184" hidden="1">
      <c r="A184" s="60" t="s">
        <v>64</v>
      </c>
      <c r="B184" s="43"/>
      <c r="C184" s="45"/>
      <c r="D184" s="45">
        <v>500.0</v>
      </c>
      <c r="E184" s="45"/>
      <c r="F184" s="44"/>
      <c r="G184" s="44"/>
      <c r="H184" s="44"/>
      <c r="I184" s="44"/>
      <c r="J184" s="44"/>
      <c r="K184" s="44"/>
      <c r="L184" s="44"/>
      <c r="M184" s="44"/>
      <c r="N184" s="44"/>
    </row>
    <row r="185" hidden="1">
      <c r="A185" s="60"/>
      <c r="B185" s="46"/>
      <c r="C185" s="45"/>
      <c r="D185" s="44"/>
      <c r="E185" s="45"/>
      <c r="F185" s="44"/>
      <c r="G185" s="45"/>
      <c r="H185" s="44"/>
      <c r="I185" s="44"/>
      <c r="J185" s="44"/>
      <c r="K185" s="44"/>
      <c r="L185" s="44"/>
      <c r="M185" s="44"/>
      <c r="N185" s="44"/>
    </row>
    <row r="186" hidden="1">
      <c r="A186" s="47" t="s">
        <v>23</v>
      </c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7" t="s">
        <v>24</v>
      </c>
    </row>
    <row r="187" hidden="1">
      <c r="A187" s="61" t="s">
        <v>60</v>
      </c>
      <c r="B187" s="54">
        <f>B177/3</f>
        <v>12380</v>
      </c>
      <c r="C187" s="52"/>
      <c r="D187" s="62">
        <f>D177/3+4000</f>
        <v>12000</v>
      </c>
      <c r="E187" s="52"/>
      <c r="F187" s="62">
        <f>F170-F182</f>
        <v>7000</v>
      </c>
      <c r="G187" s="62">
        <f>G177/3+1000+220</f>
        <v>8000</v>
      </c>
      <c r="H187" s="52"/>
      <c r="I187" s="62">
        <v>10000.0</v>
      </c>
      <c r="J187" s="62"/>
      <c r="K187" s="62"/>
      <c r="L187" s="62"/>
      <c r="M187" s="62"/>
      <c r="N187" s="53">
        <f t="shared" ref="N187:N192" si="64">SUM(B187:I187)</f>
        <v>49380</v>
      </c>
    </row>
    <row r="188" hidden="1">
      <c r="A188" s="63" t="s">
        <v>61</v>
      </c>
      <c r="B188" s="54">
        <v>17000.0</v>
      </c>
      <c r="C188" s="52"/>
      <c r="D188" s="62">
        <f>(12000+1500)</f>
        <v>13500</v>
      </c>
      <c r="E188" s="52"/>
      <c r="F188" s="62">
        <f>7000+1000</f>
        <v>8000</v>
      </c>
      <c r="G188" s="52">
        <f>(10000+1000+500)</f>
        <v>11500</v>
      </c>
      <c r="H188" s="62"/>
      <c r="I188" s="62">
        <v>8250.0</v>
      </c>
      <c r="J188" s="62"/>
      <c r="K188" s="62"/>
      <c r="L188" s="62"/>
      <c r="M188" s="62"/>
      <c r="N188" s="53">
        <f t="shared" si="64"/>
        <v>58250</v>
      </c>
    </row>
    <row r="189" hidden="1">
      <c r="A189" s="63" t="s">
        <v>65</v>
      </c>
      <c r="B189" s="70">
        <f>B177/3</f>
        <v>12380</v>
      </c>
      <c r="C189" s="67"/>
      <c r="D189" s="69">
        <v>12000.0</v>
      </c>
      <c r="E189" s="67"/>
      <c r="F189" s="69">
        <v>7000.0</v>
      </c>
      <c r="G189" s="67">
        <f>G177/3+1220</f>
        <v>8000</v>
      </c>
      <c r="H189" s="62"/>
      <c r="I189" s="62">
        <v>8550.0</v>
      </c>
      <c r="J189" s="62"/>
      <c r="K189" s="62"/>
      <c r="L189" s="62"/>
      <c r="M189" s="62"/>
      <c r="N189" s="52">
        <f t="shared" si="64"/>
        <v>47930</v>
      </c>
    </row>
    <row r="190" hidden="1">
      <c r="A190" s="63" t="s">
        <v>66</v>
      </c>
      <c r="B190" s="71">
        <f>SUM(B189+B179)</f>
        <v>22780</v>
      </c>
      <c r="C190" s="62"/>
      <c r="D190" s="62">
        <f>(D177/3)+1000+5000</f>
        <v>14000</v>
      </c>
      <c r="E190" s="62"/>
      <c r="F190" s="62">
        <v>7000.0</v>
      </c>
      <c r="G190" s="62">
        <f>8000+6000</f>
        <v>14000</v>
      </c>
      <c r="H190" s="52"/>
      <c r="I190" s="62"/>
      <c r="J190" s="62"/>
      <c r="K190" s="62"/>
      <c r="L190" s="62"/>
      <c r="M190" s="62"/>
      <c r="N190" s="52">
        <f t="shared" si="64"/>
        <v>57780</v>
      </c>
    </row>
    <row r="191" hidden="1">
      <c r="A191" s="63" t="s">
        <v>67</v>
      </c>
      <c r="B191" s="54">
        <v>14000.0</v>
      </c>
      <c r="C191" s="52"/>
      <c r="D191" s="62">
        <f t="shared" ref="D191:D192" si="65">8000+2000</f>
        <v>10000</v>
      </c>
      <c r="E191" s="62">
        <v>8000.0</v>
      </c>
      <c r="F191" s="62">
        <v>7000.0</v>
      </c>
      <c r="G191" s="62">
        <f t="shared" ref="G191:G192" si="66">8000+1000</f>
        <v>9000</v>
      </c>
      <c r="H191" s="52"/>
      <c r="I191" s="62">
        <v>8550.0</v>
      </c>
      <c r="J191" s="62"/>
      <c r="K191" s="62"/>
      <c r="L191" s="62"/>
      <c r="M191" s="62"/>
      <c r="N191" s="53">
        <f t="shared" si="64"/>
        <v>56550</v>
      </c>
    </row>
    <row r="192" hidden="1">
      <c r="A192" s="63" t="s">
        <v>68</v>
      </c>
      <c r="B192" s="54">
        <v>14000.0</v>
      </c>
      <c r="C192" s="52"/>
      <c r="D192" s="62">
        <f t="shared" si="65"/>
        <v>10000</v>
      </c>
      <c r="E192" s="62">
        <f>8000+2000</f>
        <v>10000</v>
      </c>
      <c r="F192" s="62">
        <v>7000.0</v>
      </c>
      <c r="G192" s="62">
        <f t="shared" si="66"/>
        <v>9000</v>
      </c>
      <c r="H192" s="52"/>
      <c r="I192" s="62">
        <v>8550.0</v>
      </c>
      <c r="J192" s="62"/>
      <c r="K192" s="62"/>
      <c r="L192" s="62"/>
      <c r="M192" s="62"/>
      <c r="N192" s="53">
        <f t="shared" si="64"/>
        <v>58550</v>
      </c>
    </row>
    <row r="193" hidden="1">
      <c r="B193" s="72" t="s">
        <v>69</v>
      </c>
      <c r="D193" s="72" t="s">
        <v>70</v>
      </c>
      <c r="E193" s="72" t="s">
        <v>71</v>
      </c>
      <c r="G193" s="72" t="s">
        <v>72</v>
      </c>
      <c r="H193" s="73">
        <v>44318.0</v>
      </c>
    </row>
    <row r="194" hidden="1">
      <c r="B194" s="72" t="s">
        <v>73</v>
      </c>
      <c r="D194" s="72" t="s">
        <v>74</v>
      </c>
      <c r="G194" s="72" t="s">
        <v>75</v>
      </c>
      <c r="H194" s="72">
        <v>1.0</v>
      </c>
    </row>
    <row r="195" hidden="1">
      <c r="B195" s="72" t="s">
        <v>76</v>
      </c>
      <c r="D195" s="72" t="s">
        <v>77</v>
      </c>
      <c r="H195" s="72">
        <v>1.0</v>
      </c>
    </row>
    <row r="196" hidden="1">
      <c r="H196" s="72">
        <v>3.0</v>
      </c>
    </row>
    <row r="197" hidden="1"/>
    <row r="198" hidden="1">
      <c r="A198" s="1" t="s">
        <v>0</v>
      </c>
      <c r="B198" s="2" t="s">
        <v>1</v>
      </c>
      <c r="C198" s="3"/>
      <c r="D198" s="3" t="s">
        <v>3</v>
      </c>
      <c r="E198" s="3" t="s">
        <v>58</v>
      </c>
      <c r="F198" s="3" t="s">
        <v>34</v>
      </c>
      <c r="G198" s="3" t="s">
        <v>6</v>
      </c>
      <c r="H198" s="4" t="s">
        <v>78</v>
      </c>
      <c r="I198" s="4" t="s">
        <v>79</v>
      </c>
      <c r="J198" s="4"/>
      <c r="K198" s="4"/>
      <c r="L198" s="4"/>
      <c r="M198" s="4"/>
      <c r="N198" s="1" t="s">
        <v>0</v>
      </c>
    </row>
    <row r="199" hidden="1">
      <c r="A199" s="6" t="s">
        <v>80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8"/>
    </row>
    <row r="200" hidden="1">
      <c r="A200" s="55" t="s">
        <v>81</v>
      </c>
      <c r="B200" s="10">
        <f>B205/4</f>
        <v>12200</v>
      </c>
      <c r="C200" s="10"/>
      <c r="D200" s="10">
        <f>D205/4</f>
        <v>10000</v>
      </c>
      <c r="E200" s="10">
        <v>8000.0</v>
      </c>
      <c r="F200" s="10">
        <v>7000.0</v>
      </c>
      <c r="G200" s="10">
        <f t="shared" ref="G200:H200" si="67">G205/4</f>
        <v>10000</v>
      </c>
      <c r="H200" s="10">
        <f t="shared" si="67"/>
        <v>12000</v>
      </c>
      <c r="I200" s="12"/>
      <c r="J200" s="12"/>
      <c r="K200" s="12"/>
      <c r="L200" s="12"/>
      <c r="M200" s="12"/>
      <c r="N200" s="13">
        <f>SUM(B200:I200)</f>
        <v>59200</v>
      </c>
    </row>
    <row r="201" hidden="1">
      <c r="A201" s="15" t="s">
        <v>82</v>
      </c>
      <c r="B201" s="10">
        <f>B205/4</f>
        <v>12200</v>
      </c>
      <c r="C201" s="10"/>
      <c r="D201" s="10">
        <f>D205/4</f>
        <v>10000</v>
      </c>
      <c r="E201" s="10">
        <v>8000.0</v>
      </c>
      <c r="F201" s="10">
        <v>7000.0</v>
      </c>
      <c r="G201" s="10">
        <f t="shared" ref="G201:H201" si="68">G205/4</f>
        <v>10000</v>
      </c>
      <c r="H201" s="10">
        <f t="shared" si="68"/>
        <v>12000</v>
      </c>
      <c r="I201" s="12"/>
      <c r="J201" s="12"/>
      <c r="K201" s="12"/>
      <c r="L201" s="12"/>
      <c r="M201" s="12"/>
      <c r="N201" s="13">
        <f t="shared" ref="N201:N204" si="70">SUM(B201:H201)</f>
        <v>59200</v>
      </c>
    </row>
    <row r="202" hidden="1">
      <c r="A202" s="15" t="s">
        <v>83</v>
      </c>
      <c r="B202" s="10">
        <f>B205/4</f>
        <v>12200</v>
      </c>
      <c r="C202" s="10"/>
      <c r="D202" s="10">
        <f>D205/4</f>
        <v>10000</v>
      </c>
      <c r="E202" s="10">
        <v>8000.0</v>
      </c>
      <c r="F202" s="10">
        <v>7000.0</v>
      </c>
      <c r="G202" s="10">
        <f t="shared" ref="G202:H202" si="69">G205/4</f>
        <v>10000</v>
      </c>
      <c r="H202" s="10">
        <f t="shared" si="69"/>
        <v>12000</v>
      </c>
      <c r="I202" s="12"/>
      <c r="J202" s="12"/>
      <c r="K202" s="12"/>
      <c r="L202" s="12"/>
      <c r="M202" s="12"/>
      <c r="N202" s="13">
        <f t="shared" si="70"/>
        <v>59200</v>
      </c>
    </row>
    <row r="203" hidden="1">
      <c r="A203" s="15" t="s">
        <v>84</v>
      </c>
      <c r="B203" s="16">
        <f>B205/4</f>
        <v>12200</v>
      </c>
      <c r="C203" s="16"/>
      <c r="D203" s="16">
        <f>D205/4</f>
        <v>10000</v>
      </c>
      <c r="E203" s="16">
        <v>8000.0</v>
      </c>
      <c r="F203" s="16">
        <v>7000.0</v>
      </c>
      <c r="G203" s="16">
        <f t="shared" ref="G203:H203" si="71">G205/4</f>
        <v>10000</v>
      </c>
      <c r="H203" s="16">
        <f t="shared" si="71"/>
        <v>12000</v>
      </c>
      <c r="I203" s="18"/>
      <c r="J203" s="18"/>
      <c r="K203" s="18"/>
      <c r="L203" s="18"/>
      <c r="M203" s="18"/>
      <c r="N203" s="19">
        <f t="shared" si="70"/>
        <v>59200</v>
      </c>
    </row>
    <row r="204" hidden="1">
      <c r="A204" s="15"/>
      <c r="B204" s="16"/>
      <c r="C204" s="16"/>
      <c r="D204" s="16"/>
      <c r="E204" s="16"/>
      <c r="F204" s="16"/>
      <c r="G204" s="16"/>
      <c r="H204" s="16"/>
      <c r="I204" s="18"/>
      <c r="J204" s="18"/>
      <c r="K204" s="18"/>
      <c r="L204" s="18"/>
      <c r="M204" s="18"/>
      <c r="N204" s="19">
        <f t="shared" si="70"/>
        <v>0</v>
      </c>
    </row>
    <row r="205" hidden="1">
      <c r="A205" s="20" t="s">
        <v>15</v>
      </c>
      <c r="B205" s="21">
        <v>48800.0</v>
      </c>
      <c r="C205" s="21"/>
      <c r="D205" s="21">
        <v>40000.0</v>
      </c>
      <c r="E205" s="21">
        <v>32000.0</v>
      </c>
      <c r="F205" s="21">
        <f>SUM(F200:F203)</f>
        <v>28000</v>
      </c>
      <c r="G205" s="21">
        <v>40000.0</v>
      </c>
      <c r="H205" s="21">
        <v>48000.0</v>
      </c>
      <c r="I205" s="20"/>
      <c r="J205" s="20"/>
      <c r="K205" s="20"/>
      <c r="L205" s="20"/>
      <c r="M205" s="20"/>
      <c r="N205" s="21">
        <f>SUM(N200:N203)</f>
        <v>236800</v>
      </c>
    </row>
    <row r="206" hidden="1">
      <c r="A206" s="23" t="s">
        <v>16</v>
      </c>
      <c r="B206" s="24">
        <v>11563.0</v>
      </c>
      <c r="C206" s="24"/>
      <c r="D206" s="24">
        <v>9931.0</v>
      </c>
      <c r="E206" s="24" t="s">
        <v>85</v>
      </c>
      <c r="F206" s="24" t="s">
        <v>85</v>
      </c>
      <c r="G206" s="24">
        <v>11563.0</v>
      </c>
      <c r="H206" s="24"/>
      <c r="I206" s="74"/>
      <c r="J206" s="74"/>
      <c r="K206" s="74"/>
      <c r="L206" s="74"/>
      <c r="M206" s="74"/>
      <c r="N206" s="75"/>
    </row>
    <row r="207" hidden="1">
      <c r="A207" s="57" t="s">
        <v>17</v>
      </c>
      <c r="B207" s="58">
        <f>B205-(B206)</f>
        <v>37237</v>
      </c>
      <c r="C207" s="58"/>
      <c r="D207" s="58">
        <f>D205-(D206)</f>
        <v>30069</v>
      </c>
      <c r="E207" s="58">
        <v>32000.0</v>
      </c>
      <c r="F207" s="58">
        <f>F205</f>
        <v>28000</v>
      </c>
      <c r="G207" s="58">
        <f>G205-(G206)</f>
        <v>28437</v>
      </c>
      <c r="H207" s="58">
        <f>H204-(H206)</f>
        <v>0</v>
      </c>
      <c r="I207" s="25"/>
      <c r="J207" s="25"/>
      <c r="K207" s="25"/>
      <c r="L207" s="25"/>
      <c r="M207" s="25"/>
      <c r="N207" s="26">
        <f t="shared" ref="N207:N209" si="72">SUM(B207:I207)</f>
        <v>155743</v>
      </c>
    </row>
    <row r="208" hidden="1">
      <c r="A208" s="27" t="s">
        <v>40</v>
      </c>
      <c r="B208" s="28" t="s">
        <v>86</v>
      </c>
      <c r="C208" s="28"/>
      <c r="D208" s="28"/>
      <c r="E208" s="28" t="s">
        <v>87</v>
      </c>
      <c r="F208" s="28"/>
      <c r="G208" s="28"/>
      <c r="H208" s="28"/>
      <c r="I208" s="28"/>
      <c r="J208" s="29"/>
      <c r="K208" s="29"/>
      <c r="L208" s="29"/>
      <c r="M208" s="29"/>
      <c r="N208" s="30">
        <f t="shared" si="72"/>
        <v>0</v>
      </c>
    </row>
    <row r="209" hidden="1">
      <c r="A209" s="23" t="s">
        <v>88</v>
      </c>
      <c r="B209" s="24"/>
      <c r="C209" s="24"/>
      <c r="D209" s="24"/>
      <c r="E209" s="24"/>
      <c r="F209" s="24">
        <v>1000.0</v>
      </c>
      <c r="G209" s="24">
        <v>1000.0</v>
      </c>
      <c r="H209" s="24">
        <v>1000.0</v>
      </c>
      <c r="I209" s="24"/>
      <c r="J209" s="25"/>
      <c r="K209" s="25"/>
      <c r="L209" s="25"/>
      <c r="M209" s="25"/>
      <c r="N209" s="26">
        <f t="shared" si="72"/>
        <v>3000</v>
      </c>
    </row>
    <row r="210" hidden="1">
      <c r="A210" s="39" t="s">
        <v>22</v>
      </c>
      <c r="B210" s="40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</row>
    <row r="211" hidden="1">
      <c r="A211" s="59" t="s">
        <v>81</v>
      </c>
      <c r="B211" s="43"/>
      <c r="C211" s="44"/>
      <c r="D211" s="44"/>
      <c r="E211" s="45"/>
      <c r="F211" s="45"/>
      <c r="G211" s="45"/>
      <c r="H211" s="44"/>
      <c r="I211" s="44"/>
      <c r="J211" s="44"/>
      <c r="K211" s="44"/>
      <c r="L211" s="44"/>
      <c r="M211" s="44"/>
      <c r="N211" s="44"/>
    </row>
    <row r="212" hidden="1">
      <c r="A212" s="60" t="s">
        <v>82</v>
      </c>
      <c r="B212" s="46"/>
      <c r="C212" s="45"/>
      <c r="D212" s="45"/>
      <c r="E212" s="45"/>
      <c r="F212" s="45"/>
      <c r="G212" s="44"/>
      <c r="H212" s="44"/>
      <c r="I212" s="44"/>
      <c r="J212" s="44"/>
      <c r="K212" s="44"/>
      <c r="L212" s="44"/>
      <c r="M212" s="44"/>
      <c r="N212" s="44"/>
    </row>
    <row r="213" hidden="1">
      <c r="A213" s="60" t="s">
        <v>83</v>
      </c>
      <c r="B213" s="43"/>
      <c r="C213" s="45"/>
      <c r="D213" s="45"/>
      <c r="E213" s="45"/>
      <c r="F213" s="44"/>
      <c r="G213" s="44"/>
      <c r="H213" s="44"/>
      <c r="I213" s="44"/>
      <c r="J213" s="44"/>
      <c r="K213" s="44"/>
      <c r="L213" s="44"/>
      <c r="M213" s="44"/>
      <c r="N213" s="44"/>
    </row>
    <row r="214" hidden="1">
      <c r="A214" s="60" t="s">
        <v>84</v>
      </c>
      <c r="B214" s="46"/>
      <c r="C214" s="45"/>
      <c r="D214" s="44"/>
      <c r="E214" s="45"/>
      <c r="F214" s="44"/>
      <c r="G214" s="45"/>
      <c r="H214" s="44"/>
      <c r="I214" s="44"/>
      <c r="J214" s="44"/>
      <c r="K214" s="44"/>
      <c r="L214" s="44"/>
      <c r="M214" s="44"/>
      <c r="N214" s="44"/>
    </row>
    <row r="215" hidden="1">
      <c r="A215" s="47" t="s">
        <v>23</v>
      </c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7" t="s">
        <v>24</v>
      </c>
    </row>
    <row r="216" hidden="1">
      <c r="A216" s="61" t="s">
        <v>81</v>
      </c>
      <c r="B216" s="54">
        <f>B207/3</f>
        <v>12412.33333</v>
      </c>
      <c r="C216" s="52"/>
      <c r="D216" s="62">
        <f>D207/3</f>
        <v>10023</v>
      </c>
      <c r="E216" s="52">
        <f t="shared" ref="E216:F216" si="73">E207/4</f>
        <v>8000</v>
      </c>
      <c r="F216" s="62">
        <f t="shared" si="73"/>
        <v>7000</v>
      </c>
      <c r="G216" s="62">
        <f>G207/3</f>
        <v>9479</v>
      </c>
      <c r="H216" s="52">
        <f>H205/4</f>
        <v>12000</v>
      </c>
      <c r="I216" s="62"/>
      <c r="J216" s="62"/>
      <c r="K216" s="62"/>
      <c r="L216" s="62"/>
      <c r="M216" s="62"/>
      <c r="N216" s="53">
        <f t="shared" ref="N216:N221" si="74">SUM(B216:I216)</f>
        <v>58914.33333</v>
      </c>
    </row>
    <row r="217" hidden="1">
      <c r="A217" s="63" t="s">
        <v>82</v>
      </c>
      <c r="B217" s="54" t="s">
        <v>89</v>
      </c>
      <c r="C217" s="52"/>
      <c r="D217" s="62" t="s">
        <v>89</v>
      </c>
      <c r="E217" s="52">
        <f>(E207/4)-E212+1000</f>
        <v>9000</v>
      </c>
      <c r="F217" s="62">
        <f>(F207/4)-F212</f>
        <v>7000</v>
      </c>
      <c r="G217" s="62" t="s">
        <v>89</v>
      </c>
      <c r="H217" s="62">
        <f>H205/4</f>
        <v>12000</v>
      </c>
      <c r="I217" s="62"/>
      <c r="J217" s="62"/>
      <c r="K217" s="62"/>
      <c r="L217" s="62"/>
      <c r="M217" s="62"/>
      <c r="N217" s="53">
        <f t="shared" si="74"/>
        <v>28000</v>
      </c>
    </row>
    <row r="218" hidden="1">
      <c r="A218" s="63" t="s">
        <v>83</v>
      </c>
      <c r="B218" s="54">
        <f>(B207/3)+1000</f>
        <v>13412.33333</v>
      </c>
      <c r="C218" s="67"/>
      <c r="D218" s="69">
        <f>D207/3</f>
        <v>10023</v>
      </c>
      <c r="E218" s="67">
        <f t="shared" ref="E218:F218" si="75">(E207/4)-E213</f>
        <v>8000</v>
      </c>
      <c r="F218" s="69">
        <f t="shared" si="75"/>
        <v>7000</v>
      </c>
      <c r="G218" s="67">
        <f>G207/3</f>
        <v>9479</v>
      </c>
      <c r="H218" s="62">
        <f>H205/4</f>
        <v>12000</v>
      </c>
      <c r="I218" s="62"/>
      <c r="J218" s="62"/>
      <c r="K218" s="62"/>
      <c r="L218" s="62"/>
      <c r="M218" s="62"/>
      <c r="N218" s="53">
        <f t="shared" si="74"/>
        <v>59914.33333</v>
      </c>
    </row>
    <row r="219" hidden="1">
      <c r="A219" s="63" t="s">
        <v>84</v>
      </c>
      <c r="B219" s="54">
        <v>13500.0</v>
      </c>
      <c r="C219" s="62"/>
      <c r="D219" s="62">
        <f>D207/3</f>
        <v>10023</v>
      </c>
      <c r="E219" s="62">
        <f t="shared" ref="E219:F219" si="76">(E207/4)-E214</f>
        <v>8000</v>
      </c>
      <c r="F219" s="62">
        <f t="shared" si="76"/>
        <v>7000</v>
      </c>
      <c r="G219" s="62">
        <f>G207/3</f>
        <v>9479</v>
      </c>
      <c r="H219" s="52">
        <f>H205/4</f>
        <v>12000</v>
      </c>
      <c r="I219" s="62"/>
      <c r="J219" s="62"/>
      <c r="K219" s="62"/>
      <c r="L219" s="62"/>
      <c r="M219" s="62"/>
      <c r="N219" s="53">
        <f t="shared" si="74"/>
        <v>60002</v>
      </c>
    </row>
    <row r="220" hidden="1">
      <c r="A220" s="63"/>
      <c r="B220" s="54"/>
      <c r="C220" s="52"/>
      <c r="D220" s="62"/>
      <c r="E220" s="62"/>
      <c r="F220" s="62"/>
      <c r="G220" s="62"/>
      <c r="H220" s="52"/>
      <c r="I220" s="62"/>
      <c r="J220" s="62"/>
      <c r="K220" s="62"/>
      <c r="L220" s="62"/>
      <c r="M220" s="62"/>
      <c r="N220" s="53">
        <f t="shared" si="74"/>
        <v>0</v>
      </c>
    </row>
    <row r="221" hidden="1">
      <c r="A221" s="63"/>
      <c r="B221" s="54"/>
      <c r="C221" s="52"/>
      <c r="D221" s="62"/>
      <c r="E221" s="62"/>
      <c r="F221" s="62"/>
      <c r="G221" s="62"/>
      <c r="H221" s="52"/>
      <c r="I221" s="62"/>
      <c r="J221" s="62"/>
      <c r="K221" s="62"/>
      <c r="L221" s="62"/>
      <c r="M221" s="62"/>
      <c r="N221" s="53">
        <f t="shared" si="74"/>
        <v>0</v>
      </c>
    </row>
    <row r="222" hidden="1"/>
    <row r="223" hidden="1">
      <c r="A223" s="1" t="s">
        <v>0</v>
      </c>
      <c r="B223" s="2" t="s">
        <v>1</v>
      </c>
      <c r="C223" s="3" t="s">
        <v>90</v>
      </c>
      <c r="D223" s="3" t="s">
        <v>3</v>
      </c>
      <c r="E223" s="3" t="s">
        <v>58</v>
      </c>
      <c r="F223" s="3" t="s">
        <v>91</v>
      </c>
      <c r="G223" s="3" t="s">
        <v>6</v>
      </c>
      <c r="H223" s="4" t="s">
        <v>92</v>
      </c>
      <c r="I223" s="4" t="s">
        <v>93</v>
      </c>
      <c r="J223" s="4"/>
      <c r="K223" s="4"/>
      <c r="L223" s="4"/>
      <c r="M223" s="4"/>
      <c r="N223" s="1" t="s">
        <v>0</v>
      </c>
    </row>
    <row r="224" hidden="1">
      <c r="A224" s="6" t="s">
        <v>94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8"/>
    </row>
    <row r="225" hidden="1">
      <c r="A225" s="55" t="s">
        <v>95</v>
      </c>
      <c r="B225" s="10">
        <f>B230/4</f>
        <v>12200</v>
      </c>
      <c r="C225" s="10"/>
      <c r="D225" s="10">
        <f>D230/4</f>
        <v>10000</v>
      </c>
      <c r="E225" s="10">
        <v>8000.0</v>
      </c>
      <c r="F225" s="10"/>
      <c r="G225" s="10">
        <f t="shared" ref="G225:H225" si="77">G230/4</f>
        <v>10000</v>
      </c>
      <c r="H225" s="10">
        <f t="shared" si="77"/>
        <v>12000</v>
      </c>
      <c r="I225" s="12"/>
      <c r="J225" s="12"/>
      <c r="K225" s="12"/>
      <c r="L225" s="12"/>
      <c r="M225" s="12"/>
      <c r="N225" s="13">
        <f>SUM(B225:I225)</f>
        <v>52200</v>
      </c>
    </row>
    <row r="226" hidden="1">
      <c r="A226" s="15" t="s">
        <v>96</v>
      </c>
      <c r="B226" s="10">
        <f>B230/4</f>
        <v>12200</v>
      </c>
      <c r="C226" s="10"/>
      <c r="D226" s="10">
        <f>D230/4</f>
        <v>10000</v>
      </c>
      <c r="E226" s="10">
        <v>8000.0</v>
      </c>
      <c r="F226" s="10"/>
      <c r="G226" s="10">
        <f t="shared" ref="G226:H226" si="78">G230/4</f>
        <v>10000</v>
      </c>
      <c r="H226" s="10">
        <f t="shared" si="78"/>
        <v>12000</v>
      </c>
      <c r="I226" s="12"/>
      <c r="J226" s="12"/>
      <c r="K226" s="12"/>
      <c r="L226" s="12"/>
      <c r="M226" s="12"/>
      <c r="N226" s="13">
        <f t="shared" ref="N226:N229" si="80">SUM(B226:H226)</f>
        <v>52200</v>
      </c>
    </row>
    <row r="227" hidden="1">
      <c r="A227" s="15" t="s">
        <v>97</v>
      </c>
      <c r="B227" s="10">
        <f>B230/4</f>
        <v>12200</v>
      </c>
      <c r="C227" s="10"/>
      <c r="D227" s="10">
        <f>D230/4</f>
        <v>10000</v>
      </c>
      <c r="E227" s="10">
        <v>8000.0</v>
      </c>
      <c r="F227" s="10"/>
      <c r="G227" s="10">
        <f t="shared" ref="G227:H227" si="79">G230/4</f>
        <v>10000</v>
      </c>
      <c r="H227" s="10">
        <f t="shared" si="79"/>
        <v>12000</v>
      </c>
      <c r="I227" s="12"/>
      <c r="J227" s="12"/>
      <c r="K227" s="12"/>
      <c r="L227" s="12"/>
      <c r="M227" s="12"/>
      <c r="N227" s="13">
        <f t="shared" si="80"/>
        <v>52200</v>
      </c>
    </row>
    <row r="228" hidden="1">
      <c r="A228" s="15" t="s">
        <v>98</v>
      </c>
      <c r="B228" s="16">
        <f>B230/4</f>
        <v>12200</v>
      </c>
      <c r="C228" s="16"/>
      <c r="D228" s="16">
        <f>D230/4</f>
        <v>10000</v>
      </c>
      <c r="E228" s="16">
        <v>8000.0</v>
      </c>
      <c r="F228" s="16"/>
      <c r="G228" s="16">
        <f t="shared" ref="G228:H228" si="81">G230/4</f>
        <v>10000</v>
      </c>
      <c r="H228" s="16">
        <f t="shared" si="81"/>
        <v>12000</v>
      </c>
      <c r="I228" s="18"/>
      <c r="J228" s="18"/>
      <c r="K228" s="18"/>
      <c r="L228" s="18"/>
      <c r="M228" s="18"/>
      <c r="N228" s="19">
        <f t="shared" si="80"/>
        <v>52200</v>
      </c>
    </row>
    <row r="229" hidden="1">
      <c r="A229" s="15"/>
      <c r="B229" s="16"/>
      <c r="C229" s="16"/>
      <c r="D229" s="16"/>
      <c r="E229" s="16"/>
      <c r="F229" s="16"/>
      <c r="G229" s="16"/>
      <c r="H229" s="16"/>
      <c r="I229" s="18"/>
      <c r="J229" s="18"/>
      <c r="K229" s="18"/>
      <c r="L229" s="18"/>
      <c r="M229" s="18"/>
      <c r="N229" s="19">
        <f t="shared" si="80"/>
        <v>0</v>
      </c>
    </row>
    <row r="230" hidden="1">
      <c r="A230" s="20" t="s">
        <v>15</v>
      </c>
      <c r="B230" s="21">
        <v>48800.0</v>
      </c>
      <c r="C230" s="21"/>
      <c r="D230" s="21">
        <v>40000.0</v>
      </c>
      <c r="E230" s="21">
        <v>32000.0</v>
      </c>
      <c r="F230" s="21"/>
      <c r="G230" s="21">
        <v>40000.0</v>
      </c>
      <c r="H230" s="21">
        <v>48000.0</v>
      </c>
      <c r="I230" s="20"/>
      <c r="J230" s="20"/>
      <c r="K230" s="20"/>
      <c r="L230" s="20"/>
      <c r="M230" s="20"/>
      <c r="N230" s="21">
        <f>SUM(N225:N228)</f>
        <v>208800</v>
      </c>
    </row>
    <row r="231" hidden="1">
      <c r="A231" s="23" t="s">
        <v>16</v>
      </c>
      <c r="B231" s="24">
        <v>11563.0</v>
      </c>
      <c r="C231" s="24"/>
      <c r="D231" s="24">
        <v>9931.0</v>
      </c>
      <c r="E231" s="24" t="s">
        <v>85</v>
      </c>
      <c r="F231" s="24"/>
      <c r="G231" s="24">
        <v>11563.0</v>
      </c>
      <c r="H231" s="24"/>
      <c r="I231" s="74"/>
      <c r="J231" s="74"/>
      <c r="K231" s="74"/>
      <c r="L231" s="74"/>
      <c r="M231" s="74"/>
      <c r="N231" s="75"/>
    </row>
    <row r="232" hidden="1">
      <c r="A232" s="57" t="s">
        <v>17</v>
      </c>
      <c r="B232" s="58">
        <f>B230-(B231)</f>
        <v>37237</v>
      </c>
      <c r="C232" s="58"/>
      <c r="D232" s="58">
        <f>D230-(D231)</f>
        <v>30069</v>
      </c>
      <c r="E232" s="58">
        <v>32000.0</v>
      </c>
      <c r="F232" s="58"/>
      <c r="G232" s="58">
        <f>G230-(G231)</f>
        <v>28437</v>
      </c>
      <c r="H232" s="58">
        <f>H229-(H231)</f>
        <v>0</v>
      </c>
      <c r="I232" s="25"/>
      <c r="J232" s="25"/>
      <c r="K232" s="25"/>
      <c r="L232" s="25"/>
      <c r="M232" s="25"/>
      <c r="N232" s="26">
        <f t="shared" ref="N232:N234" si="82">SUM(B232:I232)</f>
        <v>127743</v>
      </c>
    </row>
    <row r="233" hidden="1">
      <c r="A233" s="27" t="s">
        <v>40</v>
      </c>
      <c r="B233" s="28" t="s">
        <v>86</v>
      </c>
      <c r="C233" s="28"/>
      <c r="D233" s="28"/>
      <c r="E233" s="28" t="s">
        <v>87</v>
      </c>
      <c r="F233" s="28"/>
      <c r="G233" s="28"/>
      <c r="H233" s="28"/>
      <c r="I233" s="28"/>
      <c r="J233" s="29"/>
      <c r="K233" s="29"/>
      <c r="L233" s="29"/>
      <c r="M233" s="29"/>
      <c r="N233" s="30">
        <f t="shared" si="82"/>
        <v>0</v>
      </c>
    </row>
    <row r="234" hidden="1">
      <c r="A234" s="23" t="s">
        <v>88</v>
      </c>
      <c r="B234" s="24"/>
      <c r="C234" s="24"/>
      <c r="D234" s="24"/>
      <c r="E234" s="24"/>
      <c r="F234" s="24"/>
      <c r="G234" s="24">
        <v>1000.0</v>
      </c>
      <c r="H234" s="24">
        <v>1000.0</v>
      </c>
      <c r="I234" s="24"/>
      <c r="J234" s="25"/>
      <c r="K234" s="25"/>
      <c r="L234" s="25"/>
      <c r="M234" s="25"/>
      <c r="N234" s="26">
        <f t="shared" si="82"/>
        <v>2000</v>
      </c>
    </row>
    <row r="235" hidden="1">
      <c r="A235" s="39" t="s">
        <v>22</v>
      </c>
      <c r="B235" s="40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</row>
    <row r="236" hidden="1">
      <c r="A236" s="59" t="s">
        <v>95</v>
      </c>
      <c r="B236" s="43"/>
      <c r="C236" s="44"/>
      <c r="D236" s="44"/>
      <c r="E236" s="45"/>
      <c r="F236" s="45"/>
      <c r="G236" s="45"/>
      <c r="H236" s="44"/>
      <c r="I236" s="44"/>
      <c r="J236" s="44"/>
      <c r="K236" s="44"/>
      <c r="L236" s="44"/>
      <c r="M236" s="44"/>
      <c r="N236" s="44"/>
    </row>
    <row r="237" hidden="1">
      <c r="A237" s="60" t="s">
        <v>96</v>
      </c>
      <c r="B237" s="46"/>
      <c r="C237" s="45"/>
      <c r="D237" s="45"/>
      <c r="E237" s="45"/>
      <c r="F237" s="45"/>
      <c r="G237" s="44"/>
      <c r="H237" s="44"/>
      <c r="I237" s="44"/>
      <c r="J237" s="44"/>
      <c r="K237" s="44"/>
      <c r="L237" s="44"/>
      <c r="M237" s="44"/>
      <c r="N237" s="44"/>
    </row>
    <row r="238" hidden="1">
      <c r="A238" s="60" t="s">
        <v>97</v>
      </c>
      <c r="B238" s="43"/>
      <c r="C238" s="45"/>
      <c r="D238" s="45"/>
      <c r="E238" s="45"/>
      <c r="F238" s="44"/>
      <c r="G238" s="44"/>
      <c r="H238" s="44"/>
      <c r="I238" s="44"/>
      <c r="J238" s="44"/>
      <c r="K238" s="44"/>
      <c r="L238" s="44"/>
      <c r="M238" s="44"/>
      <c r="N238" s="44"/>
    </row>
    <row r="239" hidden="1">
      <c r="A239" s="60" t="s">
        <v>98</v>
      </c>
      <c r="B239" s="46"/>
      <c r="C239" s="45"/>
      <c r="D239" s="44"/>
      <c r="E239" s="45"/>
      <c r="F239" s="44"/>
      <c r="G239" s="45"/>
      <c r="H239" s="44"/>
      <c r="I239" s="44"/>
      <c r="J239" s="44"/>
      <c r="K239" s="44"/>
      <c r="L239" s="44"/>
      <c r="M239" s="44"/>
      <c r="N239" s="44"/>
    </row>
    <row r="240" hidden="1">
      <c r="A240" s="1" t="s">
        <v>0</v>
      </c>
      <c r="B240" s="2" t="s">
        <v>1</v>
      </c>
      <c r="C240" s="3" t="s">
        <v>99</v>
      </c>
      <c r="D240" s="3" t="s">
        <v>3</v>
      </c>
      <c r="E240" s="3" t="s">
        <v>58</v>
      </c>
      <c r="F240" s="3" t="s">
        <v>91</v>
      </c>
      <c r="G240" s="3" t="s">
        <v>6</v>
      </c>
      <c r="H240" s="4" t="s">
        <v>92</v>
      </c>
      <c r="I240" s="4" t="s">
        <v>93</v>
      </c>
      <c r="J240" s="4"/>
      <c r="K240" s="4"/>
      <c r="L240" s="4"/>
      <c r="M240" s="4"/>
      <c r="N240" s="1" t="s">
        <v>0</v>
      </c>
    </row>
    <row r="241" hidden="1">
      <c r="A241" s="47" t="s">
        <v>23</v>
      </c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7" t="s">
        <v>24</v>
      </c>
    </row>
    <row r="242" hidden="1">
      <c r="A242" s="61" t="s">
        <v>95</v>
      </c>
      <c r="B242" s="54">
        <f>B232/3+1000</f>
        <v>13412.33333</v>
      </c>
      <c r="C242" s="52"/>
      <c r="D242" s="62">
        <f>D232/3</f>
        <v>10023</v>
      </c>
      <c r="E242" s="52">
        <f>E232/4</f>
        <v>8000</v>
      </c>
      <c r="F242" s="62"/>
      <c r="G242" s="62">
        <f>G232/3</f>
        <v>9479</v>
      </c>
      <c r="H242" s="52">
        <f>H230/4</f>
        <v>12000</v>
      </c>
      <c r="I242" s="62"/>
      <c r="J242" s="62"/>
      <c r="K242" s="62"/>
      <c r="L242" s="62"/>
      <c r="M242" s="62"/>
      <c r="N242" s="53">
        <f t="shared" ref="N242:N247" si="83">SUM(B242:I242)</f>
        <v>52914.33333</v>
      </c>
    </row>
    <row r="243" hidden="1">
      <c r="A243" s="63" t="s">
        <v>96</v>
      </c>
      <c r="B243" s="54">
        <f>12500+1000</f>
        <v>13500</v>
      </c>
      <c r="C243" s="52"/>
      <c r="D243" s="62">
        <v>10000.0</v>
      </c>
      <c r="E243" s="52">
        <f t="shared" ref="E243:E245" si="84">8000+2000-333</f>
        <v>9667</v>
      </c>
      <c r="F243" s="62"/>
      <c r="G243" s="62">
        <v>9500.0</v>
      </c>
      <c r="H243" s="62">
        <f>H230/4</f>
        <v>12000</v>
      </c>
      <c r="I243" s="62">
        <v>6000.0</v>
      </c>
      <c r="J243" s="62"/>
      <c r="K243" s="62"/>
      <c r="L243" s="62"/>
      <c r="M243" s="62"/>
      <c r="N243" s="53">
        <f t="shared" si="83"/>
        <v>60667</v>
      </c>
    </row>
    <row r="244" hidden="1">
      <c r="A244" s="63" t="s">
        <v>97</v>
      </c>
      <c r="B244" s="54">
        <f>(B232/3)+1000</f>
        <v>13412.33333</v>
      </c>
      <c r="C244" s="67"/>
      <c r="D244" s="69">
        <f>D232/3</f>
        <v>10023</v>
      </c>
      <c r="E244" s="52">
        <f t="shared" si="84"/>
        <v>9667</v>
      </c>
      <c r="F244" s="69"/>
      <c r="G244" s="67">
        <f>G232/3+(200*4)</f>
        <v>10279</v>
      </c>
      <c r="H244" s="62">
        <f>H230/4+1800</f>
        <v>13800</v>
      </c>
      <c r="I244" s="62">
        <f>6000+(125*4)</f>
        <v>6500</v>
      </c>
      <c r="J244" s="62"/>
      <c r="K244" s="62"/>
      <c r="L244" s="62"/>
      <c r="M244" s="62"/>
      <c r="N244" s="53">
        <f t="shared" si="83"/>
        <v>63681.33333</v>
      </c>
    </row>
    <row r="245" hidden="1">
      <c r="A245" s="63" t="s">
        <v>98</v>
      </c>
      <c r="B245" s="54">
        <v>13500.0</v>
      </c>
      <c r="C245" s="62">
        <v>8000.0</v>
      </c>
      <c r="D245" s="62">
        <f>D232/3</f>
        <v>10023</v>
      </c>
      <c r="E245" s="62">
        <f t="shared" si="84"/>
        <v>9667</v>
      </c>
      <c r="F245" s="62"/>
      <c r="G245" s="62">
        <f>10000+1500+2500+1000</f>
        <v>15000</v>
      </c>
      <c r="H245" s="52">
        <f>H230/4</f>
        <v>12000</v>
      </c>
      <c r="I245" s="62">
        <v>7000.0</v>
      </c>
      <c r="J245" s="62"/>
      <c r="K245" s="62"/>
      <c r="L245" s="62"/>
      <c r="M245" s="62"/>
      <c r="N245" s="53">
        <f t="shared" si="83"/>
        <v>75190</v>
      </c>
    </row>
    <row r="246" hidden="1">
      <c r="A246" s="63" t="s">
        <v>100</v>
      </c>
      <c r="B246" s="54">
        <v>13500.0</v>
      </c>
      <c r="C246" s="62">
        <v>8000.0</v>
      </c>
      <c r="D246" s="62">
        <v>10000.0</v>
      </c>
      <c r="E246" s="62">
        <f>8000+2000</f>
        <v>10000</v>
      </c>
      <c r="F246" s="62"/>
      <c r="G246" s="62">
        <v>15000.0</v>
      </c>
      <c r="H246" s="62">
        <v>12000.0</v>
      </c>
      <c r="I246" s="62">
        <f>7000+1000</f>
        <v>8000</v>
      </c>
      <c r="J246" s="62"/>
      <c r="K246" s="62"/>
      <c r="L246" s="62"/>
      <c r="M246" s="62"/>
      <c r="N246" s="53">
        <f t="shared" si="83"/>
        <v>76500</v>
      </c>
    </row>
    <row r="247" hidden="1">
      <c r="A247" s="63" t="s">
        <v>101</v>
      </c>
      <c r="B247" s="54">
        <v>16500.0</v>
      </c>
      <c r="C247" s="62">
        <f t="shared" ref="C247:C248" si="85">9500+1500</f>
        <v>11000</v>
      </c>
      <c r="D247" s="62">
        <f t="shared" ref="D247:D248" si="86">10000+1700</f>
        <v>11700</v>
      </c>
      <c r="E247" s="62">
        <f t="shared" ref="E247:E248" si="87">8000+1300</f>
        <v>9300</v>
      </c>
      <c r="F247" s="62">
        <f>7000+1100+600</f>
        <v>8700</v>
      </c>
      <c r="G247" s="62">
        <v>15000.0</v>
      </c>
      <c r="H247" s="62">
        <v>16800.0</v>
      </c>
      <c r="I247" s="62">
        <f t="shared" ref="I247:I248" si="88">7000+1200</f>
        <v>8200</v>
      </c>
      <c r="J247" s="62"/>
      <c r="K247" s="62"/>
      <c r="L247" s="62"/>
      <c r="M247" s="62"/>
      <c r="N247" s="53">
        <f t="shared" si="83"/>
        <v>97200</v>
      </c>
    </row>
    <row r="248" hidden="1">
      <c r="B248" s="54">
        <v>16500.0</v>
      </c>
      <c r="C248" s="62">
        <f t="shared" si="85"/>
        <v>11000</v>
      </c>
      <c r="D248" s="62">
        <f t="shared" si="86"/>
        <v>11700</v>
      </c>
      <c r="E248" s="62">
        <f t="shared" si="87"/>
        <v>9300</v>
      </c>
      <c r="F248" s="62">
        <f>7000+1100</f>
        <v>8100</v>
      </c>
      <c r="G248" s="62">
        <v>15000.0</v>
      </c>
      <c r="H248" s="62">
        <v>16800.0</v>
      </c>
      <c r="I248" s="62">
        <f t="shared" si="88"/>
        <v>8200</v>
      </c>
      <c r="J248" s="62"/>
      <c r="K248" s="62"/>
      <c r="L248" s="62"/>
      <c r="M248" s="62"/>
    </row>
    <row r="249" hidden="1"/>
    <row r="250" hidden="1">
      <c r="D250" t="str">
        <f>SUM(D244+E244+F244+#REF!+G244)</f>
        <v>#REF!</v>
      </c>
    </row>
    <row r="251" hidden="1">
      <c r="A251" s="6" t="s">
        <v>102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8"/>
    </row>
    <row r="252" hidden="1">
      <c r="A252" s="55" t="s">
        <v>103</v>
      </c>
      <c r="B252" s="10">
        <v>13500.0</v>
      </c>
      <c r="C252" s="10">
        <v>9500.0</v>
      </c>
      <c r="D252" s="10">
        <f>D257/4</f>
        <v>10000</v>
      </c>
      <c r="E252" s="10">
        <v>8000.0</v>
      </c>
      <c r="F252" s="10">
        <v>7000.0</v>
      </c>
      <c r="G252" s="10">
        <v>15000.0</v>
      </c>
      <c r="H252" s="10">
        <v>14000.0</v>
      </c>
      <c r="I252" s="10">
        <v>7000.0</v>
      </c>
      <c r="J252" s="10"/>
      <c r="K252" s="10"/>
      <c r="L252" s="10"/>
      <c r="M252" s="10"/>
      <c r="N252" s="13">
        <f t="shared" ref="N252:N255" si="89">SUM(B252:I252)</f>
        <v>84000</v>
      </c>
    </row>
    <row r="253" hidden="1">
      <c r="A253" s="15" t="s">
        <v>104</v>
      </c>
      <c r="B253" s="10">
        <v>13500.0</v>
      </c>
      <c r="C253" s="10">
        <v>9500.0</v>
      </c>
      <c r="D253" s="10">
        <f>D257/4</f>
        <v>10000</v>
      </c>
      <c r="E253" s="10">
        <v>8000.0</v>
      </c>
      <c r="F253" s="10">
        <v>7000.0</v>
      </c>
      <c r="G253" s="10">
        <v>15000.0</v>
      </c>
      <c r="H253" s="10">
        <v>14000.0</v>
      </c>
      <c r="I253" s="10">
        <v>7000.0</v>
      </c>
      <c r="J253" s="10"/>
      <c r="K253" s="10"/>
      <c r="L253" s="10"/>
      <c r="M253" s="10"/>
      <c r="N253" s="13">
        <f t="shared" si="89"/>
        <v>84000</v>
      </c>
    </row>
    <row r="254" hidden="1">
      <c r="A254" s="15" t="s">
        <v>105</v>
      </c>
      <c r="B254" s="10">
        <v>13500.0</v>
      </c>
      <c r="C254" s="10">
        <v>9500.0</v>
      </c>
      <c r="D254" s="10">
        <f>D257/4</f>
        <v>10000</v>
      </c>
      <c r="E254" s="10">
        <v>8000.0</v>
      </c>
      <c r="F254" s="10">
        <v>7000.0</v>
      </c>
      <c r="G254" s="10">
        <v>15000.0</v>
      </c>
      <c r="H254" s="10">
        <v>14000.0</v>
      </c>
      <c r="I254" s="10">
        <v>7000.0</v>
      </c>
      <c r="J254" s="10"/>
      <c r="K254" s="10"/>
      <c r="L254" s="10"/>
      <c r="M254" s="10"/>
      <c r="N254" s="13">
        <f t="shared" si="89"/>
        <v>84000</v>
      </c>
    </row>
    <row r="255" hidden="1">
      <c r="A255" s="15" t="s">
        <v>106</v>
      </c>
      <c r="B255" s="16">
        <v>13500.0</v>
      </c>
      <c r="C255" s="16">
        <v>9500.0</v>
      </c>
      <c r="D255" s="16">
        <f>D257/4</f>
        <v>10000</v>
      </c>
      <c r="E255" s="16">
        <v>8000.0</v>
      </c>
      <c r="F255" s="16">
        <v>7000.0</v>
      </c>
      <c r="G255" s="16">
        <v>15000.0</v>
      </c>
      <c r="H255" s="16">
        <v>14000.0</v>
      </c>
      <c r="I255" s="16">
        <v>7000.0</v>
      </c>
      <c r="J255" s="16"/>
      <c r="K255" s="16"/>
      <c r="L255" s="16"/>
      <c r="M255" s="16"/>
      <c r="N255" s="19">
        <f t="shared" si="89"/>
        <v>84000</v>
      </c>
    </row>
    <row r="256" hidden="1">
      <c r="A256" s="15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9">
        <f>SUM(B256:H256)</f>
        <v>0</v>
      </c>
    </row>
    <row r="257" hidden="1">
      <c r="A257" s="20" t="s">
        <v>15</v>
      </c>
      <c r="B257" s="21">
        <f t="shared" ref="B257:C257" si="90">SUM(B252:B256)</f>
        <v>54000</v>
      </c>
      <c r="C257" s="21">
        <f t="shared" si="90"/>
        <v>38000</v>
      </c>
      <c r="D257" s="21">
        <v>40000.0</v>
      </c>
      <c r="E257" s="21">
        <f t="shared" ref="E257:I257" si="91">SUM(E252:E256)</f>
        <v>32000</v>
      </c>
      <c r="F257" s="21">
        <f t="shared" si="91"/>
        <v>28000</v>
      </c>
      <c r="G257" s="21">
        <f t="shared" si="91"/>
        <v>60000</v>
      </c>
      <c r="H257" s="21">
        <f t="shared" si="91"/>
        <v>56000</v>
      </c>
      <c r="I257" s="21">
        <f t="shared" si="91"/>
        <v>28000</v>
      </c>
      <c r="J257" s="21"/>
      <c r="K257" s="21"/>
      <c r="L257" s="21"/>
      <c r="M257" s="21"/>
      <c r="N257" s="21">
        <f>SUM(N252:N255)</f>
        <v>336000</v>
      </c>
    </row>
    <row r="258" hidden="1">
      <c r="A258" s="27" t="s">
        <v>40</v>
      </c>
      <c r="B258" s="28"/>
      <c r="C258" s="28"/>
      <c r="D258" s="28"/>
      <c r="E258" s="28"/>
      <c r="F258" s="28"/>
      <c r="G258" s="28"/>
      <c r="H258" s="28"/>
      <c r="I258" s="28"/>
      <c r="J258" s="29"/>
      <c r="K258" s="29"/>
      <c r="L258" s="29"/>
      <c r="M258" s="29"/>
      <c r="N258" s="30">
        <f t="shared" ref="N258:N259" si="92">SUM(B258:I258)</f>
        <v>0</v>
      </c>
    </row>
    <row r="259" hidden="1">
      <c r="A259" s="23" t="s">
        <v>107</v>
      </c>
      <c r="B259" s="24"/>
      <c r="C259" s="24"/>
      <c r="D259" s="24"/>
      <c r="E259" s="24"/>
      <c r="F259" s="24"/>
      <c r="G259" s="24"/>
      <c r="H259" s="24"/>
      <c r="I259" s="24"/>
      <c r="J259" s="25"/>
      <c r="K259" s="25"/>
      <c r="L259" s="25"/>
      <c r="M259" s="25"/>
      <c r="N259" s="26">
        <f t="shared" si="92"/>
        <v>0</v>
      </c>
    </row>
    <row r="260" hidden="1">
      <c r="A260" s="39" t="s">
        <v>22</v>
      </c>
      <c r="B260" s="40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</row>
    <row r="261" hidden="1">
      <c r="A261" s="59" t="s">
        <v>103</v>
      </c>
      <c r="B261" s="43"/>
      <c r="C261" s="44"/>
      <c r="D261" s="44"/>
      <c r="E261" s="45"/>
      <c r="F261" s="45"/>
      <c r="G261" s="45"/>
      <c r="H261" s="44"/>
      <c r="I261" s="44"/>
      <c r="J261" s="44"/>
      <c r="K261" s="44"/>
      <c r="L261" s="44"/>
      <c r="M261" s="44"/>
      <c r="N261" s="44"/>
    </row>
    <row r="262" hidden="1">
      <c r="A262" s="60" t="s">
        <v>104</v>
      </c>
      <c r="B262" s="46"/>
      <c r="C262" s="45"/>
      <c r="D262" s="45">
        <v>500.0</v>
      </c>
      <c r="E262" s="45"/>
      <c r="F262" s="45"/>
      <c r="G262" s="44"/>
      <c r="H262" s="44"/>
      <c r="I262" s="44"/>
      <c r="J262" s="44"/>
      <c r="K262" s="44"/>
      <c r="L262" s="44"/>
      <c r="M262" s="44"/>
      <c r="N262" s="44"/>
    </row>
    <row r="263" hidden="1">
      <c r="A263" s="60" t="s">
        <v>105</v>
      </c>
      <c r="B263" s="43"/>
      <c r="C263" s="45"/>
      <c r="D263" s="45"/>
      <c r="E263" s="45">
        <v>160.0</v>
      </c>
      <c r="F263" s="44"/>
      <c r="G263" s="44"/>
      <c r="H263" s="44"/>
      <c r="I263" s="44"/>
      <c r="J263" s="44"/>
      <c r="K263" s="44"/>
      <c r="L263" s="44"/>
      <c r="M263" s="44"/>
      <c r="N263" s="44"/>
    </row>
    <row r="264" hidden="1">
      <c r="A264" s="60" t="s">
        <v>106</v>
      </c>
      <c r="B264" s="46"/>
      <c r="C264" s="45"/>
      <c r="D264" s="44"/>
      <c r="E264" s="45">
        <v>350.0</v>
      </c>
      <c r="F264" s="44"/>
      <c r="G264" s="45"/>
      <c r="H264" s="44"/>
      <c r="I264" s="44"/>
      <c r="J264" s="44"/>
      <c r="K264" s="44"/>
      <c r="L264" s="44"/>
      <c r="M264" s="44"/>
      <c r="N264" s="44"/>
    </row>
    <row r="265" hidden="1">
      <c r="A265" s="1" t="s">
        <v>0</v>
      </c>
      <c r="B265" s="2" t="s">
        <v>1</v>
      </c>
      <c r="C265" s="3" t="s">
        <v>90</v>
      </c>
      <c r="D265" s="3" t="s">
        <v>3</v>
      </c>
      <c r="E265" s="3" t="s">
        <v>58</v>
      </c>
      <c r="F265" s="3" t="s">
        <v>91</v>
      </c>
      <c r="G265" s="3" t="s">
        <v>6</v>
      </c>
      <c r="H265" s="4" t="s">
        <v>92</v>
      </c>
      <c r="I265" s="4" t="s">
        <v>93</v>
      </c>
      <c r="J265" s="4"/>
      <c r="K265" s="4"/>
      <c r="L265" s="4"/>
      <c r="M265" s="4"/>
      <c r="N265" s="1" t="s">
        <v>0</v>
      </c>
    </row>
    <row r="266" hidden="1">
      <c r="A266" s="47" t="s">
        <v>23</v>
      </c>
      <c r="B266" s="48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7" t="s">
        <v>24</v>
      </c>
    </row>
    <row r="267" hidden="1">
      <c r="A267" s="61" t="s">
        <v>103</v>
      </c>
      <c r="B267" s="54">
        <f t="shared" ref="B267:I267" si="93">B252-B261</f>
        <v>13500</v>
      </c>
      <c r="C267" s="52">
        <f t="shared" si="93"/>
        <v>9500</v>
      </c>
      <c r="D267" s="62">
        <f t="shared" si="93"/>
        <v>10000</v>
      </c>
      <c r="E267" s="52">
        <f t="shared" si="93"/>
        <v>8000</v>
      </c>
      <c r="F267" s="62">
        <f t="shared" si="93"/>
        <v>7000</v>
      </c>
      <c r="G267" s="62">
        <f t="shared" si="93"/>
        <v>15000</v>
      </c>
      <c r="H267" s="52">
        <f t="shared" si="93"/>
        <v>14000</v>
      </c>
      <c r="I267" s="62">
        <f t="shared" si="93"/>
        <v>7000</v>
      </c>
      <c r="J267" s="62"/>
      <c r="K267" s="62"/>
      <c r="L267" s="62"/>
      <c r="M267" s="62"/>
      <c r="N267" s="52"/>
    </row>
    <row r="268" hidden="1">
      <c r="A268" s="63" t="s">
        <v>104</v>
      </c>
      <c r="B268" s="54">
        <f t="shared" ref="B268:I268" si="94">B253-B262</f>
        <v>13500</v>
      </c>
      <c r="C268" s="52">
        <f t="shared" si="94"/>
        <v>9500</v>
      </c>
      <c r="D268" s="62">
        <f t="shared" si="94"/>
        <v>9500</v>
      </c>
      <c r="E268" s="52">
        <f t="shared" si="94"/>
        <v>8000</v>
      </c>
      <c r="F268" s="62">
        <f t="shared" si="94"/>
        <v>7000</v>
      </c>
      <c r="G268" s="62">
        <f t="shared" si="94"/>
        <v>15000</v>
      </c>
      <c r="H268" s="62">
        <f t="shared" si="94"/>
        <v>14000</v>
      </c>
      <c r="I268" s="62">
        <f t="shared" si="94"/>
        <v>7000</v>
      </c>
      <c r="J268" s="62"/>
      <c r="K268" s="62"/>
      <c r="L268" s="62"/>
      <c r="M268" s="62"/>
      <c r="N268" s="52"/>
    </row>
    <row r="269" hidden="1">
      <c r="A269" s="63" t="s">
        <v>105</v>
      </c>
      <c r="B269" s="54">
        <f t="shared" ref="B269:I269" si="95">B254-B263</f>
        <v>13500</v>
      </c>
      <c r="C269" s="67">
        <f t="shared" si="95"/>
        <v>9500</v>
      </c>
      <c r="D269" s="69">
        <f t="shared" si="95"/>
        <v>10000</v>
      </c>
      <c r="E269" s="52">
        <f t="shared" si="95"/>
        <v>7840</v>
      </c>
      <c r="F269" s="69">
        <f t="shared" si="95"/>
        <v>7000</v>
      </c>
      <c r="G269" s="67">
        <f t="shared" si="95"/>
        <v>15000</v>
      </c>
      <c r="H269" s="62">
        <f t="shared" si="95"/>
        <v>14000</v>
      </c>
      <c r="I269" s="62">
        <f t="shared" si="95"/>
        <v>7000</v>
      </c>
      <c r="J269" s="62"/>
      <c r="K269" s="62"/>
      <c r="L269" s="62"/>
      <c r="M269" s="62"/>
      <c r="N269" s="52"/>
    </row>
    <row r="270" hidden="1">
      <c r="A270" s="63" t="s">
        <v>106</v>
      </c>
      <c r="B270" s="54">
        <f t="shared" ref="B270:C270" si="96">B255-B264</f>
        <v>13500</v>
      </c>
      <c r="C270" s="62">
        <f t="shared" si="96"/>
        <v>9500</v>
      </c>
      <c r="D270" s="62">
        <f>D254-D264</f>
        <v>10000</v>
      </c>
      <c r="E270" s="62">
        <f t="shared" ref="E270:I270" si="97">E255-E264</f>
        <v>7650</v>
      </c>
      <c r="F270" s="62">
        <f t="shared" si="97"/>
        <v>7000</v>
      </c>
      <c r="G270" s="62">
        <f t="shared" si="97"/>
        <v>15000</v>
      </c>
      <c r="H270" s="52">
        <f t="shared" si="97"/>
        <v>14000</v>
      </c>
      <c r="I270" s="62">
        <f t="shared" si="97"/>
        <v>7000</v>
      </c>
      <c r="J270" s="62"/>
      <c r="K270" s="62"/>
      <c r="L270" s="62"/>
      <c r="M270" s="62"/>
      <c r="N270" s="52"/>
    </row>
    <row r="271" hidden="1">
      <c r="A271" s="63" t="s">
        <v>108</v>
      </c>
      <c r="B271" s="54">
        <v>13500.0</v>
      </c>
      <c r="C271" s="62">
        <v>9500.0</v>
      </c>
      <c r="D271" s="62">
        <v>10000.0</v>
      </c>
      <c r="E271" s="62">
        <v>8000.0</v>
      </c>
      <c r="F271" s="62">
        <v>7000.0</v>
      </c>
      <c r="G271" s="62">
        <v>15000.0</v>
      </c>
      <c r="H271" s="62">
        <v>14000.0</v>
      </c>
      <c r="I271" s="62">
        <v>7000.0</v>
      </c>
      <c r="J271" s="62"/>
      <c r="K271" s="62"/>
      <c r="L271" s="62"/>
      <c r="M271" s="62"/>
      <c r="N271" s="52"/>
    </row>
    <row r="272" hidden="1">
      <c r="A272" s="63"/>
      <c r="B272" s="54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52"/>
    </row>
    <row r="273" hidden="1"/>
    <row r="274">
      <c r="A274" s="76" t="s">
        <v>0</v>
      </c>
      <c r="B274" s="77" t="s">
        <v>109</v>
      </c>
      <c r="C274" s="78" t="s">
        <v>90</v>
      </c>
      <c r="D274" s="78" t="s">
        <v>3</v>
      </c>
      <c r="E274" s="78" t="s">
        <v>58</v>
      </c>
      <c r="F274" s="78" t="s">
        <v>91</v>
      </c>
      <c r="G274" s="78" t="s">
        <v>6</v>
      </c>
      <c r="H274" s="79" t="s">
        <v>92</v>
      </c>
      <c r="I274" s="79" t="s">
        <v>93</v>
      </c>
      <c r="J274" s="79" t="s">
        <v>51</v>
      </c>
      <c r="K274" s="79"/>
      <c r="L274" s="79"/>
      <c r="M274" s="79"/>
      <c r="N274" s="76" t="s">
        <v>110</v>
      </c>
    </row>
    <row r="275">
      <c r="A275" s="80">
        <v>2022.0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8"/>
    </row>
    <row r="276">
      <c r="A276" s="81" t="s">
        <v>111</v>
      </c>
      <c r="B276" s="82">
        <v>13500.0</v>
      </c>
      <c r="C276" s="82">
        <v>9500.0</v>
      </c>
      <c r="D276" s="82">
        <f>D280/4</f>
        <v>10000</v>
      </c>
      <c r="E276" s="82">
        <v>8000.0</v>
      </c>
      <c r="F276" s="82">
        <v>7000.0</v>
      </c>
      <c r="G276" s="82">
        <v>15000.0</v>
      </c>
      <c r="H276" s="82">
        <v>14000.0</v>
      </c>
      <c r="I276" s="82">
        <v>7000.0</v>
      </c>
      <c r="J276" s="82" t="s">
        <v>112</v>
      </c>
      <c r="K276" s="82"/>
      <c r="L276" s="82"/>
      <c r="M276" s="82"/>
      <c r="N276" s="13">
        <f>SUM(B276:J276)</f>
        <v>84000</v>
      </c>
    </row>
    <row r="277">
      <c r="A277" s="83"/>
      <c r="B277" s="82">
        <v>13500.0</v>
      </c>
      <c r="C277" s="82">
        <v>9500.0</v>
      </c>
      <c r="D277" s="82">
        <f>D280/4</f>
        <v>10000</v>
      </c>
      <c r="E277" s="82">
        <v>8000.0</v>
      </c>
      <c r="F277" s="82">
        <v>7000.0</v>
      </c>
      <c r="G277" s="82">
        <v>15000.0</v>
      </c>
      <c r="H277" s="82">
        <v>14000.0</v>
      </c>
      <c r="I277" s="82">
        <v>7000.0</v>
      </c>
      <c r="J277" s="82"/>
      <c r="K277" s="82"/>
      <c r="L277" s="82"/>
      <c r="M277" s="82"/>
      <c r="N277" s="13">
        <f t="shared" ref="N277:N279" si="98">SUM(B277:I277)</f>
        <v>84000</v>
      </c>
    </row>
    <row r="278">
      <c r="A278" s="83"/>
      <c r="B278" s="82">
        <v>13500.0</v>
      </c>
      <c r="C278" s="82">
        <v>9500.0</v>
      </c>
      <c r="D278" s="82">
        <f>D280/4</f>
        <v>10000</v>
      </c>
      <c r="E278" s="82">
        <v>8000.0</v>
      </c>
      <c r="F278" s="82">
        <v>7000.0</v>
      </c>
      <c r="G278" s="82">
        <v>15000.0</v>
      </c>
      <c r="H278" s="82">
        <v>14000.0</v>
      </c>
      <c r="I278" s="82">
        <v>7000.0</v>
      </c>
      <c r="J278" s="82"/>
      <c r="K278" s="82"/>
      <c r="L278" s="82"/>
      <c r="M278" s="82"/>
      <c r="N278" s="13">
        <f t="shared" si="98"/>
        <v>84000</v>
      </c>
    </row>
    <row r="279">
      <c r="A279" s="83"/>
      <c r="B279" s="84">
        <v>13500.0</v>
      </c>
      <c r="C279" s="84">
        <v>9500.0</v>
      </c>
      <c r="D279" s="84">
        <f>D280/4</f>
        <v>10000</v>
      </c>
      <c r="E279" s="84">
        <v>8000.0</v>
      </c>
      <c r="F279" s="84">
        <v>7000.0</v>
      </c>
      <c r="G279" s="84">
        <v>15000.0</v>
      </c>
      <c r="H279" s="84">
        <v>14000.0</v>
      </c>
      <c r="I279" s="84">
        <v>7000.0</v>
      </c>
      <c r="J279" s="84"/>
      <c r="K279" s="84"/>
      <c r="L279" s="84"/>
      <c r="M279" s="84"/>
      <c r="N279" s="19">
        <f t="shared" si="98"/>
        <v>84000</v>
      </c>
      <c r="P279">
        <f>SUM(B279,D279,E279,F279,G279,H279,I279)</f>
        <v>74500</v>
      </c>
      <c r="Q279">
        <f>45-15</f>
        <v>30</v>
      </c>
    </row>
    <row r="280">
      <c r="A280" s="85" t="s">
        <v>113</v>
      </c>
      <c r="B280" s="86">
        <f t="shared" ref="B280:C280" si="99">SUM(B276:B279)</f>
        <v>54000</v>
      </c>
      <c r="C280" s="86">
        <f t="shared" si="99"/>
        <v>38000</v>
      </c>
      <c r="D280" s="86">
        <v>40000.0</v>
      </c>
      <c r="E280" s="86">
        <f t="shared" ref="E280:I280" si="100">SUM(E276:E279)</f>
        <v>32000</v>
      </c>
      <c r="F280" s="86">
        <f t="shared" si="100"/>
        <v>28000</v>
      </c>
      <c r="G280" s="86">
        <f t="shared" si="100"/>
        <v>60000</v>
      </c>
      <c r="H280" s="86">
        <f t="shared" si="100"/>
        <v>56000</v>
      </c>
      <c r="I280" s="86">
        <f t="shared" si="100"/>
        <v>28000</v>
      </c>
      <c r="J280" s="86"/>
      <c r="K280" s="86"/>
      <c r="L280" s="86"/>
      <c r="M280" s="86"/>
      <c r="N280" s="86">
        <f>SUM(N276:N279)</f>
        <v>336000</v>
      </c>
    </row>
    <row r="281">
      <c r="A281" s="87"/>
      <c r="B281" s="88" t="s">
        <v>114</v>
      </c>
      <c r="C281" s="88" t="s">
        <v>115</v>
      </c>
      <c r="D281" s="88" t="s">
        <v>114</v>
      </c>
      <c r="E281" s="88" t="s">
        <v>115</v>
      </c>
      <c r="F281" s="88" t="s">
        <v>115</v>
      </c>
      <c r="G281" s="88" t="s">
        <v>114</v>
      </c>
      <c r="H281" s="88" t="s">
        <v>114</v>
      </c>
      <c r="I281" s="88" t="s">
        <v>115</v>
      </c>
      <c r="J281" s="89" t="s">
        <v>115</v>
      </c>
      <c r="K281" s="89"/>
      <c r="L281" s="89"/>
      <c r="M281" s="89"/>
      <c r="N281" s="90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</row>
    <row r="282">
      <c r="A282" s="92" t="s">
        <v>12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8"/>
    </row>
    <row r="283">
      <c r="A283" s="93" t="s">
        <v>116</v>
      </c>
      <c r="B283" s="94" t="s">
        <v>43</v>
      </c>
      <c r="C283" s="94"/>
      <c r="D283" s="94">
        <v>1500.0</v>
      </c>
      <c r="E283" s="94"/>
      <c r="F283" s="94"/>
      <c r="G283" s="94"/>
      <c r="H283" s="94"/>
      <c r="I283" s="94"/>
      <c r="J283" s="94"/>
      <c r="K283" s="94"/>
      <c r="L283" s="94"/>
      <c r="M283" s="94"/>
      <c r="N283" s="93"/>
    </row>
    <row r="284">
      <c r="A284" s="93" t="s">
        <v>40</v>
      </c>
      <c r="B284" s="94" t="s">
        <v>43</v>
      </c>
      <c r="C284" s="94"/>
      <c r="D284" s="94">
        <v>4600.0</v>
      </c>
      <c r="E284" s="94"/>
      <c r="F284" s="94"/>
      <c r="G284" s="94"/>
      <c r="H284" s="94"/>
      <c r="I284" s="94"/>
      <c r="J284" s="94">
        <v>39.0</v>
      </c>
      <c r="K284" s="94"/>
      <c r="L284" s="94"/>
      <c r="M284" s="94"/>
      <c r="N284" s="93">
        <f>SUM(B284:J284)</f>
        <v>4639</v>
      </c>
    </row>
    <row r="285">
      <c r="A285" s="93" t="s">
        <v>117</v>
      </c>
      <c r="B285" s="94" t="s">
        <v>43</v>
      </c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3">
        <f t="shared" ref="N285:N286" si="102">SUM(B285:I285)</f>
        <v>0</v>
      </c>
    </row>
    <row r="286">
      <c r="A286" s="95" t="s">
        <v>118</v>
      </c>
      <c r="B286" s="96" t="s">
        <v>119</v>
      </c>
      <c r="C286" s="96">
        <f t="shared" ref="C286:I286" si="101">C276-C283+C284+C285</f>
        <v>9500</v>
      </c>
      <c r="D286" s="96">
        <f t="shared" si="101"/>
        <v>13100</v>
      </c>
      <c r="E286" s="96">
        <f t="shared" si="101"/>
        <v>8000</v>
      </c>
      <c r="F286" s="96">
        <f t="shared" si="101"/>
        <v>7000</v>
      </c>
      <c r="G286" s="96">
        <f t="shared" si="101"/>
        <v>15000</v>
      </c>
      <c r="H286" s="96">
        <f t="shared" si="101"/>
        <v>14000</v>
      </c>
      <c r="I286" s="96">
        <f t="shared" si="101"/>
        <v>7000</v>
      </c>
      <c r="J286" s="96">
        <f>J284*300</f>
        <v>11700</v>
      </c>
      <c r="K286" s="96"/>
      <c r="L286" s="96"/>
      <c r="M286" s="96"/>
      <c r="N286" s="95">
        <f t="shared" si="102"/>
        <v>73600</v>
      </c>
    </row>
    <row r="287">
      <c r="A287" s="97"/>
      <c r="B287" s="98"/>
      <c r="C287" s="99"/>
      <c r="D287" s="99"/>
      <c r="E287" s="100"/>
      <c r="F287" s="100"/>
      <c r="G287" s="100"/>
      <c r="H287" s="99"/>
      <c r="I287" s="99"/>
      <c r="J287" s="99"/>
      <c r="K287" s="99"/>
      <c r="L287" s="99"/>
      <c r="M287" s="99"/>
      <c r="N287" s="99"/>
    </row>
    <row r="288">
      <c r="A288" s="93" t="s">
        <v>116</v>
      </c>
      <c r="B288" s="94" t="s">
        <v>43</v>
      </c>
      <c r="C288" s="94"/>
      <c r="D288" s="94">
        <v>1500.0</v>
      </c>
      <c r="E288" s="94"/>
      <c r="F288" s="94"/>
      <c r="G288" s="94"/>
      <c r="H288" s="94"/>
      <c r="I288" s="94"/>
      <c r="J288" s="94"/>
      <c r="K288" s="94"/>
      <c r="L288" s="94"/>
      <c r="M288" s="94"/>
      <c r="N288" s="93"/>
    </row>
    <row r="289">
      <c r="A289" s="93" t="s">
        <v>40</v>
      </c>
      <c r="B289" s="94" t="s">
        <v>43</v>
      </c>
      <c r="C289" s="94"/>
      <c r="D289" s="94"/>
      <c r="E289" s="94">
        <f>(E286/6/8)*8</f>
        <v>1333.333333</v>
      </c>
      <c r="F289" s="94"/>
      <c r="G289" s="94"/>
      <c r="H289" s="94"/>
      <c r="I289" s="94"/>
      <c r="J289" s="94">
        <v>14.0</v>
      </c>
      <c r="K289" s="94"/>
      <c r="L289" s="94"/>
      <c r="M289" s="94"/>
      <c r="N289" s="93">
        <f>SUM(B289:J289)</f>
        <v>1347.333333</v>
      </c>
    </row>
    <row r="290">
      <c r="A290" s="93" t="s">
        <v>120</v>
      </c>
      <c r="B290" s="94" t="s">
        <v>43</v>
      </c>
      <c r="C290" s="94"/>
      <c r="D290" s="94"/>
      <c r="E290" s="94">
        <v>8000.0</v>
      </c>
      <c r="F290" s="94"/>
      <c r="G290" s="94"/>
      <c r="H290" s="94"/>
      <c r="I290" s="94"/>
      <c r="J290" s="94"/>
      <c r="K290" s="94"/>
      <c r="L290" s="94"/>
      <c r="M290" s="94"/>
      <c r="N290" s="93">
        <f t="shared" ref="N290:N291" si="104">SUM(B290:I290)</f>
        <v>8000</v>
      </c>
    </row>
    <row r="291">
      <c r="A291" s="95" t="s">
        <v>118</v>
      </c>
      <c r="B291" s="96" t="s">
        <v>119</v>
      </c>
      <c r="C291" s="96">
        <f t="shared" ref="C291:I291" si="103">C277-C288+C289+C290</f>
        <v>9500</v>
      </c>
      <c r="D291" s="96">
        <f t="shared" si="103"/>
        <v>8500</v>
      </c>
      <c r="E291" s="96">
        <f t="shared" si="103"/>
        <v>17333.33333</v>
      </c>
      <c r="F291" s="96">
        <f t="shared" si="103"/>
        <v>7000</v>
      </c>
      <c r="G291" s="96">
        <f t="shared" si="103"/>
        <v>15000</v>
      </c>
      <c r="H291" s="96">
        <f t="shared" si="103"/>
        <v>14000</v>
      </c>
      <c r="I291" s="96">
        <f t="shared" si="103"/>
        <v>7000</v>
      </c>
      <c r="J291" s="96">
        <f>(J289*300)-J288+J290</f>
        <v>4200</v>
      </c>
      <c r="K291" s="96"/>
      <c r="L291" s="96"/>
      <c r="M291" s="96"/>
      <c r="N291" s="95">
        <f t="shared" si="104"/>
        <v>78333.33333</v>
      </c>
    </row>
    <row r="292">
      <c r="A292" s="101"/>
      <c r="B292" s="102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1"/>
    </row>
    <row r="293">
      <c r="A293" s="93" t="s">
        <v>116</v>
      </c>
      <c r="B293" s="94"/>
      <c r="C293" s="94"/>
      <c r="D293" s="94">
        <v>1500.0</v>
      </c>
      <c r="E293" s="94"/>
      <c r="F293" s="94"/>
      <c r="G293" s="94"/>
      <c r="H293" s="94"/>
      <c r="I293" s="94"/>
      <c r="J293" s="94"/>
      <c r="K293" s="94"/>
      <c r="L293" s="94"/>
      <c r="M293" s="94"/>
      <c r="N293" s="93"/>
    </row>
    <row r="294">
      <c r="A294" s="93" t="s">
        <v>40</v>
      </c>
      <c r="B294" s="94"/>
      <c r="C294" s="94"/>
      <c r="D294" s="94"/>
      <c r="E294" s="94"/>
      <c r="F294" s="94"/>
      <c r="G294" s="94"/>
      <c r="H294" s="94"/>
      <c r="I294" s="94"/>
      <c r="J294" s="94">
        <v>7.5</v>
      </c>
      <c r="K294" s="94"/>
      <c r="L294" s="94"/>
      <c r="M294" s="94"/>
      <c r="N294" s="93">
        <f>SUM(B294:J294)</f>
        <v>7.5</v>
      </c>
    </row>
    <row r="295">
      <c r="A295" s="93" t="s">
        <v>117</v>
      </c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3">
        <f t="shared" ref="N295:N296" si="106">SUM(B295:I295)</f>
        <v>0</v>
      </c>
    </row>
    <row r="296">
      <c r="A296" s="95" t="s">
        <v>118</v>
      </c>
      <c r="B296" s="96">
        <f>B278-B293+B294+B295</f>
        <v>13500</v>
      </c>
      <c r="C296" s="96">
        <f>(C286-C293+C294+C295)*2</f>
        <v>19000</v>
      </c>
      <c r="D296" s="96">
        <f>D277-D293+D294+D295</f>
        <v>8500</v>
      </c>
      <c r="E296" s="96" t="s">
        <v>119</v>
      </c>
      <c r="F296" s="96">
        <f t="shared" ref="F296:I296" si="105">F286-F293+F294+F295</f>
        <v>7000</v>
      </c>
      <c r="G296" s="96">
        <f t="shared" si="105"/>
        <v>15000</v>
      </c>
      <c r="H296" s="96">
        <f t="shared" si="105"/>
        <v>14000</v>
      </c>
      <c r="I296" s="96">
        <f t="shared" si="105"/>
        <v>7000</v>
      </c>
      <c r="J296" s="96">
        <f>(J294*300)</f>
        <v>2250</v>
      </c>
      <c r="K296" s="96"/>
      <c r="L296" s="96"/>
      <c r="M296" s="96"/>
      <c r="N296" s="95">
        <f t="shared" si="106"/>
        <v>84000</v>
      </c>
    </row>
    <row r="297">
      <c r="A297" s="97"/>
      <c r="B297" s="98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99"/>
    </row>
    <row r="298">
      <c r="A298" s="93" t="s">
        <v>116</v>
      </c>
      <c r="B298" s="94"/>
      <c r="C298" s="94"/>
      <c r="D298" s="94">
        <v>1500.0</v>
      </c>
      <c r="E298" s="94"/>
      <c r="F298" s="94"/>
      <c r="G298" s="94"/>
      <c r="H298" s="94"/>
      <c r="I298" s="94"/>
      <c r="J298" s="94"/>
      <c r="K298" s="94"/>
      <c r="L298" s="94"/>
      <c r="M298" s="94"/>
      <c r="N298" s="93"/>
    </row>
    <row r="299">
      <c r="A299" s="93" t="s">
        <v>40</v>
      </c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3">
        <f t="shared" ref="N299:N301" si="107">SUM(B299:I299)</f>
        <v>0</v>
      </c>
    </row>
    <row r="300">
      <c r="A300" s="93" t="s">
        <v>117</v>
      </c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3">
        <f t="shared" si="107"/>
        <v>0</v>
      </c>
    </row>
    <row r="301">
      <c r="A301" s="95" t="s">
        <v>118</v>
      </c>
      <c r="B301" s="96">
        <f>B277-B298+B299+B300</f>
        <v>13500</v>
      </c>
      <c r="C301" s="96" t="s">
        <v>119</v>
      </c>
      <c r="D301" s="96">
        <f>D277-D298+D299+D300+(8500*2)</f>
        <v>25500</v>
      </c>
      <c r="E301" s="96">
        <f>E279-E298+E299+E300</f>
        <v>8000</v>
      </c>
      <c r="F301" s="96">
        <f>F291-F298+F299+F300</f>
        <v>7000</v>
      </c>
      <c r="G301" s="96">
        <f>G291-G298+G299+G300+(15000*2)</f>
        <v>45000</v>
      </c>
      <c r="H301" s="96">
        <f>H291-H298+H299+H300</f>
        <v>14000</v>
      </c>
      <c r="I301" s="96" t="s">
        <v>121</v>
      </c>
      <c r="J301" s="96">
        <f>(J299*300)-J298+J300</f>
        <v>0</v>
      </c>
      <c r="K301" s="96"/>
      <c r="L301" s="96"/>
      <c r="M301" s="96"/>
      <c r="N301" s="95">
        <f t="shared" si="107"/>
        <v>113000</v>
      </c>
    </row>
    <row r="302">
      <c r="A302" s="97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5"/>
    </row>
    <row r="303">
      <c r="A303" s="97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5"/>
    </row>
    <row r="304">
      <c r="A304" s="76" t="s">
        <v>0</v>
      </c>
      <c r="B304" s="77" t="s">
        <v>109</v>
      </c>
      <c r="C304" s="78" t="s">
        <v>90</v>
      </c>
      <c r="D304" s="78" t="s">
        <v>3</v>
      </c>
      <c r="E304" s="78" t="s">
        <v>58</v>
      </c>
      <c r="F304" s="78" t="s">
        <v>91</v>
      </c>
      <c r="G304" s="78" t="s">
        <v>6</v>
      </c>
      <c r="H304" s="79" t="s">
        <v>92</v>
      </c>
      <c r="I304" s="79" t="s">
        <v>93</v>
      </c>
      <c r="J304" s="79" t="s">
        <v>122</v>
      </c>
      <c r="K304" s="79"/>
      <c r="L304" s="79"/>
      <c r="M304" s="79"/>
      <c r="N304" s="76" t="s">
        <v>110</v>
      </c>
    </row>
    <row r="305">
      <c r="A305" s="106">
        <v>44593.0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8"/>
    </row>
    <row r="306">
      <c r="A306" s="81" t="s">
        <v>111</v>
      </c>
      <c r="B306" s="82">
        <v>14000.0</v>
      </c>
      <c r="C306" s="82">
        <v>9500.0</v>
      </c>
      <c r="D306" s="82">
        <f>D310/4</f>
        <v>10000</v>
      </c>
      <c r="E306" s="82">
        <v>8000.0</v>
      </c>
      <c r="F306" s="82">
        <v>9000.0</v>
      </c>
      <c r="G306" s="82">
        <v>15000.0</v>
      </c>
      <c r="H306" s="82">
        <v>14000.0</v>
      </c>
      <c r="I306" s="82">
        <v>7000.0</v>
      </c>
      <c r="J306" s="82">
        <v>8000.0</v>
      </c>
      <c r="K306" s="82"/>
      <c r="L306" s="82"/>
      <c r="M306" s="82"/>
      <c r="N306" s="13">
        <f t="shared" ref="N306:N309" si="108">SUM(B306:J306)</f>
        <v>94500</v>
      </c>
    </row>
    <row r="307">
      <c r="A307" s="83"/>
      <c r="B307" s="82">
        <v>14000.0</v>
      </c>
      <c r="C307" s="82">
        <v>9500.0</v>
      </c>
      <c r="D307" s="82">
        <f>D310/4</f>
        <v>10000</v>
      </c>
      <c r="E307" s="82">
        <v>8000.0</v>
      </c>
      <c r="F307" s="82">
        <v>9000.0</v>
      </c>
      <c r="G307" s="82">
        <v>15000.0</v>
      </c>
      <c r="H307" s="82">
        <v>14000.0</v>
      </c>
      <c r="I307" s="82">
        <v>7000.0</v>
      </c>
      <c r="J307" s="82">
        <v>8000.0</v>
      </c>
      <c r="K307" s="82"/>
      <c r="L307" s="82"/>
      <c r="M307" s="82"/>
      <c r="N307" s="13">
        <f t="shared" si="108"/>
        <v>94500</v>
      </c>
    </row>
    <row r="308">
      <c r="A308" s="83"/>
      <c r="B308" s="82">
        <v>14000.0</v>
      </c>
      <c r="C308" s="82">
        <v>9500.0</v>
      </c>
      <c r="D308" s="82">
        <f>D310/4</f>
        <v>10000</v>
      </c>
      <c r="E308" s="82">
        <v>8000.0</v>
      </c>
      <c r="F308" s="82">
        <v>9000.0</v>
      </c>
      <c r="G308" s="82">
        <v>15000.0</v>
      </c>
      <c r="H308" s="82">
        <v>14000.0</v>
      </c>
      <c r="I308" s="82">
        <v>7000.0</v>
      </c>
      <c r="J308" s="82">
        <v>8000.0</v>
      </c>
      <c r="K308" s="82"/>
      <c r="L308" s="82"/>
      <c r="M308" s="82"/>
      <c r="N308" s="13">
        <f t="shared" si="108"/>
        <v>94500</v>
      </c>
    </row>
    <row r="309">
      <c r="A309" s="83"/>
      <c r="B309" s="84">
        <v>14000.0</v>
      </c>
      <c r="C309" s="84">
        <v>9500.0</v>
      </c>
      <c r="D309" s="84">
        <f>D310/4</f>
        <v>10000</v>
      </c>
      <c r="E309" s="84">
        <v>8000.0</v>
      </c>
      <c r="F309" s="84">
        <v>9000.0</v>
      </c>
      <c r="G309" s="84">
        <v>15000.0</v>
      </c>
      <c r="H309" s="84">
        <v>14000.0</v>
      </c>
      <c r="I309" s="84">
        <v>7000.0</v>
      </c>
      <c r="J309" s="84">
        <v>8000.0</v>
      </c>
      <c r="K309" s="84"/>
      <c r="L309" s="84"/>
      <c r="M309" s="84"/>
      <c r="N309" s="19">
        <f t="shared" si="108"/>
        <v>94500</v>
      </c>
    </row>
    <row r="310">
      <c r="A310" s="85" t="s">
        <v>113</v>
      </c>
      <c r="B310" s="86">
        <f t="shared" ref="B310:C310" si="109">SUM(B306:B309)</f>
        <v>56000</v>
      </c>
      <c r="C310" s="86">
        <f t="shared" si="109"/>
        <v>38000</v>
      </c>
      <c r="D310" s="86">
        <v>40000.0</v>
      </c>
      <c r="E310" s="86">
        <f t="shared" ref="E310:I310" si="110">SUM(E306:E309)</f>
        <v>32000</v>
      </c>
      <c r="F310" s="86">
        <f t="shared" si="110"/>
        <v>36000</v>
      </c>
      <c r="G310" s="86">
        <f t="shared" si="110"/>
        <v>60000</v>
      </c>
      <c r="H310" s="86">
        <f t="shared" si="110"/>
        <v>56000</v>
      </c>
      <c r="I310" s="86">
        <f t="shared" si="110"/>
        <v>28000</v>
      </c>
      <c r="J310" s="86"/>
      <c r="K310" s="86"/>
      <c r="L310" s="86"/>
      <c r="M310" s="86"/>
      <c r="N310" s="86">
        <f>SUM(N306:N309)</f>
        <v>378000</v>
      </c>
    </row>
    <row r="311">
      <c r="A311" s="87"/>
      <c r="B311" s="88" t="s">
        <v>114</v>
      </c>
      <c r="C311" s="88" t="s">
        <v>115</v>
      </c>
      <c r="D311" s="88" t="s">
        <v>114</v>
      </c>
      <c r="E311" s="88" t="s">
        <v>115</v>
      </c>
      <c r="F311" s="88" t="s">
        <v>115</v>
      </c>
      <c r="G311" s="88" t="s">
        <v>114</v>
      </c>
      <c r="H311" s="88" t="s">
        <v>114</v>
      </c>
      <c r="I311" s="88" t="s">
        <v>115</v>
      </c>
      <c r="J311" s="89" t="s">
        <v>115</v>
      </c>
      <c r="K311" s="89"/>
      <c r="L311" s="89"/>
      <c r="M311" s="89"/>
      <c r="N311" s="90"/>
    </row>
    <row r="312">
      <c r="A312" s="97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5"/>
    </row>
    <row r="313">
      <c r="A313" s="97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5"/>
    </row>
    <row r="314">
      <c r="A314" s="76" t="s">
        <v>0</v>
      </c>
      <c r="B314" s="77" t="s">
        <v>109</v>
      </c>
      <c r="C314" s="78" t="s">
        <v>90</v>
      </c>
      <c r="D314" s="78" t="s">
        <v>3</v>
      </c>
      <c r="E314" s="78" t="s">
        <v>58</v>
      </c>
      <c r="F314" s="78" t="s">
        <v>91</v>
      </c>
      <c r="G314" s="78" t="s">
        <v>6</v>
      </c>
      <c r="H314" s="79" t="s">
        <v>92</v>
      </c>
      <c r="I314" s="79" t="s">
        <v>93</v>
      </c>
      <c r="J314" s="79" t="s">
        <v>123</v>
      </c>
      <c r="K314" s="79"/>
      <c r="L314" s="79"/>
      <c r="M314" s="79"/>
      <c r="N314" s="76" t="s">
        <v>110</v>
      </c>
    </row>
    <row r="315">
      <c r="A315" s="92" t="s">
        <v>124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8"/>
    </row>
    <row r="316">
      <c r="A316" s="93" t="s">
        <v>116</v>
      </c>
      <c r="B316" s="94"/>
      <c r="C316" s="94"/>
      <c r="D316" s="94">
        <v>1500.0</v>
      </c>
      <c r="E316" s="94"/>
      <c r="F316" s="94"/>
      <c r="G316" s="94"/>
      <c r="H316" s="94"/>
      <c r="I316" s="94"/>
      <c r="J316" s="94"/>
      <c r="K316" s="94"/>
      <c r="L316" s="94"/>
      <c r="M316" s="94"/>
      <c r="N316" s="93"/>
    </row>
    <row r="317">
      <c r="A317" s="93" t="s">
        <v>40</v>
      </c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3">
        <f>SUM(B317:J317)</f>
        <v>0</v>
      </c>
    </row>
    <row r="318">
      <c r="A318" s="93" t="s">
        <v>117</v>
      </c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3">
        <f>SUM(B318:I318)</f>
        <v>0</v>
      </c>
    </row>
    <row r="319">
      <c r="A319" s="95" t="s">
        <v>118</v>
      </c>
      <c r="B319" s="96">
        <v>14000.0</v>
      </c>
      <c r="C319" s="96">
        <f>C306</f>
        <v>9500</v>
      </c>
      <c r="D319" s="96" t="s">
        <v>119</v>
      </c>
      <c r="E319" s="96">
        <f>E306</f>
        <v>8000</v>
      </c>
      <c r="F319" s="96">
        <v>9000.0</v>
      </c>
      <c r="G319" s="96" t="s">
        <v>119</v>
      </c>
      <c r="H319" s="96">
        <v>14000.0</v>
      </c>
      <c r="I319" s="96">
        <v>7000.0</v>
      </c>
      <c r="J319" s="96">
        <v>8000.0</v>
      </c>
      <c r="K319" s="96"/>
      <c r="L319" s="96"/>
      <c r="M319" s="96"/>
      <c r="N319" s="95">
        <f>SUM(B319:J319)</f>
        <v>69500</v>
      </c>
    </row>
    <row r="320">
      <c r="A320" s="97"/>
      <c r="B320" s="98"/>
      <c r="C320" s="99"/>
      <c r="D320" s="99"/>
      <c r="E320" s="100"/>
      <c r="F320" s="100"/>
      <c r="G320" s="100"/>
      <c r="H320" s="99"/>
      <c r="I320" s="99"/>
      <c r="J320" s="99"/>
      <c r="K320" s="99"/>
      <c r="L320" s="99"/>
      <c r="M320" s="99"/>
      <c r="N320" s="99"/>
    </row>
    <row r="321">
      <c r="A321" s="93" t="s">
        <v>116</v>
      </c>
      <c r="B321" s="94">
        <f>149.5+149.5+97.5+97.5+259.43+259.43+200</f>
        <v>1212.86</v>
      </c>
      <c r="C321" s="94"/>
      <c r="D321" s="94">
        <v>1500.0</v>
      </c>
      <c r="E321" s="94"/>
      <c r="F321" s="94"/>
      <c r="G321" s="94"/>
      <c r="H321" s="94"/>
      <c r="I321" s="94"/>
      <c r="J321" s="94"/>
      <c r="K321" s="94"/>
      <c r="L321" s="94"/>
      <c r="M321" s="94"/>
      <c r="N321" s="93"/>
    </row>
    <row r="322">
      <c r="A322" s="93" t="s">
        <v>40</v>
      </c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3">
        <f>SUM(B322:J322)</f>
        <v>0</v>
      </c>
    </row>
    <row r="323">
      <c r="A323" s="93" t="s">
        <v>120</v>
      </c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3">
        <f t="shared" ref="N323:N324" si="112">SUM(B323:I323)</f>
        <v>0</v>
      </c>
    </row>
    <row r="324">
      <c r="A324" s="95" t="s">
        <v>118</v>
      </c>
      <c r="B324" s="96">
        <f>B308-B321</f>
        <v>12787.14</v>
      </c>
      <c r="C324" s="96">
        <f>C308</f>
        <v>9500</v>
      </c>
      <c r="D324" s="96" t="s">
        <v>119</v>
      </c>
      <c r="E324" s="96">
        <f>E306</f>
        <v>8000</v>
      </c>
      <c r="F324" s="96">
        <f>F308</f>
        <v>9000</v>
      </c>
      <c r="G324" s="96" t="s">
        <v>119</v>
      </c>
      <c r="H324" s="96">
        <f t="shared" ref="H324:I324" si="111">H308</f>
        <v>14000</v>
      </c>
      <c r="I324" s="96">
        <f t="shared" si="111"/>
        <v>7000</v>
      </c>
      <c r="J324" s="96"/>
      <c r="K324" s="96"/>
      <c r="L324" s="96"/>
      <c r="M324" s="96"/>
      <c r="N324" s="95">
        <f t="shared" si="112"/>
        <v>60287.14</v>
      </c>
    </row>
    <row r="325">
      <c r="A325" s="101"/>
      <c r="B325" s="102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1"/>
    </row>
    <row r="326">
      <c r="A326" s="93" t="s">
        <v>116</v>
      </c>
      <c r="B326" s="94"/>
      <c r="C326" s="94"/>
      <c r="D326" s="94">
        <v>1500.0</v>
      </c>
      <c r="E326" s="94"/>
      <c r="F326" s="94"/>
      <c r="G326" s="94">
        <v>3000.0</v>
      </c>
      <c r="H326" s="94"/>
      <c r="I326" s="94"/>
      <c r="J326" s="94"/>
      <c r="K326" s="94"/>
      <c r="L326" s="94"/>
      <c r="M326" s="94"/>
      <c r="N326" s="93"/>
    </row>
    <row r="327">
      <c r="A327" s="93" t="s">
        <v>40</v>
      </c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3">
        <f>SUM(B327:J327)</f>
        <v>0</v>
      </c>
    </row>
    <row r="328">
      <c r="A328" s="93" t="s">
        <v>117</v>
      </c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3">
        <f t="shared" ref="N328:N329" si="114">SUM(B328:I328)</f>
        <v>0</v>
      </c>
    </row>
    <row r="329">
      <c r="A329" s="95" t="s">
        <v>118</v>
      </c>
      <c r="B329" s="96">
        <f>B308</f>
        <v>14000</v>
      </c>
      <c r="C329" s="96">
        <f>C309</f>
        <v>9500</v>
      </c>
      <c r="D329" s="96">
        <f>D309-D326</f>
        <v>8500</v>
      </c>
      <c r="E329" s="96">
        <f>E309</f>
        <v>8000</v>
      </c>
      <c r="F329" s="96">
        <f>F319-F326+F327+F328</f>
        <v>9000</v>
      </c>
      <c r="G329" s="96">
        <f>G309-G326</f>
        <v>12000</v>
      </c>
      <c r="H329" s="96">
        <f t="shared" ref="H329:I329" si="113">H319-H326+H327+H328</f>
        <v>14000</v>
      </c>
      <c r="I329" s="96">
        <f t="shared" si="113"/>
        <v>7000</v>
      </c>
      <c r="J329" s="96"/>
      <c r="K329" s="96"/>
      <c r="L329" s="96"/>
      <c r="M329" s="96"/>
      <c r="N329" s="95">
        <f t="shared" si="114"/>
        <v>82000</v>
      </c>
    </row>
    <row r="330">
      <c r="A330" s="97"/>
      <c r="B330" s="98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99"/>
    </row>
    <row r="331">
      <c r="A331" s="93" t="s">
        <v>116</v>
      </c>
      <c r="B331" s="94"/>
      <c r="C331" s="94"/>
      <c r="D331" s="94">
        <v>1500.0</v>
      </c>
      <c r="E331" s="94"/>
      <c r="F331" s="94"/>
      <c r="G331" s="94"/>
      <c r="H331" s="94"/>
      <c r="I331" s="94"/>
      <c r="J331" s="94"/>
      <c r="K331" s="94"/>
      <c r="L331" s="94"/>
      <c r="M331" s="94"/>
      <c r="N331" s="93"/>
    </row>
    <row r="332">
      <c r="A332" s="93" t="s">
        <v>40</v>
      </c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3">
        <f t="shared" ref="N332:N333" si="115">SUM(B332:I332)</f>
        <v>0</v>
      </c>
    </row>
    <row r="333">
      <c r="A333" s="93" t="s">
        <v>117</v>
      </c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3">
        <f t="shared" si="115"/>
        <v>0</v>
      </c>
    </row>
    <row r="334">
      <c r="A334" s="95" t="s">
        <v>118</v>
      </c>
      <c r="B334" s="96">
        <v>14000.0</v>
      </c>
      <c r="C334" s="96">
        <v>9500.0</v>
      </c>
      <c r="D334" s="96">
        <v>8500.0</v>
      </c>
      <c r="E334" s="96">
        <v>8000.0</v>
      </c>
      <c r="F334" s="96">
        <v>18000.0</v>
      </c>
      <c r="G334" s="96">
        <v>15000.0</v>
      </c>
      <c r="H334" s="96">
        <f t="shared" ref="H334:I334" si="116">H324-H331+H332+H333</f>
        <v>14000</v>
      </c>
      <c r="I334" s="96">
        <f t="shared" si="116"/>
        <v>7000</v>
      </c>
      <c r="J334" s="96">
        <v>8000.0</v>
      </c>
      <c r="K334" s="96"/>
      <c r="L334" s="96"/>
      <c r="M334" s="96"/>
      <c r="N334" s="95">
        <f>SUM(B334:J334)</f>
        <v>102000</v>
      </c>
    </row>
    <row r="335">
      <c r="A335" s="97"/>
      <c r="B335" s="98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99"/>
    </row>
    <row r="336">
      <c r="A336" s="97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5"/>
    </row>
    <row r="337">
      <c r="A337" s="76" t="s">
        <v>0</v>
      </c>
      <c r="B337" s="77" t="s">
        <v>109</v>
      </c>
      <c r="C337" s="78" t="s">
        <v>90</v>
      </c>
      <c r="D337" s="78" t="s">
        <v>3</v>
      </c>
      <c r="E337" s="78" t="s">
        <v>58</v>
      </c>
      <c r="F337" s="78" t="s">
        <v>91</v>
      </c>
      <c r="G337" s="78" t="s">
        <v>6</v>
      </c>
      <c r="H337" s="79" t="s">
        <v>92</v>
      </c>
      <c r="I337" s="79" t="s">
        <v>93</v>
      </c>
      <c r="J337" s="79" t="s">
        <v>123</v>
      </c>
      <c r="K337" s="79"/>
      <c r="L337" s="79"/>
      <c r="M337" s="79"/>
      <c r="N337" s="76" t="s">
        <v>110</v>
      </c>
    </row>
    <row r="338">
      <c r="A338" s="106">
        <v>44621.0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8"/>
    </row>
    <row r="339">
      <c r="A339" s="81" t="s">
        <v>111</v>
      </c>
      <c r="B339" s="82">
        <v>14000.0</v>
      </c>
      <c r="C339" s="82">
        <v>9500.0</v>
      </c>
      <c r="D339" s="82">
        <v>14000.0</v>
      </c>
      <c r="E339" s="82">
        <v>8000.0</v>
      </c>
      <c r="F339" s="82">
        <v>9000.0</v>
      </c>
      <c r="G339" s="82">
        <v>15000.0</v>
      </c>
      <c r="H339" s="82">
        <v>16000.0</v>
      </c>
      <c r="I339" s="82">
        <v>7000.0</v>
      </c>
      <c r="J339" s="82">
        <v>8000.0</v>
      </c>
      <c r="K339" s="82"/>
      <c r="L339" s="82"/>
      <c r="M339" s="82"/>
      <c r="N339" s="13">
        <f t="shared" ref="N339:N342" si="117">SUM(B339:J339)</f>
        <v>100500</v>
      </c>
    </row>
    <row r="340">
      <c r="A340" s="83"/>
      <c r="B340" s="82">
        <v>14000.0</v>
      </c>
      <c r="C340" s="82">
        <v>9500.0</v>
      </c>
      <c r="D340" s="82">
        <v>14000.0</v>
      </c>
      <c r="E340" s="82">
        <v>8000.0</v>
      </c>
      <c r="F340" s="82">
        <v>9000.0</v>
      </c>
      <c r="G340" s="82">
        <v>15000.0</v>
      </c>
      <c r="H340" s="82">
        <v>16000.0</v>
      </c>
      <c r="I340" s="82">
        <v>7000.0</v>
      </c>
      <c r="J340" s="82">
        <v>8000.0</v>
      </c>
      <c r="K340" s="82"/>
      <c r="L340" s="82"/>
      <c r="M340" s="82"/>
      <c r="N340" s="13">
        <f t="shared" si="117"/>
        <v>100500</v>
      </c>
    </row>
    <row r="341">
      <c r="A341" s="83"/>
      <c r="B341" s="82">
        <v>14000.0</v>
      </c>
      <c r="C341" s="82">
        <v>9500.0</v>
      </c>
      <c r="D341" s="82">
        <v>14000.0</v>
      </c>
      <c r="E341" s="82">
        <v>8000.0</v>
      </c>
      <c r="F341" s="82">
        <v>9000.0</v>
      </c>
      <c r="G341" s="82">
        <v>15000.0</v>
      </c>
      <c r="H341" s="82">
        <v>16000.0</v>
      </c>
      <c r="I341" s="82">
        <v>7000.0</v>
      </c>
      <c r="J341" s="82">
        <v>8000.0</v>
      </c>
      <c r="K341" s="82"/>
      <c r="L341" s="82"/>
      <c r="M341" s="82"/>
      <c r="N341" s="13">
        <f t="shared" si="117"/>
        <v>100500</v>
      </c>
    </row>
    <row r="342">
      <c r="A342" s="83"/>
      <c r="B342" s="84">
        <v>14000.0</v>
      </c>
      <c r="C342" s="84">
        <v>9500.0</v>
      </c>
      <c r="D342" s="84">
        <v>14000.0</v>
      </c>
      <c r="E342" s="84">
        <v>8000.0</v>
      </c>
      <c r="F342" s="84">
        <v>9000.0</v>
      </c>
      <c r="G342" s="84">
        <v>15000.0</v>
      </c>
      <c r="H342" s="84">
        <v>16000.0</v>
      </c>
      <c r="I342" s="84">
        <v>7000.0</v>
      </c>
      <c r="J342" s="84">
        <v>8000.0</v>
      </c>
      <c r="K342" s="84"/>
      <c r="L342" s="84"/>
      <c r="M342" s="84"/>
      <c r="N342" s="19">
        <f t="shared" si="117"/>
        <v>100500</v>
      </c>
    </row>
    <row r="343">
      <c r="A343" s="85" t="s">
        <v>113</v>
      </c>
      <c r="B343" s="86">
        <f t="shared" ref="B343:I343" si="118">SUM(B339:B342)</f>
        <v>56000</v>
      </c>
      <c r="C343" s="86">
        <f t="shared" si="118"/>
        <v>38000</v>
      </c>
      <c r="D343" s="86">
        <f t="shared" si="118"/>
        <v>56000</v>
      </c>
      <c r="E343" s="86">
        <f t="shared" si="118"/>
        <v>32000</v>
      </c>
      <c r="F343" s="86">
        <f t="shared" si="118"/>
        <v>36000</v>
      </c>
      <c r="G343" s="86">
        <f t="shared" si="118"/>
        <v>60000</v>
      </c>
      <c r="H343" s="86">
        <f t="shared" si="118"/>
        <v>64000</v>
      </c>
      <c r="I343" s="86">
        <f t="shared" si="118"/>
        <v>28000</v>
      </c>
      <c r="J343" s="86"/>
      <c r="K343" s="86"/>
      <c r="L343" s="86"/>
      <c r="M343" s="86"/>
      <c r="N343" s="86">
        <f>SUM(N339:N342)</f>
        <v>402000</v>
      </c>
    </row>
    <row r="344">
      <c r="A344" s="87"/>
      <c r="B344" s="88" t="s">
        <v>114</v>
      </c>
      <c r="C344" s="88" t="s">
        <v>115</v>
      </c>
      <c r="D344" s="88" t="s">
        <v>114</v>
      </c>
      <c r="E344" s="88" t="s">
        <v>115</v>
      </c>
      <c r="F344" s="88" t="s">
        <v>115</v>
      </c>
      <c r="G344" s="88" t="s">
        <v>114</v>
      </c>
      <c r="H344" s="88" t="s">
        <v>114</v>
      </c>
      <c r="I344" s="88" t="s">
        <v>115</v>
      </c>
      <c r="J344" s="89" t="s">
        <v>115</v>
      </c>
      <c r="K344" s="89"/>
      <c r="L344" s="89"/>
      <c r="M344" s="89"/>
      <c r="N344" s="90"/>
    </row>
    <row r="345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</row>
    <row r="346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</row>
    <row r="347">
      <c r="A347" s="76" t="s">
        <v>0</v>
      </c>
      <c r="B347" s="77" t="s">
        <v>109</v>
      </c>
      <c r="C347" s="78" t="s">
        <v>90</v>
      </c>
      <c r="D347" s="78" t="s">
        <v>3</v>
      </c>
      <c r="E347" s="78" t="s">
        <v>58</v>
      </c>
      <c r="F347" s="78" t="s">
        <v>91</v>
      </c>
      <c r="G347" s="78" t="s">
        <v>6</v>
      </c>
      <c r="H347" s="79" t="s">
        <v>92</v>
      </c>
      <c r="I347" s="79" t="s">
        <v>93</v>
      </c>
      <c r="J347" s="79" t="s">
        <v>123</v>
      </c>
      <c r="K347" s="79"/>
      <c r="L347" s="79"/>
      <c r="M347" s="79"/>
      <c r="N347" s="76" t="s">
        <v>110</v>
      </c>
    </row>
    <row r="348">
      <c r="A348" s="92" t="s">
        <v>125</v>
      </c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8"/>
    </row>
    <row r="349">
      <c r="A349" s="93" t="s">
        <v>116</v>
      </c>
      <c r="B349" s="94">
        <v>1460.0</v>
      </c>
      <c r="C349" s="94"/>
      <c r="D349" s="94">
        <v>1500.0</v>
      </c>
      <c r="E349" s="94"/>
      <c r="F349" s="94"/>
      <c r="G349" s="94"/>
      <c r="H349" s="94"/>
      <c r="I349" s="94">
        <v>930.0</v>
      </c>
      <c r="J349" s="94"/>
      <c r="K349" s="94"/>
      <c r="L349" s="94"/>
      <c r="M349" s="94"/>
      <c r="N349" s="93"/>
    </row>
    <row r="350">
      <c r="A350" s="93" t="s">
        <v>40</v>
      </c>
      <c r="B350" s="94"/>
      <c r="C350" s="94"/>
      <c r="D350" s="94">
        <v>2400.0</v>
      </c>
      <c r="E350" s="94">
        <v>170.0</v>
      </c>
      <c r="F350" s="94"/>
      <c r="G350" s="94">
        <v>3750.0</v>
      </c>
      <c r="H350" s="94">
        <v>1600.0</v>
      </c>
      <c r="I350" s="94">
        <v>4500.0</v>
      </c>
      <c r="J350" s="94"/>
      <c r="K350" s="94"/>
      <c r="L350" s="94"/>
      <c r="M350" s="94"/>
      <c r="N350" s="93">
        <f>SUM(B350:J350)</f>
        <v>12420</v>
      </c>
    </row>
    <row r="351">
      <c r="A351" s="93" t="s">
        <v>117</v>
      </c>
      <c r="B351" s="94"/>
      <c r="C351" s="94">
        <v>1600.0</v>
      </c>
      <c r="D351" s="94">
        <v>3500.0</v>
      </c>
      <c r="E351" s="94"/>
      <c r="F351" s="94"/>
      <c r="G351" s="94">
        <v>3750.0</v>
      </c>
      <c r="H351" s="94">
        <v>3200.0</v>
      </c>
      <c r="I351" s="94">
        <v>600.0</v>
      </c>
      <c r="J351" s="94"/>
      <c r="K351" s="94"/>
      <c r="L351" s="94"/>
      <c r="M351" s="94"/>
      <c r="N351" s="93">
        <f>SUM(B351:I351)</f>
        <v>12650</v>
      </c>
    </row>
    <row r="352">
      <c r="A352" s="95" t="s">
        <v>118</v>
      </c>
      <c r="B352" s="96">
        <f>14000-B349</f>
        <v>12540</v>
      </c>
      <c r="C352" s="96">
        <f>C329+C351+C350-C349</f>
        <v>11100</v>
      </c>
      <c r="D352" s="96">
        <f>D342-D349+D350+D351</f>
        <v>18400</v>
      </c>
      <c r="E352" s="96">
        <f>E329+E350</f>
        <v>8170</v>
      </c>
      <c r="F352" s="96" t="s">
        <v>119</v>
      </c>
      <c r="G352" s="96">
        <f>15000+G351+G350</f>
        <v>22500</v>
      </c>
      <c r="H352" s="96">
        <f>H341+H351+H350</f>
        <v>20800</v>
      </c>
      <c r="I352" s="96">
        <f>I350-I349+I351</f>
        <v>4170</v>
      </c>
      <c r="J352" s="96">
        <v>8000.0</v>
      </c>
      <c r="K352" s="96"/>
      <c r="L352" s="96"/>
      <c r="M352" s="96"/>
      <c r="N352" s="95">
        <f>SUM(B352:J352)</f>
        <v>105680</v>
      </c>
    </row>
    <row r="353">
      <c r="A353" s="97"/>
      <c r="B353" s="98"/>
      <c r="C353" s="99"/>
      <c r="D353" s="99"/>
      <c r="E353" s="100"/>
      <c r="F353" s="100"/>
      <c r="G353" s="100"/>
      <c r="H353" s="99"/>
      <c r="I353" s="79" t="s">
        <v>126</v>
      </c>
      <c r="J353" s="99"/>
      <c r="K353" s="99"/>
      <c r="L353" s="99"/>
      <c r="M353" s="99"/>
      <c r="N353" s="99"/>
    </row>
    <row r="354">
      <c r="A354" s="93" t="s">
        <v>116</v>
      </c>
      <c r="B354" s="94" t="s">
        <v>43</v>
      </c>
      <c r="C354" s="94"/>
      <c r="D354" s="94">
        <v>1500.0</v>
      </c>
      <c r="E354" s="94" t="s">
        <v>43</v>
      </c>
      <c r="F354" s="94"/>
      <c r="G354" s="94"/>
      <c r="H354" s="94"/>
      <c r="I354" s="94"/>
      <c r="J354" s="94"/>
      <c r="K354" s="94"/>
      <c r="L354" s="94"/>
      <c r="M354" s="94"/>
      <c r="N354" s="93"/>
    </row>
    <row r="355">
      <c r="A355" s="93" t="s">
        <v>40</v>
      </c>
      <c r="B355" s="94" t="s">
        <v>43</v>
      </c>
      <c r="C355" s="94">
        <f>4*200</f>
        <v>800</v>
      </c>
      <c r="D355" s="94">
        <f>(3+1+4+4)*300</f>
        <v>3600</v>
      </c>
      <c r="E355" s="94" t="s">
        <v>127</v>
      </c>
      <c r="F355" s="94"/>
      <c r="G355" s="94"/>
      <c r="H355" s="94">
        <v>4000.0</v>
      </c>
      <c r="I355" s="94"/>
      <c r="J355" s="94"/>
      <c r="K355" s="94"/>
      <c r="L355" s="94"/>
      <c r="M355" s="94"/>
      <c r="N355" s="93">
        <f>SUM(B355:J355)</f>
        <v>8400</v>
      </c>
    </row>
    <row r="356">
      <c r="A356" s="93" t="s">
        <v>120</v>
      </c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3">
        <f t="shared" ref="N356:N357" si="119">SUM(B356:I356)</f>
        <v>0</v>
      </c>
    </row>
    <row r="357">
      <c r="A357" s="95" t="s">
        <v>118</v>
      </c>
      <c r="B357" s="96" t="s">
        <v>43</v>
      </c>
      <c r="C357" s="96">
        <f>C342+C355</f>
        <v>10300</v>
      </c>
      <c r="D357" s="96">
        <f>D342+D355-D354</f>
        <v>16100</v>
      </c>
      <c r="E357" s="96">
        <v>3333.0</v>
      </c>
      <c r="F357" s="96">
        <f>F341</f>
        <v>9000</v>
      </c>
      <c r="G357" s="96">
        <f>G342</f>
        <v>15000</v>
      </c>
      <c r="H357" s="96">
        <f>16000+4000</f>
        <v>20000</v>
      </c>
      <c r="I357" s="96">
        <v>7000.0</v>
      </c>
      <c r="J357" s="96">
        <v>8000.0</v>
      </c>
      <c r="K357" s="96"/>
      <c r="L357" s="96"/>
      <c r="M357" s="96"/>
      <c r="N357" s="95">
        <f t="shared" si="119"/>
        <v>80733</v>
      </c>
    </row>
    <row r="358">
      <c r="A358" s="101"/>
      <c r="B358" s="102"/>
      <c r="C358" s="103"/>
      <c r="D358" s="103"/>
      <c r="E358" s="78" t="s">
        <v>128</v>
      </c>
      <c r="F358" s="103"/>
      <c r="G358" s="103"/>
      <c r="H358" s="103"/>
      <c r="I358" s="103"/>
      <c r="J358" s="103"/>
      <c r="K358" s="103"/>
      <c r="L358" s="103"/>
      <c r="M358" s="103"/>
      <c r="N358" s="101"/>
    </row>
    <row r="359">
      <c r="A359" s="93" t="s">
        <v>116</v>
      </c>
      <c r="B359" s="94"/>
      <c r="C359" s="94"/>
      <c r="D359" s="94">
        <v>1500.0</v>
      </c>
      <c r="E359" s="94"/>
      <c r="F359" s="94"/>
      <c r="G359" s="94"/>
      <c r="H359" s="94"/>
      <c r="I359" s="94"/>
      <c r="J359" s="94"/>
      <c r="K359" s="94"/>
      <c r="L359" s="94"/>
      <c r="M359" s="94"/>
      <c r="N359" s="93"/>
    </row>
    <row r="360">
      <c r="A360" s="93" t="s">
        <v>40</v>
      </c>
      <c r="B360" s="94"/>
      <c r="C360" s="94"/>
      <c r="D360" s="94">
        <v>1300.0</v>
      </c>
      <c r="E360" s="94"/>
      <c r="F360" s="94"/>
      <c r="G360" s="94"/>
      <c r="H360" s="94">
        <v>800.0</v>
      </c>
      <c r="I360" s="94">
        <v>300.0</v>
      </c>
      <c r="J360" s="94"/>
      <c r="K360" s="94"/>
      <c r="L360" s="94"/>
      <c r="M360" s="94"/>
      <c r="N360" s="93">
        <f>SUM(B360:J360)</f>
        <v>2400</v>
      </c>
    </row>
    <row r="361">
      <c r="A361" s="93" t="s">
        <v>117</v>
      </c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3">
        <f>SUM(B361:I361)</f>
        <v>0</v>
      </c>
    </row>
    <row r="362">
      <c r="A362" s="95" t="s">
        <v>118</v>
      </c>
      <c r="B362" s="96" t="str">
        <f>B331</f>
        <v/>
      </c>
      <c r="C362" s="96">
        <f>C342</f>
        <v>9500</v>
      </c>
      <c r="D362" s="96">
        <f>D342-D359+D360</f>
        <v>13800</v>
      </c>
      <c r="E362" s="96"/>
      <c r="F362" s="96">
        <v>9000.0</v>
      </c>
      <c r="G362" s="96">
        <f>G342</f>
        <v>15000</v>
      </c>
      <c r="H362" s="96">
        <f>H342+H360</f>
        <v>16800</v>
      </c>
      <c r="I362" s="96">
        <f>I357+I360</f>
        <v>7300</v>
      </c>
      <c r="J362" s="96">
        <v>8000.0</v>
      </c>
      <c r="K362" s="96"/>
      <c r="L362" s="96"/>
      <c r="M362" s="96"/>
      <c r="N362" s="95">
        <f>SUM(B362:J362)</f>
        <v>79400</v>
      </c>
    </row>
    <row r="363">
      <c r="A363" s="97"/>
      <c r="B363" s="78" t="s">
        <v>128</v>
      </c>
      <c r="C363" s="100"/>
      <c r="D363" s="100"/>
      <c r="E363" s="78" t="s">
        <v>129</v>
      </c>
      <c r="F363" s="100"/>
      <c r="G363" s="100"/>
      <c r="H363" s="100"/>
      <c r="I363" s="100"/>
      <c r="J363" s="78" t="s">
        <v>130</v>
      </c>
      <c r="K363" s="107"/>
      <c r="L363" s="107"/>
      <c r="M363" s="107"/>
      <c r="N363" s="99"/>
      <c r="O363" s="99"/>
    </row>
    <row r="364">
      <c r="A364" s="93" t="s">
        <v>116</v>
      </c>
      <c r="B364" s="94" t="s">
        <v>43</v>
      </c>
      <c r="C364" s="94"/>
      <c r="D364" s="94">
        <v>1500.0</v>
      </c>
      <c r="E364" s="94"/>
      <c r="F364" s="94"/>
      <c r="G364" s="94"/>
      <c r="H364" s="94"/>
      <c r="I364" s="94"/>
      <c r="J364" s="94"/>
      <c r="K364" s="94"/>
      <c r="L364" s="94"/>
      <c r="M364" s="94"/>
      <c r="N364" s="93"/>
    </row>
    <row r="365">
      <c r="A365" s="93" t="s">
        <v>40</v>
      </c>
      <c r="B365" s="94" t="s">
        <v>131</v>
      </c>
      <c r="C365" s="94">
        <v>400.0</v>
      </c>
      <c r="D365" s="94">
        <v>2400.0</v>
      </c>
      <c r="E365" s="94" t="s">
        <v>132</v>
      </c>
      <c r="F365" s="94"/>
      <c r="G365" s="94"/>
      <c r="H365" s="94"/>
      <c r="I365" s="94"/>
      <c r="J365" s="94"/>
      <c r="K365" s="94"/>
      <c r="L365" s="94"/>
      <c r="M365" s="94"/>
      <c r="N365" s="93">
        <f>SUM(B365:I365)</f>
        <v>2800</v>
      </c>
    </row>
    <row r="366">
      <c r="A366" s="93" t="s">
        <v>117</v>
      </c>
      <c r="B366" s="94" t="s">
        <v>43</v>
      </c>
      <c r="C366" s="94">
        <v>1600.0</v>
      </c>
      <c r="D366" s="94">
        <v>2400.0</v>
      </c>
      <c r="E366" s="94"/>
      <c r="F366" s="94">
        <v>1500.0</v>
      </c>
      <c r="G366" s="94">
        <v>2500.0</v>
      </c>
      <c r="H366" s="94">
        <v>3200.0</v>
      </c>
      <c r="I366" s="94">
        <v>1400.0</v>
      </c>
      <c r="J366" s="94">
        <v>1300.0</v>
      </c>
      <c r="K366" s="94"/>
      <c r="L366" s="94"/>
      <c r="M366" s="94"/>
      <c r="N366" s="93">
        <f t="shared" ref="N366:N367" si="120">SUM(B366:J366)</f>
        <v>13900</v>
      </c>
    </row>
    <row r="367">
      <c r="A367" s="95" t="s">
        <v>118</v>
      </c>
      <c r="B367" s="96">
        <v>5000.0</v>
      </c>
      <c r="C367" s="96">
        <f>9500+C365+C366</f>
        <v>11500</v>
      </c>
      <c r="D367" s="96">
        <f>14000+D365+D366</f>
        <v>18800</v>
      </c>
      <c r="E367" s="96">
        <v>6000.0</v>
      </c>
      <c r="F367" s="96">
        <f>9000+F366</f>
        <v>10500</v>
      </c>
      <c r="G367" s="96">
        <f>15000+G366+G365</f>
        <v>17500</v>
      </c>
      <c r="H367" s="96">
        <f>H342+H366</f>
        <v>19200</v>
      </c>
      <c r="I367" s="96">
        <f>8000+I365+I366</f>
        <v>9400</v>
      </c>
      <c r="J367" s="96">
        <f>J342+J366</f>
        <v>9300</v>
      </c>
      <c r="K367" s="96"/>
      <c r="L367" s="96"/>
      <c r="M367" s="96"/>
      <c r="N367" s="95">
        <f t="shared" si="120"/>
        <v>107200</v>
      </c>
    </row>
    <row r="368">
      <c r="A368" s="97"/>
      <c r="B368" s="78" t="s">
        <v>128</v>
      </c>
      <c r="C368" s="100"/>
      <c r="D368" s="100"/>
      <c r="E368" s="78" t="s">
        <v>129</v>
      </c>
      <c r="F368" s="100"/>
      <c r="G368" s="100"/>
      <c r="H368" s="100"/>
      <c r="I368" s="100"/>
      <c r="J368" s="78" t="s">
        <v>130</v>
      </c>
      <c r="K368" s="107"/>
      <c r="L368" s="107"/>
      <c r="M368" s="107"/>
      <c r="N368" s="99"/>
    </row>
    <row r="369">
      <c r="A369" s="93" t="s">
        <v>116</v>
      </c>
      <c r="B369" s="94"/>
      <c r="C369" s="94"/>
      <c r="D369" s="94">
        <v>1500.0</v>
      </c>
      <c r="E369" s="94"/>
      <c r="F369" s="94"/>
      <c r="G369" s="94"/>
      <c r="H369" s="94"/>
      <c r="I369" s="94"/>
      <c r="J369" s="94"/>
      <c r="K369" s="94"/>
      <c r="L369" s="94"/>
      <c r="M369" s="94"/>
      <c r="N369" s="93"/>
    </row>
    <row r="370">
      <c r="A370" s="93" t="s">
        <v>40</v>
      </c>
      <c r="B370" s="94"/>
      <c r="C370" s="94"/>
      <c r="D370" s="94"/>
      <c r="E370" s="94" t="s">
        <v>132</v>
      </c>
      <c r="F370" s="94"/>
      <c r="G370" s="94"/>
      <c r="H370" s="94"/>
      <c r="I370" s="94"/>
      <c r="J370" s="94"/>
      <c r="K370" s="94"/>
      <c r="L370" s="94"/>
      <c r="M370" s="94"/>
      <c r="N370" s="93">
        <f>SUM(B370:I370)</f>
        <v>0</v>
      </c>
    </row>
    <row r="371">
      <c r="A371" s="93" t="s">
        <v>117</v>
      </c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3">
        <f t="shared" ref="N371:N372" si="121">SUM(B371:J371)</f>
        <v>0</v>
      </c>
    </row>
    <row r="372">
      <c r="A372" s="95" t="s">
        <v>118</v>
      </c>
      <c r="B372" s="96"/>
      <c r="C372" s="96">
        <f>9500+C370+C371</f>
        <v>9500</v>
      </c>
      <c r="D372" s="96">
        <f>14000+D370+D371-D369</f>
        <v>12500</v>
      </c>
      <c r="E372" s="96">
        <v>4000.0</v>
      </c>
      <c r="F372" s="96">
        <f>9000+F371</f>
        <v>9000</v>
      </c>
      <c r="G372" s="96">
        <f>15000+G371+G370</f>
        <v>15000</v>
      </c>
      <c r="H372" s="96">
        <f>H342</f>
        <v>16000</v>
      </c>
      <c r="I372" s="96">
        <f>8000+I370+I371</f>
        <v>8000</v>
      </c>
      <c r="J372" s="96">
        <f>J342</f>
        <v>8000</v>
      </c>
      <c r="K372" s="96"/>
      <c r="L372" s="96"/>
      <c r="M372" s="96"/>
      <c r="N372" s="95">
        <f t="shared" si="121"/>
        <v>82000</v>
      </c>
    </row>
    <row r="375">
      <c r="A375" s="76" t="s">
        <v>0</v>
      </c>
      <c r="B375" s="77" t="s">
        <v>128</v>
      </c>
      <c r="C375" s="78" t="s">
        <v>90</v>
      </c>
      <c r="D375" s="78" t="s">
        <v>3</v>
      </c>
      <c r="E375" s="108" t="s">
        <v>126</v>
      </c>
      <c r="F375" s="78" t="s">
        <v>91</v>
      </c>
      <c r="G375" s="78" t="s">
        <v>6</v>
      </c>
      <c r="H375" s="79" t="s">
        <v>92</v>
      </c>
      <c r="I375" s="79" t="s">
        <v>122</v>
      </c>
      <c r="J375" s="79" t="s">
        <v>123</v>
      </c>
      <c r="K375" s="79" t="s">
        <v>133</v>
      </c>
      <c r="L375" s="79" t="s">
        <v>134</v>
      </c>
      <c r="M375" s="79"/>
      <c r="N375" s="76" t="s">
        <v>110</v>
      </c>
    </row>
    <row r="376">
      <c r="A376" s="106">
        <v>44652.0</v>
      </c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8"/>
    </row>
    <row r="377">
      <c r="A377" s="81" t="s">
        <v>111</v>
      </c>
      <c r="B377" s="82">
        <v>12000.0</v>
      </c>
      <c r="C377" s="82">
        <v>12000.0</v>
      </c>
      <c r="D377" s="82">
        <v>14000.0</v>
      </c>
      <c r="E377" s="82">
        <v>10000.0</v>
      </c>
      <c r="F377" s="82">
        <v>12000.0</v>
      </c>
      <c r="G377" s="82">
        <v>15000.0</v>
      </c>
      <c r="H377" s="82">
        <v>16000.0</v>
      </c>
      <c r="I377" s="82">
        <v>8000.0</v>
      </c>
      <c r="J377" s="82">
        <v>8000.0</v>
      </c>
      <c r="K377" s="82">
        <v>8000.0</v>
      </c>
      <c r="L377" s="82">
        <v>8000.0</v>
      </c>
      <c r="M377" s="82"/>
      <c r="N377" s="13">
        <f t="shared" ref="N377:N380" si="122">SUM(B377:J377)</f>
        <v>107000</v>
      </c>
    </row>
    <row r="378">
      <c r="A378" s="83"/>
      <c r="B378" s="82">
        <v>12000.0</v>
      </c>
      <c r="C378" s="82">
        <v>12000.0</v>
      </c>
      <c r="D378" s="82">
        <v>14000.0</v>
      </c>
      <c r="E378" s="82">
        <v>10000.0</v>
      </c>
      <c r="F378" s="82">
        <v>12000.0</v>
      </c>
      <c r="G378" s="82">
        <v>15000.0</v>
      </c>
      <c r="H378" s="82">
        <v>16000.0</v>
      </c>
      <c r="I378" s="82">
        <v>8000.0</v>
      </c>
      <c r="J378" s="82">
        <v>8000.0</v>
      </c>
      <c r="K378" s="82">
        <v>8000.0</v>
      </c>
      <c r="L378" s="82">
        <v>8000.0</v>
      </c>
      <c r="M378" s="82"/>
      <c r="N378" s="13">
        <f t="shared" si="122"/>
        <v>107000</v>
      </c>
    </row>
    <row r="379">
      <c r="A379" s="83"/>
      <c r="B379" s="82">
        <v>12000.0</v>
      </c>
      <c r="C379" s="82">
        <v>12000.0</v>
      </c>
      <c r="D379" s="82">
        <v>14000.0</v>
      </c>
      <c r="E379" s="82">
        <v>10000.0</v>
      </c>
      <c r="F379" s="82">
        <v>12000.0</v>
      </c>
      <c r="G379" s="82">
        <v>15000.0</v>
      </c>
      <c r="H379" s="82">
        <v>16000.0</v>
      </c>
      <c r="I379" s="82">
        <v>8000.0</v>
      </c>
      <c r="J379" s="82">
        <v>8000.0</v>
      </c>
      <c r="K379" s="82">
        <v>8000.0</v>
      </c>
      <c r="L379" s="82">
        <v>8000.0</v>
      </c>
      <c r="M379" s="82"/>
      <c r="N379" s="13">
        <f t="shared" si="122"/>
        <v>107000</v>
      </c>
    </row>
    <row r="380">
      <c r="A380" s="83"/>
      <c r="B380" s="82">
        <v>12000.0</v>
      </c>
      <c r="C380" s="82">
        <v>12000.0</v>
      </c>
      <c r="D380" s="84">
        <v>14000.0</v>
      </c>
      <c r="E380" s="82">
        <v>10000.0</v>
      </c>
      <c r="F380" s="82">
        <v>12000.0</v>
      </c>
      <c r="G380" s="84">
        <v>15000.0</v>
      </c>
      <c r="H380" s="84">
        <v>16000.0</v>
      </c>
      <c r="I380" s="84">
        <v>8000.0</v>
      </c>
      <c r="J380" s="84">
        <v>8000.0</v>
      </c>
      <c r="K380" s="84">
        <v>8000.0</v>
      </c>
      <c r="L380" s="84">
        <v>8000.0</v>
      </c>
      <c r="M380" s="84"/>
      <c r="N380" s="19">
        <f t="shared" si="122"/>
        <v>107000</v>
      </c>
    </row>
    <row r="381">
      <c r="A381" s="85" t="s">
        <v>113</v>
      </c>
      <c r="B381" s="86">
        <f t="shared" ref="B381:L381" si="123">SUM(B377:B380)</f>
        <v>48000</v>
      </c>
      <c r="C381" s="86">
        <f t="shared" si="123"/>
        <v>48000</v>
      </c>
      <c r="D381" s="86">
        <f t="shared" si="123"/>
        <v>56000</v>
      </c>
      <c r="E381" s="86">
        <f t="shared" si="123"/>
        <v>40000</v>
      </c>
      <c r="F381" s="86">
        <f t="shared" si="123"/>
        <v>48000</v>
      </c>
      <c r="G381" s="86">
        <f t="shared" si="123"/>
        <v>60000</v>
      </c>
      <c r="H381" s="86">
        <f t="shared" si="123"/>
        <v>64000</v>
      </c>
      <c r="I381" s="86">
        <f t="shared" si="123"/>
        <v>32000</v>
      </c>
      <c r="J381" s="86">
        <f t="shared" si="123"/>
        <v>32000</v>
      </c>
      <c r="K381" s="86">
        <f t="shared" si="123"/>
        <v>32000</v>
      </c>
      <c r="L381" s="86">
        <f t="shared" si="123"/>
        <v>32000</v>
      </c>
      <c r="M381" s="86"/>
      <c r="N381" s="86">
        <f>SUM(N377:N380)</f>
        <v>428000</v>
      </c>
    </row>
    <row r="382">
      <c r="A382" s="87"/>
      <c r="B382" s="88" t="s">
        <v>115</v>
      </c>
      <c r="C382" s="88" t="s">
        <v>115</v>
      </c>
      <c r="D382" s="88" t="s">
        <v>114</v>
      </c>
      <c r="E382" s="88" t="s">
        <v>115</v>
      </c>
      <c r="F382" s="88" t="s">
        <v>115</v>
      </c>
      <c r="G382" s="88" t="s">
        <v>114</v>
      </c>
      <c r="H382" s="88" t="s">
        <v>114</v>
      </c>
      <c r="I382" s="88" t="s">
        <v>115</v>
      </c>
      <c r="J382" s="89" t="s">
        <v>115</v>
      </c>
      <c r="K382" s="89"/>
      <c r="L382" s="89"/>
      <c r="M382" s="89"/>
      <c r="N382" s="90"/>
    </row>
    <row r="383">
      <c r="C383" s="72" t="s">
        <v>135</v>
      </c>
    </row>
    <row r="386">
      <c r="A386" s="76" t="s">
        <v>0</v>
      </c>
      <c r="B386" s="77" t="s">
        <v>128</v>
      </c>
      <c r="C386" s="78" t="s">
        <v>90</v>
      </c>
      <c r="D386" s="78" t="s">
        <v>3</v>
      </c>
      <c r="E386" s="108" t="s">
        <v>126</v>
      </c>
      <c r="F386" s="78" t="s">
        <v>91</v>
      </c>
      <c r="G386" s="78" t="s">
        <v>6</v>
      </c>
      <c r="H386" s="79" t="s">
        <v>92</v>
      </c>
      <c r="I386" s="79" t="s">
        <v>122</v>
      </c>
      <c r="J386" s="79" t="s">
        <v>123</v>
      </c>
      <c r="K386" s="79" t="s">
        <v>133</v>
      </c>
      <c r="L386" s="79" t="s">
        <v>136</v>
      </c>
      <c r="M386" s="79"/>
      <c r="N386" s="76" t="s">
        <v>110</v>
      </c>
    </row>
    <row r="387">
      <c r="A387" s="92" t="s">
        <v>137</v>
      </c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8"/>
    </row>
    <row r="388">
      <c r="A388" s="93" t="s">
        <v>116</v>
      </c>
      <c r="B388" s="94"/>
      <c r="C388" s="94"/>
      <c r="D388" s="94">
        <v>1500.0</v>
      </c>
      <c r="E388" s="94"/>
      <c r="F388" s="94"/>
      <c r="G388" s="94"/>
      <c r="H388" s="94"/>
      <c r="I388" s="94"/>
      <c r="J388" s="94"/>
      <c r="K388" s="94"/>
      <c r="L388" s="94"/>
      <c r="M388" s="94"/>
      <c r="N388" s="93"/>
    </row>
    <row r="389">
      <c r="A389" s="93" t="s">
        <v>40</v>
      </c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3">
        <f>SUM(B389:J389)</f>
        <v>0</v>
      </c>
    </row>
    <row r="390">
      <c r="A390" s="93" t="s">
        <v>117</v>
      </c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3">
        <f>SUM(B390:I390)</f>
        <v>0</v>
      </c>
    </row>
    <row r="391">
      <c r="A391" s="95" t="s">
        <v>118</v>
      </c>
      <c r="B391" s="96">
        <v>12000.0</v>
      </c>
      <c r="C391" s="96">
        <v>12000.0</v>
      </c>
      <c r="D391" s="96">
        <f>D377-D388</f>
        <v>12500</v>
      </c>
      <c r="E391" s="96">
        <f t="shared" ref="E391:F391" si="124">E377</f>
        <v>10000</v>
      </c>
      <c r="F391" s="96">
        <f t="shared" si="124"/>
        <v>12000</v>
      </c>
      <c r="G391" s="96">
        <f t="shared" ref="G391:J391" si="125">G380</f>
        <v>15000</v>
      </c>
      <c r="H391" s="96">
        <f t="shared" si="125"/>
        <v>16000</v>
      </c>
      <c r="I391" s="96">
        <f t="shared" si="125"/>
        <v>8000</v>
      </c>
      <c r="J391" s="96">
        <f t="shared" si="125"/>
        <v>8000</v>
      </c>
      <c r="K391" s="96"/>
      <c r="L391" s="96">
        <f>L377</f>
        <v>8000</v>
      </c>
      <c r="M391" s="96"/>
      <c r="N391" s="95">
        <f>SUM(B391:J391)</f>
        <v>105500</v>
      </c>
    </row>
    <row r="392">
      <c r="A392" s="97"/>
      <c r="B392" s="98"/>
      <c r="C392" s="99"/>
      <c r="D392" s="99"/>
      <c r="E392" s="100"/>
      <c r="F392" s="100"/>
      <c r="G392" s="100"/>
      <c r="H392" s="99"/>
      <c r="I392" s="109"/>
      <c r="J392" s="99"/>
      <c r="K392" s="99"/>
      <c r="L392" s="99"/>
      <c r="M392" s="99"/>
      <c r="N392" s="99"/>
    </row>
    <row r="393">
      <c r="A393" s="93" t="s">
        <v>116</v>
      </c>
      <c r="B393" s="94"/>
      <c r="C393" s="94"/>
      <c r="D393" s="94">
        <v>1500.0</v>
      </c>
      <c r="E393" s="94"/>
      <c r="F393" s="94"/>
      <c r="G393" s="94"/>
      <c r="H393" s="94"/>
      <c r="I393" s="94"/>
      <c r="J393" s="94"/>
      <c r="K393" s="94"/>
      <c r="L393" s="94"/>
      <c r="M393" s="94"/>
      <c r="N393" s="93"/>
    </row>
    <row r="394">
      <c r="A394" s="93" t="s">
        <v>40</v>
      </c>
      <c r="B394" s="94">
        <v>1000.0</v>
      </c>
      <c r="C394" s="94">
        <v>1000.0</v>
      </c>
      <c r="D394" s="94">
        <v>1200.0</v>
      </c>
      <c r="E394" s="94">
        <v>800.0</v>
      </c>
      <c r="F394" s="94">
        <v>1000.0</v>
      </c>
      <c r="G394" s="94">
        <v>1200.0</v>
      </c>
      <c r="H394" s="94">
        <v>1600.0</v>
      </c>
      <c r="I394" s="94">
        <v>600.0</v>
      </c>
      <c r="J394" s="94">
        <v>600.0</v>
      </c>
      <c r="K394" s="94">
        <v>600.0</v>
      </c>
      <c r="L394" s="94"/>
      <c r="M394" s="94"/>
      <c r="N394" s="93">
        <f>SUM(B394:K394)</f>
        <v>9600</v>
      </c>
    </row>
    <row r="395">
      <c r="A395" s="93" t="s">
        <v>120</v>
      </c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3">
        <f>SUM(B395:I395)</f>
        <v>0</v>
      </c>
    </row>
    <row r="396">
      <c r="A396" s="95" t="s">
        <v>118</v>
      </c>
      <c r="B396" s="96">
        <f t="shared" ref="B396:C396" si="126">B380+B394</f>
        <v>13000</v>
      </c>
      <c r="C396" s="96">
        <f t="shared" si="126"/>
        <v>13000</v>
      </c>
      <c r="D396" s="96">
        <f>D380-D393+D394</f>
        <v>13700</v>
      </c>
      <c r="E396" s="96">
        <f t="shared" ref="E396:J396" si="127">E380+E394</f>
        <v>10800</v>
      </c>
      <c r="F396" s="96">
        <f t="shared" si="127"/>
        <v>13000</v>
      </c>
      <c r="G396" s="96">
        <f t="shared" si="127"/>
        <v>16200</v>
      </c>
      <c r="H396" s="96">
        <f t="shared" si="127"/>
        <v>17600</v>
      </c>
      <c r="I396" s="96">
        <f t="shared" si="127"/>
        <v>8600</v>
      </c>
      <c r="J396" s="96">
        <f t="shared" si="127"/>
        <v>8600</v>
      </c>
      <c r="K396" s="96">
        <f>8000+K394</f>
        <v>8600</v>
      </c>
      <c r="L396" s="96">
        <f>L378</f>
        <v>8000</v>
      </c>
      <c r="M396" s="96"/>
      <c r="N396" s="95">
        <f>SUM(B396:K396)</f>
        <v>123100</v>
      </c>
    </row>
    <row r="397">
      <c r="A397" s="101"/>
      <c r="B397" s="102"/>
      <c r="C397" s="103"/>
      <c r="D397" s="103"/>
      <c r="E397" s="110"/>
      <c r="F397" s="103"/>
      <c r="G397" s="103"/>
      <c r="H397" s="103"/>
      <c r="I397" s="103"/>
      <c r="J397" s="103"/>
      <c r="K397" s="103"/>
      <c r="L397" s="103"/>
      <c r="M397" s="103"/>
      <c r="N397" s="101"/>
    </row>
    <row r="398">
      <c r="A398" s="93" t="s">
        <v>116</v>
      </c>
      <c r="B398" s="94"/>
      <c r="C398" s="94"/>
      <c r="D398" s="94">
        <v>1500.0</v>
      </c>
      <c r="E398" s="94"/>
      <c r="F398" s="94"/>
      <c r="G398" s="94"/>
      <c r="H398" s="94"/>
      <c r="I398" s="94"/>
      <c r="J398" s="94"/>
      <c r="K398" s="94"/>
      <c r="L398" s="94"/>
      <c r="M398" s="94"/>
      <c r="N398" s="93"/>
    </row>
    <row r="399">
      <c r="A399" s="93" t="s">
        <v>40</v>
      </c>
      <c r="B399" s="94"/>
      <c r="C399" s="94"/>
      <c r="D399" s="94">
        <v>1200.0</v>
      </c>
      <c r="E399" s="94"/>
      <c r="F399" s="94"/>
      <c r="G399" s="94"/>
      <c r="H399" s="94"/>
      <c r="I399" s="94"/>
      <c r="J399" s="94"/>
      <c r="K399" s="94"/>
      <c r="L399" s="94"/>
      <c r="M399" s="94"/>
      <c r="N399" s="93">
        <f>SUM(B399:J399)</f>
        <v>1200</v>
      </c>
    </row>
    <row r="400">
      <c r="A400" s="93" t="s">
        <v>117</v>
      </c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3">
        <f>SUM(B400:I400)</f>
        <v>0</v>
      </c>
    </row>
    <row r="401">
      <c r="A401" s="95" t="s">
        <v>118</v>
      </c>
      <c r="B401" s="96">
        <f t="shared" ref="B401:C401" si="128">B380</f>
        <v>12000</v>
      </c>
      <c r="C401" s="96">
        <f t="shared" si="128"/>
        <v>12000</v>
      </c>
      <c r="D401" s="96">
        <f>D380-D398+D399</f>
        <v>13700</v>
      </c>
      <c r="E401" s="96">
        <f t="shared" ref="E401:G401" si="129">E380</f>
        <v>10000</v>
      </c>
      <c r="F401" s="96">
        <f t="shared" si="129"/>
        <v>12000</v>
      </c>
      <c r="G401" s="96">
        <f t="shared" si="129"/>
        <v>15000</v>
      </c>
      <c r="H401" s="96">
        <f>H379</f>
        <v>16000</v>
      </c>
      <c r="I401" s="96">
        <f>I380</f>
        <v>8000</v>
      </c>
      <c r="J401" s="96">
        <f>I380</f>
        <v>8000</v>
      </c>
      <c r="K401" s="96">
        <f>K378</f>
        <v>8000</v>
      </c>
      <c r="L401" s="96">
        <f>L379</f>
        <v>8000</v>
      </c>
      <c r="M401" s="96"/>
      <c r="N401" s="95">
        <f>SUM(B401:L401)</f>
        <v>122700</v>
      </c>
    </row>
    <row r="402">
      <c r="A402" s="97"/>
      <c r="B402" s="110"/>
      <c r="C402" s="100"/>
      <c r="D402" s="100"/>
      <c r="E402" s="110"/>
      <c r="F402" s="100"/>
      <c r="G402" s="100"/>
      <c r="H402" s="100"/>
      <c r="I402" s="100"/>
      <c r="J402" s="110"/>
      <c r="K402" s="111"/>
      <c r="L402" s="111"/>
      <c r="M402" s="111"/>
      <c r="N402" s="99"/>
    </row>
    <row r="403">
      <c r="A403" s="93" t="s">
        <v>116</v>
      </c>
      <c r="B403" s="94"/>
      <c r="C403" s="94"/>
      <c r="D403" s="94">
        <v>1500.0</v>
      </c>
      <c r="E403" s="94"/>
      <c r="F403" s="94"/>
      <c r="G403" s="94"/>
      <c r="H403" s="94"/>
      <c r="I403" s="94"/>
      <c r="J403" s="94"/>
      <c r="K403" s="94"/>
      <c r="L403" s="94"/>
      <c r="M403" s="94"/>
      <c r="N403" s="93"/>
    </row>
    <row r="404">
      <c r="A404" s="93" t="s">
        <v>40</v>
      </c>
      <c r="B404" s="94">
        <v>1250.0</v>
      </c>
      <c r="C404" s="94">
        <v>1750.0</v>
      </c>
      <c r="D404" s="94">
        <v>2400.0</v>
      </c>
      <c r="E404" s="94"/>
      <c r="F404" s="94"/>
      <c r="G404" s="94"/>
      <c r="H404" s="94"/>
      <c r="I404" s="94"/>
      <c r="J404" s="94"/>
      <c r="K404" s="94"/>
      <c r="L404" s="94"/>
      <c r="M404" s="94"/>
      <c r="N404" s="93">
        <f>SUM(B404:I404)</f>
        <v>5400</v>
      </c>
    </row>
    <row r="405">
      <c r="A405" s="93" t="s">
        <v>117</v>
      </c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3">
        <f>SUM(B405:J405)</f>
        <v>0</v>
      </c>
    </row>
    <row r="406">
      <c r="A406" s="95" t="s">
        <v>118</v>
      </c>
      <c r="B406" s="96">
        <f t="shared" ref="B406:C406" si="130">B380+B404</f>
        <v>13250</v>
      </c>
      <c r="C406" s="96">
        <f t="shared" si="130"/>
        <v>13750</v>
      </c>
      <c r="D406" s="96">
        <f>D380-D403+D404</f>
        <v>14900</v>
      </c>
      <c r="E406" s="96">
        <f t="shared" ref="E406:K406" si="131">E380</f>
        <v>10000</v>
      </c>
      <c r="F406" s="96">
        <f t="shared" si="131"/>
        <v>12000</v>
      </c>
      <c r="G406" s="96">
        <f t="shared" si="131"/>
        <v>15000</v>
      </c>
      <c r="H406" s="96">
        <f t="shared" si="131"/>
        <v>16000</v>
      </c>
      <c r="I406" s="96">
        <f t="shared" si="131"/>
        <v>8000</v>
      </c>
      <c r="J406" s="96">
        <f t="shared" si="131"/>
        <v>8000</v>
      </c>
      <c r="K406" s="96">
        <f t="shared" si="131"/>
        <v>8000</v>
      </c>
      <c r="L406" s="96"/>
      <c r="M406" s="96"/>
      <c r="N406" s="95">
        <f>SUM(B406:K406)</f>
        <v>118900</v>
      </c>
    </row>
    <row r="407">
      <c r="A407" s="97"/>
      <c r="B407" s="110"/>
      <c r="C407" s="100"/>
      <c r="D407" s="100"/>
      <c r="E407" s="110"/>
      <c r="F407" s="100"/>
      <c r="G407" s="100"/>
      <c r="H407" s="100"/>
      <c r="I407" s="100"/>
      <c r="J407" s="110"/>
      <c r="K407" s="111"/>
      <c r="L407" s="111"/>
      <c r="M407" s="111"/>
      <c r="N407" s="99"/>
    </row>
    <row r="408">
      <c r="A408" s="76" t="s">
        <v>0</v>
      </c>
      <c r="B408" s="77" t="s">
        <v>128</v>
      </c>
      <c r="C408" s="78" t="s">
        <v>90</v>
      </c>
      <c r="D408" s="78" t="s">
        <v>3</v>
      </c>
      <c r="E408" s="108" t="s">
        <v>126</v>
      </c>
      <c r="F408" s="78" t="s">
        <v>91</v>
      </c>
      <c r="G408" s="78" t="s">
        <v>6</v>
      </c>
      <c r="H408" s="79" t="s">
        <v>92</v>
      </c>
      <c r="I408" s="79" t="s">
        <v>122</v>
      </c>
      <c r="J408" s="79" t="s">
        <v>123</v>
      </c>
      <c r="K408" s="79" t="s">
        <v>133</v>
      </c>
      <c r="L408" s="79" t="s">
        <v>134</v>
      </c>
      <c r="M408" s="79"/>
      <c r="N408" s="76" t="s">
        <v>110</v>
      </c>
    </row>
    <row r="409">
      <c r="A409" s="106">
        <v>44682.0</v>
      </c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8"/>
    </row>
    <row r="410">
      <c r="A410" s="81" t="s">
        <v>111</v>
      </c>
      <c r="B410" s="82">
        <v>12000.0</v>
      </c>
      <c r="C410" s="82">
        <v>12000.0</v>
      </c>
      <c r="D410" s="82">
        <v>14000.0</v>
      </c>
      <c r="E410" s="82">
        <v>10000.0</v>
      </c>
      <c r="F410" s="82">
        <v>12000.0</v>
      </c>
      <c r="G410" s="82">
        <v>15000.0</v>
      </c>
      <c r="H410" s="82">
        <v>16000.0</v>
      </c>
      <c r="I410" s="82">
        <v>8000.0</v>
      </c>
      <c r="J410" s="82">
        <v>8000.0</v>
      </c>
      <c r="K410" s="82">
        <v>8000.0</v>
      </c>
      <c r="L410" s="82">
        <v>8000.0</v>
      </c>
      <c r="M410" s="82"/>
      <c r="N410" s="13">
        <f t="shared" ref="N410:N413" si="132">SUM(B410:J410)</f>
        <v>107000</v>
      </c>
    </row>
    <row r="411">
      <c r="A411" s="83"/>
      <c r="B411" s="82">
        <v>12000.0</v>
      </c>
      <c r="C411" s="82">
        <v>12000.0</v>
      </c>
      <c r="D411" s="82">
        <v>14000.0</v>
      </c>
      <c r="E411" s="82">
        <v>10000.0</v>
      </c>
      <c r="F411" s="82">
        <v>12000.0</v>
      </c>
      <c r="G411" s="82">
        <v>15000.0</v>
      </c>
      <c r="H411" s="82">
        <v>16000.0</v>
      </c>
      <c r="I411" s="82">
        <v>8000.0</v>
      </c>
      <c r="J411" s="82">
        <v>8000.0</v>
      </c>
      <c r="K411" s="82">
        <v>8000.0</v>
      </c>
      <c r="L411" s="82">
        <v>8000.0</v>
      </c>
      <c r="M411" s="82"/>
      <c r="N411" s="13">
        <f t="shared" si="132"/>
        <v>107000</v>
      </c>
    </row>
    <row r="412">
      <c r="A412" s="83"/>
      <c r="B412" s="82">
        <v>12000.0</v>
      </c>
      <c r="C412" s="82">
        <v>14000.0</v>
      </c>
      <c r="D412" s="82">
        <v>15000.0</v>
      </c>
      <c r="E412" s="82">
        <v>10000.0</v>
      </c>
      <c r="F412" s="82">
        <v>12000.0</v>
      </c>
      <c r="G412" s="82">
        <v>15000.0</v>
      </c>
      <c r="H412" s="82">
        <v>16000.0</v>
      </c>
      <c r="I412" s="82">
        <v>8000.0</v>
      </c>
      <c r="J412" s="82">
        <v>8000.0</v>
      </c>
      <c r="K412" s="82">
        <v>8000.0</v>
      </c>
      <c r="L412" s="82">
        <v>8000.0</v>
      </c>
      <c r="M412" s="82"/>
      <c r="N412" s="13">
        <f t="shared" si="132"/>
        <v>110000</v>
      </c>
    </row>
    <row r="413">
      <c r="A413" s="83"/>
      <c r="B413" s="82">
        <v>12000.0</v>
      </c>
      <c r="C413" s="82">
        <v>14000.0</v>
      </c>
      <c r="D413" s="84">
        <v>15000.0</v>
      </c>
      <c r="E413" s="82">
        <v>10000.0</v>
      </c>
      <c r="F413" s="82">
        <v>12000.0</v>
      </c>
      <c r="G413" s="84">
        <v>15000.0</v>
      </c>
      <c r="H413" s="84">
        <v>16000.0</v>
      </c>
      <c r="I413" s="84">
        <v>8000.0</v>
      </c>
      <c r="J413" s="84">
        <v>8000.0</v>
      </c>
      <c r="K413" s="84">
        <v>8000.0</v>
      </c>
      <c r="L413" s="84">
        <v>8000.0</v>
      </c>
      <c r="M413" s="84"/>
      <c r="N413" s="19">
        <f t="shared" si="132"/>
        <v>110000</v>
      </c>
    </row>
    <row r="414">
      <c r="A414" s="85" t="s">
        <v>113</v>
      </c>
      <c r="B414" s="86">
        <f t="shared" ref="B414:L414" si="133">SUM(B410:B413)</f>
        <v>48000</v>
      </c>
      <c r="C414" s="86">
        <f t="shared" si="133"/>
        <v>52000</v>
      </c>
      <c r="D414" s="86">
        <f t="shared" si="133"/>
        <v>58000</v>
      </c>
      <c r="E414" s="86">
        <f t="shared" si="133"/>
        <v>40000</v>
      </c>
      <c r="F414" s="86">
        <f t="shared" si="133"/>
        <v>48000</v>
      </c>
      <c r="G414" s="86">
        <f t="shared" si="133"/>
        <v>60000</v>
      </c>
      <c r="H414" s="86">
        <f t="shared" si="133"/>
        <v>64000</v>
      </c>
      <c r="I414" s="86">
        <f t="shared" si="133"/>
        <v>32000</v>
      </c>
      <c r="J414" s="86">
        <f t="shared" si="133"/>
        <v>32000</v>
      </c>
      <c r="K414" s="86">
        <f t="shared" si="133"/>
        <v>32000</v>
      </c>
      <c r="L414" s="86">
        <f t="shared" si="133"/>
        <v>32000</v>
      </c>
      <c r="M414" s="86"/>
      <c r="N414" s="86">
        <f>SUM(N410:N413)</f>
        <v>434000</v>
      </c>
    </row>
    <row r="415">
      <c r="A415" s="87"/>
      <c r="B415" s="88" t="s">
        <v>115</v>
      </c>
      <c r="C415" s="88" t="s">
        <v>115</v>
      </c>
      <c r="D415" s="88" t="s">
        <v>114</v>
      </c>
      <c r="E415" s="88" t="s">
        <v>115</v>
      </c>
      <c r="F415" s="88" t="s">
        <v>115</v>
      </c>
      <c r="G415" s="88" t="s">
        <v>114</v>
      </c>
      <c r="H415" s="88" t="s">
        <v>114</v>
      </c>
      <c r="I415" s="88" t="s">
        <v>115</v>
      </c>
      <c r="J415" s="89" t="s">
        <v>115</v>
      </c>
      <c r="K415" s="89"/>
      <c r="L415" s="89"/>
      <c r="M415" s="89"/>
      <c r="N415" s="90"/>
    </row>
    <row r="416">
      <c r="C416" s="72" t="s">
        <v>135</v>
      </c>
    </row>
    <row r="417">
      <c r="A417" s="112" t="s">
        <v>138</v>
      </c>
      <c r="B417" s="112">
        <f t="shared" ref="B417:L417" si="134">B413/6/8</f>
        <v>250</v>
      </c>
      <c r="C417" s="112">
        <f t="shared" si="134"/>
        <v>291.6666667</v>
      </c>
      <c r="D417" s="112">
        <f t="shared" si="134"/>
        <v>312.5</v>
      </c>
      <c r="E417" s="112">
        <f t="shared" si="134"/>
        <v>208.3333333</v>
      </c>
      <c r="F417" s="112">
        <f t="shared" si="134"/>
        <v>250</v>
      </c>
      <c r="G417" s="112">
        <f t="shared" si="134"/>
        <v>312.5</v>
      </c>
      <c r="H417" s="112">
        <f t="shared" si="134"/>
        <v>333.3333333</v>
      </c>
      <c r="I417" s="112">
        <f t="shared" si="134"/>
        <v>166.6666667</v>
      </c>
      <c r="J417" s="112">
        <f t="shared" si="134"/>
        <v>166.6666667</v>
      </c>
      <c r="K417" s="112">
        <f t="shared" si="134"/>
        <v>166.6666667</v>
      </c>
      <c r="L417" s="113">
        <f t="shared" si="134"/>
        <v>166.6666667</v>
      </c>
      <c r="M417" s="114"/>
    </row>
    <row r="419">
      <c r="A419" s="76" t="s">
        <v>0</v>
      </c>
      <c r="B419" s="77" t="s">
        <v>128</v>
      </c>
      <c r="C419" s="78" t="s">
        <v>90</v>
      </c>
      <c r="D419" s="78" t="s">
        <v>3</v>
      </c>
      <c r="E419" s="108" t="s">
        <v>126</v>
      </c>
      <c r="F419" s="78" t="s">
        <v>91</v>
      </c>
      <c r="G419" s="78" t="s">
        <v>6</v>
      </c>
      <c r="H419" s="79" t="s">
        <v>92</v>
      </c>
      <c r="I419" s="79" t="s">
        <v>122</v>
      </c>
      <c r="J419" s="79" t="s">
        <v>123</v>
      </c>
      <c r="K419" s="79" t="s">
        <v>133</v>
      </c>
      <c r="L419" s="79" t="s">
        <v>134</v>
      </c>
      <c r="M419" s="79"/>
      <c r="N419" s="76" t="s">
        <v>110</v>
      </c>
    </row>
    <row r="420">
      <c r="A420" s="92" t="s">
        <v>44</v>
      </c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8"/>
    </row>
    <row r="421">
      <c r="A421" s="93" t="s">
        <v>116</v>
      </c>
      <c r="B421" s="94"/>
      <c r="C421" s="94"/>
      <c r="D421" s="94">
        <v>1500.0</v>
      </c>
      <c r="E421" s="94"/>
      <c r="F421" s="94"/>
      <c r="G421" s="94"/>
      <c r="H421" s="94"/>
      <c r="I421" s="94"/>
      <c r="J421" s="94"/>
      <c r="K421" s="94"/>
      <c r="L421" s="94"/>
      <c r="M421" s="94"/>
      <c r="N421" s="93"/>
    </row>
    <row r="422">
      <c r="A422" s="93" t="s">
        <v>40</v>
      </c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3">
        <f>SUM(B422:J422)</f>
        <v>0</v>
      </c>
    </row>
    <row r="423">
      <c r="A423" s="93" t="s">
        <v>117</v>
      </c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3">
        <f>SUM(B423:I423)</f>
        <v>0</v>
      </c>
    </row>
    <row r="424">
      <c r="A424" s="95" t="s">
        <v>118</v>
      </c>
      <c r="B424" s="96">
        <v>12000.0</v>
      </c>
      <c r="C424" s="96">
        <v>12000.0</v>
      </c>
      <c r="D424" s="96">
        <f>D410-D421</f>
        <v>12500</v>
      </c>
      <c r="E424" s="96">
        <f t="shared" ref="E424:F424" si="135">E410</f>
        <v>10000</v>
      </c>
      <c r="F424" s="96">
        <f t="shared" si="135"/>
        <v>12000</v>
      </c>
      <c r="G424" s="96">
        <f t="shared" ref="G424:J424" si="136">G413</f>
        <v>15000</v>
      </c>
      <c r="H424" s="96">
        <f t="shared" si="136"/>
        <v>16000</v>
      </c>
      <c r="I424" s="96">
        <f t="shared" si="136"/>
        <v>8000</v>
      </c>
      <c r="J424" s="96">
        <f t="shared" si="136"/>
        <v>8000</v>
      </c>
      <c r="K424" s="96"/>
      <c r="L424" s="96">
        <v>8000.0</v>
      </c>
      <c r="M424" s="96"/>
      <c r="N424" s="95">
        <f>SUM(B424:J424)</f>
        <v>105500</v>
      </c>
    </row>
    <row r="425">
      <c r="A425" s="97"/>
      <c r="B425" s="98"/>
      <c r="C425" s="99"/>
      <c r="D425" s="99"/>
      <c r="E425" s="100"/>
      <c r="F425" s="100"/>
      <c r="G425" s="100"/>
      <c r="H425" s="99"/>
      <c r="I425" s="109"/>
      <c r="J425" s="99"/>
      <c r="K425" s="99"/>
      <c r="L425" s="99"/>
      <c r="M425" s="99"/>
      <c r="N425" s="99"/>
    </row>
    <row r="426">
      <c r="A426" s="93" t="s">
        <v>116</v>
      </c>
      <c r="B426" s="94"/>
      <c r="C426" s="94"/>
      <c r="D426" s="94">
        <v>1500.0</v>
      </c>
      <c r="E426" s="94"/>
      <c r="F426" s="94"/>
      <c r="G426" s="94"/>
      <c r="H426" s="94"/>
      <c r="I426" s="94"/>
      <c r="J426" s="94"/>
      <c r="K426" s="94"/>
      <c r="L426" s="94"/>
      <c r="M426" s="94"/>
      <c r="N426" s="93"/>
    </row>
    <row r="427">
      <c r="A427" s="93" t="s">
        <v>40</v>
      </c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3">
        <f>SUM(B427:K427)</f>
        <v>0</v>
      </c>
    </row>
    <row r="428">
      <c r="A428" s="93" t="s">
        <v>120</v>
      </c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3">
        <f>SUM(B428:I428)</f>
        <v>0</v>
      </c>
    </row>
    <row r="429">
      <c r="A429" s="95" t="s">
        <v>118</v>
      </c>
      <c r="B429" s="96">
        <f t="shared" ref="B429:C429" si="137">B413+B427</f>
        <v>12000</v>
      </c>
      <c r="C429" s="96">
        <f t="shared" si="137"/>
        <v>14000</v>
      </c>
      <c r="D429" s="96">
        <f>D413-D426+D427</f>
        <v>13500</v>
      </c>
      <c r="E429" s="96">
        <f t="shared" ref="E429:J429" si="138">E413+E427</f>
        <v>10000</v>
      </c>
      <c r="F429" s="96">
        <f t="shared" si="138"/>
        <v>12000</v>
      </c>
      <c r="G429" s="96">
        <f t="shared" si="138"/>
        <v>15000</v>
      </c>
      <c r="H429" s="96">
        <f t="shared" si="138"/>
        <v>16000</v>
      </c>
      <c r="I429" s="96">
        <f t="shared" si="138"/>
        <v>8000</v>
      </c>
      <c r="J429" s="96">
        <f t="shared" si="138"/>
        <v>8000</v>
      </c>
      <c r="K429" s="96">
        <f>8000+K427</f>
        <v>8000</v>
      </c>
      <c r="L429" s="96">
        <v>8000.0</v>
      </c>
      <c r="M429" s="96"/>
      <c r="N429" s="95">
        <f>SUM(B429:L429)</f>
        <v>124500</v>
      </c>
    </row>
    <row r="430">
      <c r="A430" s="101"/>
      <c r="B430" s="102"/>
      <c r="C430" s="103"/>
      <c r="D430" s="103"/>
      <c r="E430" s="110"/>
      <c r="F430" s="103"/>
      <c r="G430" s="103"/>
      <c r="H430" s="103"/>
      <c r="I430" s="103"/>
      <c r="J430" s="103"/>
      <c r="K430" s="103"/>
      <c r="L430" s="103"/>
      <c r="M430" s="103"/>
      <c r="N430" s="101"/>
    </row>
    <row r="431">
      <c r="A431" s="93" t="s">
        <v>116</v>
      </c>
      <c r="B431" s="94"/>
      <c r="C431" s="94"/>
      <c r="D431" s="94">
        <v>1500.0</v>
      </c>
      <c r="E431" s="94"/>
      <c r="F431" s="94"/>
      <c r="G431" s="94"/>
      <c r="H431" s="94"/>
      <c r="I431" s="94"/>
      <c r="J431" s="94"/>
      <c r="K431" s="94"/>
      <c r="L431" s="94"/>
      <c r="M431" s="94"/>
      <c r="N431" s="93"/>
    </row>
    <row r="432">
      <c r="A432" s="93" t="s">
        <v>40</v>
      </c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3">
        <f>SUM(B432:J432)</f>
        <v>0</v>
      </c>
    </row>
    <row r="433">
      <c r="A433" s="93" t="s">
        <v>117</v>
      </c>
      <c r="B433" s="94">
        <v>2000.0</v>
      </c>
      <c r="C433" s="94"/>
      <c r="D433" s="94">
        <v>2500.0</v>
      </c>
      <c r="E433" s="94">
        <v>1700.0</v>
      </c>
      <c r="F433" s="94">
        <v>2000.0</v>
      </c>
      <c r="G433" s="94">
        <v>2500.0</v>
      </c>
      <c r="H433" s="94">
        <v>2700.0</v>
      </c>
      <c r="I433" s="94">
        <v>1400.0</v>
      </c>
      <c r="J433" s="94"/>
      <c r="K433" s="94">
        <v>700.0</v>
      </c>
      <c r="L433" s="94"/>
      <c r="M433" s="94"/>
      <c r="N433" s="93">
        <f>SUM(B433:I433)</f>
        <v>14800</v>
      </c>
    </row>
    <row r="434">
      <c r="A434" s="95" t="s">
        <v>118</v>
      </c>
      <c r="B434" s="96">
        <f>B413+B433</f>
        <v>14000</v>
      </c>
      <c r="C434" s="96">
        <f>C413</f>
        <v>14000</v>
      </c>
      <c r="D434" s="96">
        <f>D412-D431+D432+D433</f>
        <v>16000</v>
      </c>
      <c r="E434" s="96">
        <f t="shared" ref="E434:F434" si="139">E413+E433</f>
        <v>11700</v>
      </c>
      <c r="F434" s="96">
        <f t="shared" si="139"/>
        <v>14000</v>
      </c>
      <c r="G434" s="96">
        <f>G413+G432+G433</f>
        <v>17500</v>
      </c>
      <c r="H434" s="96">
        <f>H412+H433</f>
        <v>18700</v>
      </c>
      <c r="I434" s="96">
        <f>I413+I433</f>
        <v>9400</v>
      </c>
      <c r="J434" s="96">
        <f>I413</f>
        <v>8000</v>
      </c>
      <c r="K434" s="96">
        <f>K411+K433</f>
        <v>8700</v>
      </c>
      <c r="L434" s="96">
        <v>8000.0</v>
      </c>
      <c r="M434" s="96"/>
      <c r="N434" s="95">
        <f>SUM(B434:L434)</f>
        <v>140000</v>
      </c>
    </row>
    <row r="435">
      <c r="A435" s="97"/>
      <c r="B435" s="110"/>
      <c r="C435" s="100"/>
      <c r="D435" s="100"/>
      <c r="E435" s="110"/>
      <c r="F435" s="100"/>
      <c r="G435" s="100"/>
      <c r="H435" s="100"/>
      <c r="I435" s="100"/>
      <c r="J435" s="110"/>
      <c r="K435" s="111"/>
      <c r="L435" s="111"/>
      <c r="M435" s="111"/>
      <c r="N435" s="99"/>
    </row>
    <row r="436">
      <c r="A436" s="93" t="s">
        <v>116</v>
      </c>
      <c r="B436" s="94"/>
      <c r="C436" s="94"/>
      <c r="D436" s="94">
        <v>1500.0</v>
      </c>
      <c r="E436" s="94"/>
      <c r="F436" s="94"/>
      <c r="G436" s="94"/>
      <c r="H436" s="94"/>
      <c r="I436" s="94"/>
      <c r="J436" s="94"/>
      <c r="K436" s="94"/>
      <c r="L436" s="94"/>
      <c r="M436" s="94"/>
      <c r="N436" s="93"/>
    </row>
    <row r="437">
      <c r="A437" s="93" t="s">
        <v>40</v>
      </c>
      <c r="B437" s="94">
        <f>B417*6</f>
        <v>1500</v>
      </c>
      <c r="C437" s="94"/>
      <c r="D437" s="94">
        <f>3*D417</f>
        <v>937.5</v>
      </c>
      <c r="E437" s="94"/>
      <c r="F437" s="94"/>
      <c r="G437" s="94"/>
      <c r="H437" s="94"/>
      <c r="I437" s="94"/>
      <c r="J437" s="94"/>
      <c r="K437" s="94"/>
      <c r="L437" s="94"/>
      <c r="M437" s="94"/>
      <c r="N437" s="93">
        <f>SUM(B437:I437)</f>
        <v>2437.5</v>
      </c>
    </row>
    <row r="438">
      <c r="A438" s="93" t="s">
        <v>117</v>
      </c>
      <c r="B438" s="94">
        <f t="shared" ref="B438:D438" si="140">B417*8</f>
        <v>2000</v>
      </c>
      <c r="C438" s="94">
        <f t="shared" si="140"/>
        <v>2333.333333</v>
      </c>
      <c r="D438" s="94">
        <f t="shared" si="140"/>
        <v>2500</v>
      </c>
      <c r="E438" s="94"/>
      <c r="F438" s="94"/>
      <c r="G438" s="94">
        <f>G417*8</f>
        <v>2500</v>
      </c>
      <c r="H438" s="94"/>
      <c r="I438" s="94"/>
      <c r="J438" s="94">
        <f>J417*8</f>
        <v>1333.333333</v>
      </c>
      <c r="K438" s="94">
        <f>K417*4</f>
        <v>666.6666667</v>
      </c>
      <c r="L438" s="94"/>
      <c r="M438" s="94"/>
      <c r="N438" s="93">
        <f>SUM(B438:J438)</f>
        <v>10666.66667</v>
      </c>
    </row>
    <row r="439">
      <c r="A439" s="95" t="s">
        <v>118</v>
      </c>
      <c r="B439" s="96">
        <f t="shared" ref="B439:C439" si="141">B413+B437+B438</f>
        <v>15500</v>
      </c>
      <c r="C439" s="96">
        <f t="shared" si="141"/>
        <v>16333.33333</v>
      </c>
      <c r="D439" s="96">
        <f>D413+D436+D437</f>
        <v>17437.5</v>
      </c>
      <c r="E439" s="96">
        <f t="shared" ref="E439:F439" si="142">E413</f>
        <v>10000</v>
      </c>
      <c r="F439" s="96">
        <f t="shared" si="142"/>
        <v>12000</v>
      </c>
      <c r="G439" s="96">
        <f>G413+G437+G438</f>
        <v>17500</v>
      </c>
      <c r="H439" s="96">
        <f t="shared" ref="H439:I439" si="143">H413</f>
        <v>16000</v>
      </c>
      <c r="I439" s="96">
        <f t="shared" si="143"/>
        <v>8000</v>
      </c>
      <c r="J439" s="96">
        <f t="shared" ref="J439:K439" si="144">J413+J438</f>
        <v>9333.333333</v>
      </c>
      <c r="K439" s="96">
        <f t="shared" si="144"/>
        <v>8666.666667</v>
      </c>
      <c r="L439" s="96">
        <f>8000+L438+L437</f>
        <v>8000</v>
      </c>
      <c r="M439" s="96"/>
      <c r="N439" s="95">
        <f>SUM(B439:K439)</f>
        <v>130770.8333</v>
      </c>
    </row>
    <row r="442">
      <c r="A442" s="76" t="s">
        <v>0</v>
      </c>
      <c r="B442" s="77" t="s">
        <v>128</v>
      </c>
      <c r="C442" s="78" t="s">
        <v>90</v>
      </c>
      <c r="D442" s="78" t="s">
        <v>3</v>
      </c>
      <c r="E442" s="108" t="s">
        <v>126</v>
      </c>
      <c r="F442" s="78" t="s">
        <v>91</v>
      </c>
      <c r="G442" s="78" t="s">
        <v>6</v>
      </c>
      <c r="H442" s="79" t="s">
        <v>92</v>
      </c>
      <c r="I442" s="79" t="s">
        <v>122</v>
      </c>
      <c r="J442" s="79" t="s">
        <v>123</v>
      </c>
      <c r="K442" s="79" t="s">
        <v>133</v>
      </c>
      <c r="L442" s="79" t="s">
        <v>136</v>
      </c>
      <c r="M442" s="79" t="s">
        <v>109</v>
      </c>
      <c r="N442" s="76" t="s">
        <v>110</v>
      </c>
    </row>
    <row r="443">
      <c r="A443" s="106">
        <v>44713.0</v>
      </c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8"/>
    </row>
    <row r="444">
      <c r="A444" s="81" t="s">
        <v>111</v>
      </c>
      <c r="B444" s="82">
        <v>12000.0</v>
      </c>
      <c r="C444" s="82">
        <v>12000.0</v>
      </c>
      <c r="D444" s="82">
        <v>15000.0</v>
      </c>
      <c r="E444" s="82">
        <v>10000.0</v>
      </c>
      <c r="F444" s="82">
        <v>12000.0</v>
      </c>
      <c r="G444" s="82">
        <v>15000.0</v>
      </c>
      <c r="H444" s="82">
        <v>16000.0</v>
      </c>
      <c r="I444" s="82">
        <v>8000.0</v>
      </c>
      <c r="J444" s="82">
        <v>8000.0</v>
      </c>
      <c r="K444" s="82">
        <v>8000.0</v>
      </c>
      <c r="L444" s="82">
        <v>8000.0</v>
      </c>
      <c r="M444" s="82"/>
      <c r="N444" s="13">
        <f t="shared" ref="N444:N447" si="145">SUM(B444:J444)</f>
        <v>108000</v>
      </c>
    </row>
    <row r="445">
      <c r="A445" s="83"/>
      <c r="B445" s="82">
        <v>12000.0</v>
      </c>
      <c r="C445" s="82">
        <v>12000.0</v>
      </c>
      <c r="D445" s="82">
        <v>15000.0</v>
      </c>
      <c r="E445" s="82">
        <v>10000.0</v>
      </c>
      <c r="F445" s="82">
        <v>12000.0</v>
      </c>
      <c r="G445" s="82">
        <v>15000.0</v>
      </c>
      <c r="H445" s="82">
        <v>16000.0</v>
      </c>
      <c r="I445" s="82">
        <v>8000.0</v>
      </c>
      <c r="J445" s="82">
        <v>8000.0</v>
      </c>
      <c r="K445" s="82">
        <v>8000.0</v>
      </c>
      <c r="L445" s="82">
        <v>8000.0</v>
      </c>
      <c r="M445" s="82"/>
      <c r="N445" s="13">
        <f t="shared" si="145"/>
        <v>108000</v>
      </c>
    </row>
    <row r="446">
      <c r="A446" s="83"/>
      <c r="B446" s="82">
        <v>12000.0</v>
      </c>
      <c r="C446" s="82">
        <v>14000.0</v>
      </c>
      <c r="D446" s="82">
        <v>15000.0</v>
      </c>
      <c r="E446" s="82">
        <v>10000.0</v>
      </c>
      <c r="F446" s="82">
        <v>12000.0</v>
      </c>
      <c r="G446" s="82">
        <v>15000.0</v>
      </c>
      <c r="H446" s="82">
        <v>16000.0</v>
      </c>
      <c r="I446" s="82">
        <v>8000.0</v>
      </c>
      <c r="J446" s="82">
        <v>8000.0</v>
      </c>
      <c r="K446" s="82">
        <v>8000.0</v>
      </c>
      <c r="L446" s="82">
        <v>8000.0</v>
      </c>
      <c r="M446" s="82"/>
      <c r="N446" s="13">
        <f t="shared" si="145"/>
        <v>110000</v>
      </c>
    </row>
    <row r="447">
      <c r="A447" s="83"/>
      <c r="B447" s="82">
        <v>12000.0</v>
      </c>
      <c r="C447" s="82">
        <v>14000.0</v>
      </c>
      <c r="D447" s="84">
        <v>15000.0</v>
      </c>
      <c r="E447" s="82">
        <v>10000.0</v>
      </c>
      <c r="F447" s="82">
        <v>12000.0</v>
      </c>
      <c r="G447" s="84">
        <v>15000.0</v>
      </c>
      <c r="H447" s="84">
        <v>16000.0</v>
      </c>
      <c r="I447" s="84">
        <v>8000.0</v>
      </c>
      <c r="J447" s="84">
        <v>8000.0</v>
      </c>
      <c r="K447" s="84">
        <v>8000.0</v>
      </c>
      <c r="L447" s="84">
        <v>8000.0</v>
      </c>
      <c r="M447" s="84"/>
      <c r="N447" s="19">
        <f t="shared" si="145"/>
        <v>110000</v>
      </c>
    </row>
    <row r="448">
      <c r="A448" s="85" t="s">
        <v>113</v>
      </c>
      <c r="B448" s="86">
        <f t="shared" ref="B448:L448" si="146">SUM(B444:B447)</f>
        <v>48000</v>
      </c>
      <c r="C448" s="86">
        <f t="shared" si="146"/>
        <v>52000</v>
      </c>
      <c r="D448" s="86">
        <f t="shared" si="146"/>
        <v>60000</v>
      </c>
      <c r="E448" s="86">
        <f t="shared" si="146"/>
        <v>40000</v>
      </c>
      <c r="F448" s="86">
        <f t="shared" si="146"/>
        <v>48000</v>
      </c>
      <c r="G448" s="86">
        <f t="shared" si="146"/>
        <v>60000</v>
      </c>
      <c r="H448" s="86">
        <f t="shared" si="146"/>
        <v>64000</v>
      </c>
      <c r="I448" s="86">
        <f t="shared" si="146"/>
        <v>32000</v>
      </c>
      <c r="J448" s="86">
        <f t="shared" si="146"/>
        <v>32000</v>
      </c>
      <c r="K448" s="86">
        <f t="shared" si="146"/>
        <v>32000</v>
      </c>
      <c r="L448" s="86">
        <f t="shared" si="146"/>
        <v>32000</v>
      </c>
      <c r="M448" s="86"/>
      <c r="N448" s="86">
        <f>SUM(N444:N447)</f>
        <v>436000</v>
      </c>
    </row>
    <row r="449">
      <c r="A449" s="87"/>
      <c r="B449" s="88" t="s">
        <v>115</v>
      </c>
      <c r="C449" s="88" t="s">
        <v>115</v>
      </c>
      <c r="D449" s="88" t="s">
        <v>114</v>
      </c>
      <c r="E449" s="88" t="s">
        <v>115</v>
      </c>
      <c r="F449" s="88" t="s">
        <v>115</v>
      </c>
      <c r="G449" s="88" t="s">
        <v>114</v>
      </c>
      <c r="H449" s="88" t="s">
        <v>114</v>
      </c>
      <c r="I449" s="88" t="s">
        <v>115</v>
      </c>
      <c r="J449" s="89" t="s">
        <v>115</v>
      </c>
      <c r="K449" s="89"/>
      <c r="L449" s="89"/>
      <c r="M449" s="89"/>
      <c r="N449" s="90"/>
    </row>
    <row r="450">
      <c r="C450" s="72" t="s">
        <v>135</v>
      </c>
    </row>
    <row r="451">
      <c r="A451" s="112" t="s">
        <v>138</v>
      </c>
      <c r="B451" s="112">
        <f t="shared" ref="B451:G451" si="147">B447/6/8</f>
        <v>250</v>
      </c>
      <c r="C451" s="112">
        <f t="shared" si="147"/>
        <v>291.6666667</v>
      </c>
      <c r="D451" s="112">
        <f t="shared" si="147"/>
        <v>312.5</v>
      </c>
      <c r="E451" s="112">
        <f t="shared" si="147"/>
        <v>208.3333333</v>
      </c>
      <c r="F451" s="112">
        <f t="shared" si="147"/>
        <v>250</v>
      </c>
      <c r="G451" s="112">
        <f t="shared" si="147"/>
        <v>312.5</v>
      </c>
      <c r="H451" s="112">
        <f>H447/5/8</f>
        <v>400</v>
      </c>
      <c r="I451" s="112">
        <f t="shared" ref="I451:L451" si="148">I447/6/8</f>
        <v>166.6666667</v>
      </c>
      <c r="J451" s="112">
        <f t="shared" si="148"/>
        <v>166.6666667</v>
      </c>
      <c r="K451" s="112">
        <f t="shared" si="148"/>
        <v>166.6666667</v>
      </c>
      <c r="L451" s="113">
        <f t="shared" si="148"/>
        <v>166.6666667</v>
      </c>
      <c r="M451" s="114"/>
    </row>
    <row r="452">
      <c r="B452" s="72" t="s">
        <v>139</v>
      </c>
      <c r="C452" s="72" t="s">
        <v>139</v>
      </c>
      <c r="D452" s="72" t="s">
        <v>139</v>
      </c>
    </row>
    <row r="453">
      <c r="A453" s="76" t="s">
        <v>0</v>
      </c>
      <c r="B453" s="77" t="s">
        <v>128</v>
      </c>
      <c r="C453" s="78" t="s">
        <v>90</v>
      </c>
      <c r="D453" s="78" t="s">
        <v>3</v>
      </c>
      <c r="E453" s="108" t="s">
        <v>126</v>
      </c>
      <c r="F453" s="78" t="s">
        <v>91</v>
      </c>
      <c r="G453" s="78" t="s">
        <v>6</v>
      </c>
      <c r="H453" s="79" t="s">
        <v>92</v>
      </c>
      <c r="I453" s="79" t="s">
        <v>122</v>
      </c>
      <c r="J453" s="79" t="s">
        <v>123</v>
      </c>
      <c r="K453" s="79" t="s">
        <v>133</v>
      </c>
      <c r="L453" s="79" t="s">
        <v>136</v>
      </c>
      <c r="M453" s="79" t="s">
        <v>109</v>
      </c>
      <c r="N453" s="76" t="s">
        <v>110</v>
      </c>
    </row>
    <row r="454">
      <c r="A454" s="92" t="s">
        <v>52</v>
      </c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8"/>
    </row>
    <row r="455">
      <c r="A455" s="115" t="s">
        <v>140</v>
      </c>
      <c r="B455" s="94">
        <f>B451*8</f>
        <v>2000</v>
      </c>
      <c r="C455" s="94"/>
      <c r="D455" s="94">
        <v>1500.0</v>
      </c>
      <c r="E455" s="94"/>
      <c r="F455" s="94"/>
      <c r="G455" s="94"/>
      <c r="H455" s="94"/>
      <c r="I455" s="94"/>
      <c r="J455" s="94"/>
      <c r="K455" s="94"/>
      <c r="L455" s="94"/>
      <c r="M455" s="94"/>
      <c r="N455" s="93"/>
    </row>
    <row r="456">
      <c r="A456" s="93" t="s">
        <v>40</v>
      </c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3">
        <f>SUM(B456:J456)</f>
        <v>0</v>
      </c>
    </row>
    <row r="457">
      <c r="A457" s="93" t="s">
        <v>117</v>
      </c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3">
        <f>SUM(B457:I457)</f>
        <v>0</v>
      </c>
    </row>
    <row r="458">
      <c r="A458" s="95" t="s">
        <v>118</v>
      </c>
      <c r="B458" s="96">
        <f t="shared" ref="B458:C458" si="149">B447-B455+B456+B457</f>
        <v>10000</v>
      </c>
      <c r="C458" s="96">
        <f t="shared" si="149"/>
        <v>14000</v>
      </c>
      <c r="D458" s="96">
        <f t="shared" ref="D458:F458" si="150">D444-D455+D456+D457</f>
        <v>13500</v>
      </c>
      <c r="E458" s="96">
        <f t="shared" si="150"/>
        <v>10000</v>
      </c>
      <c r="F458" s="96">
        <f t="shared" si="150"/>
        <v>12000</v>
      </c>
      <c r="G458" s="96">
        <f t="shared" ref="G458:L458" si="151">G447-G455+G456+G457</f>
        <v>15000</v>
      </c>
      <c r="H458" s="96">
        <f t="shared" si="151"/>
        <v>16000</v>
      </c>
      <c r="I458" s="96">
        <f t="shared" si="151"/>
        <v>8000</v>
      </c>
      <c r="J458" s="96">
        <f t="shared" si="151"/>
        <v>8000</v>
      </c>
      <c r="K458" s="96">
        <f t="shared" si="151"/>
        <v>8000</v>
      </c>
      <c r="L458" s="96">
        <f t="shared" si="151"/>
        <v>8000</v>
      </c>
      <c r="M458" s="96"/>
      <c r="N458" s="95">
        <f>SUM(B458:J458)</f>
        <v>106500</v>
      </c>
    </row>
    <row r="459">
      <c r="A459" s="97"/>
      <c r="B459" s="98"/>
      <c r="C459" s="99"/>
      <c r="D459" s="99"/>
      <c r="E459" s="100"/>
      <c r="F459" s="100"/>
      <c r="G459" s="100"/>
      <c r="H459" s="99"/>
      <c r="I459" s="109"/>
      <c r="J459" s="99"/>
      <c r="K459" s="99"/>
      <c r="L459" s="99"/>
      <c r="M459" s="99"/>
      <c r="N459" s="99"/>
    </row>
    <row r="460">
      <c r="A460" s="93" t="s">
        <v>116</v>
      </c>
      <c r="B460" s="94"/>
      <c r="C460" s="94"/>
      <c r="D460" s="94">
        <v>1500.0</v>
      </c>
      <c r="E460" s="94"/>
      <c r="F460" s="94"/>
      <c r="G460" s="94"/>
      <c r="H460" s="94"/>
      <c r="I460" s="94"/>
      <c r="J460" s="94"/>
      <c r="K460" s="94"/>
      <c r="L460" s="94"/>
      <c r="M460" s="94"/>
      <c r="N460" s="93"/>
    </row>
    <row r="461">
      <c r="A461" s="93" t="s">
        <v>40</v>
      </c>
      <c r="B461" s="94">
        <f>3*B451</f>
        <v>750</v>
      </c>
      <c r="C461" s="94"/>
      <c r="D461" s="94">
        <f>D451*2</f>
        <v>625</v>
      </c>
      <c r="E461" s="94"/>
      <c r="F461" s="94"/>
      <c r="G461" s="94"/>
      <c r="H461" s="94"/>
      <c r="I461" s="94"/>
      <c r="J461" s="94"/>
      <c r="K461" s="94"/>
      <c r="L461" s="94"/>
      <c r="M461" s="94"/>
      <c r="N461" s="93">
        <f>SUM(B461:K461)</f>
        <v>1375</v>
      </c>
    </row>
    <row r="462">
      <c r="A462" s="93" t="s">
        <v>141</v>
      </c>
      <c r="B462" s="94">
        <f t="shared" ref="B462:E462" si="152">B451*8</f>
        <v>2000</v>
      </c>
      <c r="C462" s="94">
        <f t="shared" si="152"/>
        <v>2333.333333</v>
      </c>
      <c r="D462" s="94">
        <f t="shared" si="152"/>
        <v>2500</v>
      </c>
      <c r="E462" s="94">
        <f t="shared" si="152"/>
        <v>1666.666667</v>
      </c>
      <c r="F462" s="94">
        <f>F451*6</f>
        <v>1500</v>
      </c>
      <c r="G462" s="94">
        <f t="shared" ref="G462:H462" si="153">G451*8</f>
        <v>2500</v>
      </c>
      <c r="H462" s="94">
        <f t="shared" si="153"/>
        <v>3200</v>
      </c>
      <c r="I462" s="94">
        <f>I451*6</f>
        <v>1000</v>
      </c>
      <c r="J462" s="94">
        <f t="shared" ref="J462:L462" si="154">J451*8</f>
        <v>1333.333333</v>
      </c>
      <c r="K462" s="94">
        <f t="shared" si="154"/>
        <v>1333.333333</v>
      </c>
      <c r="L462" s="94">
        <f t="shared" si="154"/>
        <v>1333.333333</v>
      </c>
      <c r="M462" s="94"/>
      <c r="N462" s="93">
        <f>SUM(B462:I462)</f>
        <v>16700</v>
      </c>
    </row>
    <row r="463">
      <c r="A463" s="95" t="s">
        <v>118</v>
      </c>
      <c r="B463" s="96">
        <f>B447-B460+B461+B462</f>
        <v>14750</v>
      </c>
      <c r="C463" s="96">
        <f>C447+C461+C462-C460</f>
        <v>16333.33333</v>
      </c>
      <c r="D463" s="96">
        <f t="shared" ref="D463:F463" si="155">D447-D460+D461+D462</f>
        <v>16625</v>
      </c>
      <c r="E463" s="96">
        <f t="shared" si="155"/>
        <v>11666.66667</v>
      </c>
      <c r="F463" s="96">
        <f t="shared" si="155"/>
        <v>13500</v>
      </c>
      <c r="G463" s="96">
        <f>G447+G461</f>
        <v>15000</v>
      </c>
      <c r="H463" s="96">
        <f t="shared" ref="H463:J463" si="156">H447+H461+H462</f>
        <v>19200</v>
      </c>
      <c r="I463" s="96">
        <f t="shared" si="156"/>
        <v>9000</v>
      </c>
      <c r="J463" s="96">
        <f t="shared" si="156"/>
        <v>9333.333333</v>
      </c>
      <c r="K463" s="96">
        <f>8000+K461+K462</f>
        <v>9333.333333</v>
      </c>
      <c r="L463" s="96">
        <f>L447+L461+L462</f>
        <v>9333.333333</v>
      </c>
      <c r="M463" s="96">
        <v>6000.0</v>
      </c>
      <c r="N463" s="95">
        <f>SUM(B463:M463)</f>
        <v>150075</v>
      </c>
    </row>
    <row r="464">
      <c r="A464" s="101"/>
      <c r="B464" s="102"/>
      <c r="C464" s="103"/>
      <c r="D464" s="103"/>
      <c r="E464" s="110"/>
      <c r="F464" s="103"/>
      <c r="G464" s="103"/>
      <c r="H464" s="103"/>
      <c r="I464" s="103"/>
      <c r="J464" s="103"/>
      <c r="K464" s="103"/>
      <c r="L464" s="103"/>
      <c r="M464" s="103"/>
      <c r="N464" s="101"/>
    </row>
    <row r="465">
      <c r="A465" s="93" t="s">
        <v>116</v>
      </c>
      <c r="B465" s="94"/>
      <c r="C465" s="94"/>
      <c r="D465" s="94">
        <v>1500.0</v>
      </c>
      <c r="E465" s="94"/>
      <c r="F465" s="94"/>
      <c r="G465" s="94"/>
      <c r="H465" s="94"/>
      <c r="I465" s="94"/>
      <c r="J465" s="94"/>
      <c r="K465" s="94"/>
      <c r="L465" s="94"/>
      <c r="M465" s="94"/>
      <c r="N465" s="93"/>
    </row>
    <row r="466">
      <c r="A466" s="93" t="s">
        <v>40</v>
      </c>
      <c r="B466" s="94">
        <f>7*B451</f>
        <v>1750</v>
      </c>
      <c r="C466" s="94"/>
      <c r="D466" s="94">
        <f>4*D451</f>
        <v>1250</v>
      </c>
      <c r="E466" s="94"/>
      <c r="F466" s="94"/>
      <c r="G466" s="94"/>
      <c r="H466" s="94"/>
      <c r="I466" s="94"/>
      <c r="J466" s="94"/>
      <c r="K466" s="94"/>
      <c r="L466" s="94"/>
      <c r="M466" s="94"/>
      <c r="N466" s="93">
        <f>SUM(B466:J466)</f>
        <v>3000</v>
      </c>
    </row>
    <row r="467">
      <c r="A467" s="93" t="s">
        <v>117</v>
      </c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3">
        <f>SUM(B467:I467)</f>
        <v>0</v>
      </c>
    </row>
    <row r="468">
      <c r="A468" s="95" t="s">
        <v>118</v>
      </c>
      <c r="B468" s="96">
        <f>B447+B467+B466</f>
        <v>13750</v>
      </c>
      <c r="C468" s="96">
        <f>C447+C466+C467</f>
        <v>14000</v>
      </c>
      <c r="D468" s="96">
        <f>D446-D465+D466+D467</f>
        <v>14750</v>
      </c>
      <c r="E468" s="96">
        <f t="shared" ref="E468:F468" si="157">E447-E465+E466+E467</f>
        <v>10000</v>
      </c>
      <c r="F468" s="96">
        <f t="shared" si="157"/>
        <v>12000</v>
      </c>
      <c r="G468" s="96">
        <f>G447+G466+G467</f>
        <v>15000</v>
      </c>
      <c r="H468" s="96">
        <f>H446+H467+H466</f>
        <v>16000</v>
      </c>
      <c r="I468" s="96">
        <f>I447+I467+I466</f>
        <v>8000</v>
      </c>
      <c r="J468" s="96">
        <f>I447+J466+J467</f>
        <v>8000</v>
      </c>
      <c r="K468" s="96">
        <f>K445+K467+K466</f>
        <v>8000</v>
      </c>
      <c r="L468" s="96">
        <f>L447+L466+L467</f>
        <v>8000</v>
      </c>
      <c r="M468" s="96"/>
      <c r="N468" s="95">
        <f>SUM(B468:L468)</f>
        <v>127500</v>
      </c>
    </row>
    <row r="469">
      <c r="A469" s="97"/>
      <c r="B469" s="110"/>
      <c r="C469" s="100"/>
      <c r="D469" s="100"/>
      <c r="E469" s="110"/>
      <c r="F469" s="100"/>
      <c r="G469" s="100"/>
      <c r="H469" s="100"/>
      <c r="I469" s="100"/>
      <c r="J469" s="110"/>
      <c r="K469" s="111"/>
      <c r="L469" s="111"/>
      <c r="M469" s="111"/>
      <c r="N469" s="99"/>
    </row>
    <row r="470">
      <c r="A470" s="93" t="s">
        <v>116</v>
      </c>
      <c r="B470" s="94"/>
      <c r="C470" s="94"/>
      <c r="D470" s="94">
        <v>1500.0</v>
      </c>
      <c r="E470" s="94"/>
      <c r="F470" s="94"/>
      <c r="G470" s="94"/>
      <c r="H470" s="94"/>
      <c r="I470" s="94"/>
      <c r="J470" s="94"/>
      <c r="K470" s="94"/>
      <c r="L470" s="94"/>
      <c r="M470" s="94"/>
      <c r="N470" s="93"/>
    </row>
    <row r="471">
      <c r="A471" s="93" t="s">
        <v>40</v>
      </c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3">
        <f>SUM(B471:I471)</f>
        <v>0</v>
      </c>
    </row>
    <row r="472">
      <c r="A472" s="93" t="s">
        <v>117</v>
      </c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3">
        <f>SUM(B472:J472)</f>
        <v>0</v>
      </c>
    </row>
    <row r="473">
      <c r="A473" s="95" t="s">
        <v>118</v>
      </c>
      <c r="B473" s="96">
        <f t="shared" ref="B473:C473" si="158">B447+B471+B472</f>
        <v>12000</v>
      </c>
      <c r="C473" s="96">
        <f t="shared" si="158"/>
        <v>14000</v>
      </c>
      <c r="D473" s="96">
        <f>D447+D470+D471</f>
        <v>16500</v>
      </c>
      <c r="E473" s="96">
        <f t="shared" ref="E473:F473" si="159">E447-E470+E471+E472</f>
        <v>10000</v>
      </c>
      <c r="F473" s="96">
        <f t="shared" si="159"/>
        <v>12000</v>
      </c>
      <c r="G473" s="96">
        <f t="shared" ref="G473:I473" si="160">G447+G471+G472</f>
        <v>15000</v>
      </c>
      <c r="H473" s="96">
        <f t="shared" si="160"/>
        <v>16000</v>
      </c>
      <c r="I473" s="96">
        <f t="shared" si="160"/>
        <v>8000</v>
      </c>
      <c r="J473" s="96">
        <f t="shared" ref="J473:K473" si="161">J447+J472+J471</f>
        <v>8000</v>
      </c>
      <c r="K473" s="96">
        <f t="shared" si="161"/>
        <v>8000</v>
      </c>
      <c r="L473" s="96">
        <f>L447+L471+L472</f>
        <v>8000</v>
      </c>
      <c r="M473" s="96"/>
      <c r="N473" s="95">
        <f>SUM(B473:K473)</f>
        <v>119500</v>
      </c>
    </row>
    <row r="476">
      <c r="A476" s="76" t="s">
        <v>0</v>
      </c>
      <c r="B476" s="77" t="s">
        <v>128</v>
      </c>
      <c r="C476" s="78" t="s">
        <v>90</v>
      </c>
      <c r="D476" s="78" t="s">
        <v>3</v>
      </c>
      <c r="E476" s="108" t="s">
        <v>126</v>
      </c>
      <c r="F476" s="78" t="s">
        <v>91</v>
      </c>
      <c r="G476" s="78" t="s">
        <v>6</v>
      </c>
      <c r="H476" s="79" t="s">
        <v>92</v>
      </c>
      <c r="I476" s="79" t="s">
        <v>122</v>
      </c>
      <c r="J476" s="79" t="s">
        <v>123</v>
      </c>
      <c r="K476" s="79" t="s">
        <v>133</v>
      </c>
      <c r="L476" s="79" t="s">
        <v>136</v>
      </c>
      <c r="M476" s="79" t="s">
        <v>109</v>
      </c>
      <c r="N476" s="76" t="s">
        <v>110</v>
      </c>
    </row>
    <row r="477">
      <c r="A477" s="92" t="s">
        <v>142</v>
      </c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8"/>
    </row>
    <row r="478">
      <c r="A478" s="81" t="s">
        <v>111</v>
      </c>
      <c r="B478" s="82">
        <v>14000.0</v>
      </c>
      <c r="C478" s="82">
        <v>16000.0</v>
      </c>
      <c r="D478" s="82">
        <v>17000.0</v>
      </c>
      <c r="E478" s="82">
        <v>12000.0</v>
      </c>
      <c r="F478" s="82">
        <v>14000.0</v>
      </c>
      <c r="G478" s="82">
        <v>17000.0</v>
      </c>
      <c r="H478" s="82">
        <v>18000.0</v>
      </c>
      <c r="I478" s="82">
        <v>11000.0</v>
      </c>
      <c r="J478" s="82">
        <v>11000.0</v>
      </c>
      <c r="K478" s="82">
        <v>12000.0</v>
      </c>
      <c r="L478" s="82">
        <v>11000.0</v>
      </c>
      <c r="M478" s="82"/>
      <c r="N478" s="13">
        <f t="shared" ref="N478:N481" si="162">SUM(B478:M478)</f>
        <v>153000</v>
      </c>
    </row>
    <row r="479">
      <c r="A479" s="83"/>
      <c r="B479" s="82">
        <v>14000.0</v>
      </c>
      <c r="C479" s="82">
        <v>16000.0</v>
      </c>
      <c r="D479" s="82">
        <v>17000.0</v>
      </c>
      <c r="E479" s="82">
        <v>12000.0</v>
      </c>
      <c r="F479" s="82">
        <v>14000.0</v>
      </c>
      <c r="G479" s="82">
        <v>17000.0</v>
      </c>
      <c r="H479" s="82">
        <v>18000.0</v>
      </c>
      <c r="I479" s="82">
        <v>11000.0</v>
      </c>
      <c r="J479" s="82">
        <v>11000.0</v>
      </c>
      <c r="K479" s="82">
        <v>12000.0</v>
      </c>
      <c r="L479" s="82">
        <v>11000.0</v>
      </c>
      <c r="M479" s="82"/>
      <c r="N479" s="13">
        <f t="shared" si="162"/>
        <v>153000</v>
      </c>
    </row>
    <row r="480">
      <c r="A480" s="83"/>
      <c r="B480" s="82">
        <v>14000.0</v>
      </c>
      <c r="C480" s="82">
        <v>16000.0</v>
      </c>
      <c r="D480" s="82">
        <v>17000.0</v>
      </c>
      <c r="E480" s="82">
        <v>12000.0</v>
      </c>
      <c r="F480" s="82">
        <v>14000.0</v>
      </c>
      <c r="G480" s="82">
        <v>17000.0</v>
      </c>
      <c r="H480" s="82">
        <v>18000.0</v>
      </c>
      <c r="I480" s="82">
        <v>11000.0</v>
      </c>
      <c r="J480" s="82">
        <v>11000.0</v>
      </c>
      <c r="K480" s="82">
        <v>12000.0</v>
      </c>
      <c r="L480" s="82">
        <v>11000.0</v>
      </c>
      <c r="M480" s="82"/>
      <c r="N480" s="13">
        <f t="shared" si="162"/>
        <v>153000</v>
      </c>
    </row>
    <row r="481">
      <c r="A481" s="83"/>
      <c r="B481" s="82">
        <v>14000.0</v>
      </c>
      <c r="C481" s="82">
        <v>16000.0</v>
      </c>
      <c r="D481" s="82">
        <v>17000.0</v>
      </c>
      <c r="E481" s="82">
        <v>12000.0</v>
      </c>
      <c r="F481" s="82">
        <v>14000.0</v>
      </c>
      <c r="G481" s="82">
        <v>17000.0</v>
      </c>
      <c r="H481" s="82">
        <v>18000.0</v>
      </c>
      <c r="I481" s="82">
        <v>11000.0</v>
      </c>
      <c r="J481" s="82">
        <v>11000.0</v>
      </c>
      <c r="K481" s="82">
        <v>12000.0</v>
      </c>
      <c r="L481" s="82">
        <v>11000.0</v>
      </c>
      <c r="M481" s="84"/>
      <c r="N481" s="19">
        <f t="shared" si="162"/>
        <v>153000</v>
      </c>
    </row>
    <row r="482">
      <c r="A482" s="85" t="s">
        <v>113</v>
      </c>
      <c r="B482" s="86">
        <f t="shared" ref="B482:L482" si="163">SUM(B478:B481)</f>
        <v>56000</v>
      </c>
      <c r="C482" s="86">
        <f t="shared" si="163"/>
        <v>64000</v>
      </c>
      <c r="D482" s="86">
        <f t="shared" si="163"/>
        <v>68000</v>
      </c>
      <c r="E482" s="86">
        <f t="shared" si="163"/>
        <v>48000</v>
      </c>
      <c r="F482" s="86">
        <f t="shared" si="163"/>
        <v>56000</v>
      </c>
      <c r="G482" s="86">
        <f t="shared" si="163"/>
        <v>68000</v>
      </c>
      <c r="H482" s="86">
        <f t="shared" si="163"/>
        <v>72000</v>
      </c>
      <c r="I482" s="86">
        <f t="shared" si="163"/>
        <v>44000</v>
      </c>
      <c r="J482" s="86">
        <f t="shared" si="163"/>
        <v>44000</v>
      </c>
      <c r="K482" s="86">
        <f t="shared" si="163"/>
        <v>48000</v>
      </c>
      <c r="L482" s="86">
        <f t="shared" si="163"/>
        <v>44000</v>
      </c>
      <c r="M482" s="86"/>
      <c r="N482" s="86">
        <f>SUM(N478:N481)</f>
        <v>612000</v>
      </c>
    </row>
    <row r="483">
      <c r="A483" s="87"/>
      <c r="B483" s="88" t="s">
        <v>115</v>
      </c>
      <c r="C483" s="88" t="s">
        <v>115</v>
      </c>
      <c r="D483" s="88" t="s">
        <v>114</v>
      </c>
      <c r="E483" s="88" t="s">
        <v>115</v>
      </c>
      <c r="F483" s="88" t="s">
        <v>115</v>
      </c>
      <c r="G483" s="88" t="s">
        <v>114</v>
      </c>
      <c r="H483" s="88" t="s">
        <v>114</v>
      </c>
      <c r="I483" s="88" t="s">
        <v>115</v>
      </c>
      <c r="J483" s="89" t="s">
        <v>115</v>
      </c>
      <c r="K483" s="89"/>
      <c r="L483" s="89"/>
      <c r="M483" s="89"/>
      <c r="N483" s="90"/>
    </row>
    <row r="485">
      <c r="B485" s="72" t="s">
        <v>143</v>
      </c>
      <c r="C485" s="72" t="s">
        <v>144</v>
      </c>
      <c r="D485" s="72" t="s">
        <v>144</v>
      </c>
      <c r="E485" s="72" t="s">
        <v>143</v>
      </c>
      <c r="F485" s="72" t="s">
        <v>143</v>
      </c>
      <c r="G485" s="72" t="s">
        <v>144</v>
      </c>
      <c r="H485" s="72" t="s">
        <v>144</v>
      </c>
      <c r="I485" s="72" t="s">
        <v>143</v>
      </c>
      <c r="J485" s="72" t="s">
        <v>143</v>
      </c>
      <c r="K485" s="72" t="s">
        <v>143</v>
      </c>
      <c r="L485" s="72" t="s">
        <v>143</v>
      </c>
    </row>
    <row r="486">
      <c r="A486" s="93" t="s">
        <v>116</v>
      </c>
      <c r="B486" s="94"/>
      <c r="C486" s="94"/>
      <c r="D486" s="94">
        <v>1500.0</v>
      </c>
      <c r="E486" s="94"/>
      <c r="F486" s="94"/>
      <c r="G486" s="94"/>
      <c r="H486" s="94"/>
      <c r="I486" s="94"/>
      <c r="J486" s="94"/>
      <c r="K486" s="94"/>
      <c r="L486" s="94"/>
      <c r="M486" s="94"/>
      <c r="N486" s="93"/>
    </row>
    <row r="487">
      <c r="A487" s="93" t="s">
        <v>40</v>
      </c>
      <c r="B487" s="94">
        <f>B451*8</f>
        <v>2000</v>
      </c>
      <c r="C487" s="94">
        <f>C484*2</f>
        <v>0</v>
      </c>
      <c r="D487" s="94">
        <f>D491*8</f>
        <v>2833.333333</v>
      </c>
      <c r="E487" s="94"/>
      <c r="F487" s="94"/>
      <c r="G487" s="94"/>
      <c r="H487" s="94"/>
      <c r="I487" s="94"/>
      <c r="J487" s="94"/>
      <c r="K487" s="94"/>
      <c r="L487" s="94"/>
      <c r="M487" s="94"/>
      <c r="N487" s="93">
        <f>SUM(B487:I487)</f>
        <v>4833.333333</v>
      </c>
    </row>
    <row r="488">
      <c r="A488" s="93" t="s">
        <v>145</v>
      </c>
      <c r="B488" s="94"/>
      <c r="C488" s="94">
        <f t="shared" ref="C488:D488" si="164">C439/6*6</f>
        <v>16333.33333</v>
      </c>
      <c r="D488" s="94">
        <f t="shared" si="164"/>
        <v>17437.5</v>
      </c>
      <c r="E488" s="94"/>
      <c r="F488" s="94"/>
      <c r="G488" s="94">
        <f>G439</f>
        <v>17500</v>
      </c>
      <c r="H488" s="94">
        <f>H352/6*6</f>
        <v>20800</v>
      </c>
      <c r="I488" s="94"/>
      <c r="J488" s="94"/>
      <c r="K488" s="94"/>
      <c r="L488" s="94"/>
      <c r="M488" s="94"/>
      <c r="N488" s="93">
        <f>SUM(B488:J488)</f>
        <v>72070.83333</v>
      </c>
    </row>
    <row r="489">
      <c r="A489" s="95" t="s">
        <v>118</v>
      </c>
      <c r="B489" s="96">
        <f>B478+B487</f>
        <v>16000</v>
      </c>
      <c r="C489" s="96">
        <f>C478+C488+C487</f>
        <v>32333.33333</v>
      </c>
      <c r="D489" s="96">
        <f>D478+D488+D487-D486</f>
        <v>35770.83333</v>
      </c>
      <c r="E489" s="96">
        <f>E481+E487</f>
        <v>12000</v>
      </c>
      <c r="F489" s="96">
        <f>F481</f>
        <v>14000</v>
      </c>
      <c r="G489" s="96">
        <f t="shared" ref="G489:H489" si="165">G481+G488</f>
        <v>34500</v>
      </c>
      <c r="H489" s="96">
        <f t="shared" si="165"/>
        <v>38800</v>
      </c>
      <c r="I489" s="96">
        <f t="shared" ref="I489:K489" si="166">I481</f>
        <v>11000</v>
      </c>
      <c r="J489" s="96">
        <f t="shared" si="166"/>
        <v>11000</v>
      </c>
      <c r="K489" s="96">
        <f t="shared" si="166"/>
        <v>12000</v>
      </c>
      <c r="L489" s="96">
        <f>L478</f>
        <v>11000</v>
      </c>
      <c r="M489" s="96"/>
      <c r="N489" s="95">
        <f>SUM(B489:K489)</f>
        <v>217404.1667</v>
      </c>
    </row>
    <row r="490">
      <c r="A490" s="116" t="s">
        <v>146</v>
      </c>
      <c r="B490" s="117">
        <v>3.5</v>
      </c>
      <c r="C490" s="117"/>
      <c r="D490" s="118"/>
      <c r="E490" s="117">
        <v>3.0</v>
      </c>
      <c r="F490" s="118"/>
      <c r="G490" s="118"/>
      <c r="H490" s="118"/>
      <c r="I490" s="117">
        <v>3.5</v>
      </c>
      <c r="J490" s="117">
        <v>6.0</v>
      </c>
      <c r="K490" s="117">
        <v>3.0</v>
      </c>
      <c r="L490" s="117">
        <v>3.0</v>
      </c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</row>
    <row r="491">
      <c r="A491" s="119" t="s">
        <v>138</v>
      </c>
      <c r="B491" s="112">
        <f t="shared" ref="B491:G491" si="167">B481/6/8</f>
        <v>291.6666667</v>
      </c>
      <c r="C491" s="112">
        <f t="shared" si="167"/>
        <v>333.3333333</v>
      </c>
      <c r="D491" s="112">
        <f t="shared" si="167"/>
        <v>354.1666667</v>
      </c>
      <c r="E491" s="112">
        <f t="shared" si="167"/>
        <v>250</v>
      </c>
      <c r="F491" s="112">
        <f t="shared" si="167"/>
        <v>291.6666667</v>
      </c>
      <c r="G491" s="112">
        <f t="shared" si="167"/>
        <v>354.1666667</v>
      </c>
      <c r="H491" s="112">
        <f>H481/5/8</f>
        <v>450</v>
      </c>
      <c r="I491" s="112">
        <f t="shared" ref="I491:L491" si="168">I481/6/8</f>
        <v>229.1666667</v>
      </c>
      <c r="J491" s="112">
        <f t="shared" si="168"/>
        <v>229.1666667</v>
      </c>
      <c r="K491" s="112">
        <f t="shared" si="168"/>
        <v>250</v>
      </c>
      <c r="L491" s="113">
        <f t="shared" si="168"/>
        <v>229.1666667</v>
      </c>
      <c r="M491" s="114"/>
    </row>
    <row r="493">
      <c r="A493" s="76" t="s">
        <v>0</v>
      </c>
      <c r="B493" s="77" t="s">
        <v>128</v>
      </c>
      <c r="C493" s="78" t="s">
        <v>90</v>
      </c>
      <c r="D493" s="78" t="s">
        <v>3</v>
      </c>
      <c r="E493" s="108" t="s">
        <v>126</v>
      </c>
      <c r="F493" s="78" t="s">
        <v>91</v>
      </c>
      <c r="G493" s="78" t="s">
        <v>6</v>
      </c>
      <c r="H493" s="79" t="s">
        <v>92</v>
      </c>
      <c r="I493" s="79" t="s">
        <v>122</v>
      </c>
      <c r="J493" s="79" t="s">
        <v>123</v>
      </c>
      <c r="K493" s="79" t="s">
        <v>133</v>
      </c>
      <c r="L493" s="79" t="s">
        <v>136</v>
      </c>
      <c r="M493" s="79" t="s">
        <v>109</v>
      </c>
      <c r="N493" s="76" t="s">
        <v>110</v>
      </c>
    </row>
    <row r="494">
      <c r="A494" s="92" t="s">
        <v>147</v>
      </c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8"/>
    </row>
    <row r="495">
      <c r="A495" s="115" t="s">
        <v>140</v>
      </c>
      <c r="B495" s="94"/>
      <c r="C495" s="94"/>
      <c r="D495" s="94">
        <v>1500.0</v>
      </c>
      <c r="E495" s="94"/>
      <c r="F495" s="94"/>
      <c r="G495" s="94"/>
      <c r="H495" s="94"/>
      <c r="I495" s="94"/>
      <c r="J495" s="94"/>
      <c r="K495" s="94"/>
      <c r="L495" s="94"/>
      <c r="M495" s="94"/>
      <c r="N495" s="93"/>
    </row>
    <row r="496">
      <c r="A496" s="93" t="s">
        <v>40</v>
      </c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3">
        <f>SUM(B496:J496)</f>
        <v>0</v>
      </c>
    </row>
    <row r="497">
      <c r="A497" s="93" t="s">
        <v>145</v>
      </c>
      <c r="B497" s="94">
        <f>B439/6*B490</f>
        <v>9041.666667</v>
      </c>
      <c r="C497" s="94"/>
      <c r="D497" s="94"/>
      <c r="E497" s="94">
        <f>E481/6*3</f>
        <v>6000</v>
      </c>
      <c r="F497" s="94">
        <f>F463</f>
        <v>13500</v>
      </c>
      <c r="G497" s="94"/>
      <c r="H497" s="94"/>
      <c r="I497" s="94">
        <f>I434/6*I490</f>
        <v>5483.333333</v>
      </c>
      <c r="J497" s="94">
        <f>J439/6*6</f>
        <v>9333.333333</v>
      </c>
      <c r="K497" s="94">
        <f t="shared" ref="K497:L497" si="169">K463/6*K490</f>
        <v>4666.666667</v>
      </c>
      <c r="L497" s="94">
        <f t="shared" si="169"/>
        <v>4666.666667</v>
      </c>
      <c r="M497" s="94"/>
      <c r="N497" s="93"/>
    </row>
    <row r="498">
      <c r="A498" s="93" t="s">
        <v>117</v>
      </c>
      <c r="B498" s="94">
        <f t="shared" ref="B498:G498" si="170">B491*8</f>
        <v>2333.333333</v>
      </c>
      <c r="C498" s="94">
        <f t="shared" si="170"/>
        <v>2666.666667</v>
      </c>
      <c r="D498" s="94">
        <f t="shared" si="170"/>
        <v>2833.333333</v>
      </c>
      <c r="E498" s="94">
        <f t="shared" si="170"/>
        <v>2000</v>
      </c>
      <c r="F498" s="94">
        <f t="shared" si="170"/>
        <v>2333.333333</v>
      </c>
      <c r="G498" s="94">
        <f t="shared" si="170"/>
        <v>2833.333333</v>
      </c>
      <c r="H498" s="94"/>
      <c r="I498" s="94">
        <f>I491*8</f>
        <v>1833.333333</v>
      </c>
      <c r="J498" s="94"/>
      <c r="K498" s="94">
        <f t="shared" ref="K498:L498" si="171">K491*8</f>
        <v>2000</v>
      </c>
      <c r="L498" s="94">
        <f t="shared" si="171"/>
        <v>1833.333333</v>
      </c>
      <c r="M498" s="94"/>
      <c r="N498" s="93">
        <f>SUM(B498:I498)</f>
        <v>16833.33333</v>
      </c>
    </row>
    <row r="499">
      <c r="A499" s="95" t="s">
        <v>118</v>
      </c>
      <c r="B499" s="96">
        <f>B481-B495+B496+B498+B497</f>
        <v>25375</v>
      </c>
      <c r="C499" s="96">
        <f>C481-C495+C496+C498</f>
        <v>18666.66667</v>
      </c>
      <c r="D499" s="96">
        <f>D478-D495+D496+D498</f>
        <v>18333.33333</v>
      </c>
      <c r="E499" s="96">
        <f t="shared" ref="E499:F499" si="172">E478-E495+E496+E498+E497</f>
        <v>20000</v>
      </c>
      <c r="F499" s="96">
        <f t="shared" si="172"/>
        <v>29833.33333</v>
      </c>
      <c r="G499" s="96">
        <f t="shared" ref="G499:H499" si="173">G481-G495+G496+G498</f>
        <v>19833.33333</v>
      </c>
      <c r="H499" s="96">
        <f t="shared" si="173"/>
        <v>18000</v>
      </c>
      <c r="I499" s="96">
        <f t="shared" ref="I499:L499" si="174">I481-I495+I496+I498+I497</f>
        <v>18316.66667</v>
      </c>
      <c r="J499" s="96">
        <f t="shared" si="174"/>
        <v>20333.33333</v>
      </c>
      <c r="K499" s="96">
        <f t="shared" si="174"/>
        <v>18666.66667</v>
      </c>
      <c r="L499" s="96">
        <f t="shared" si="174"/>
        <v>17500</v>
      </c>
      <c r="M499" s="96"/>
      <c r="N499" s="95">
        <f>SUM(B499:M499)</f>
        <v>224858.3333</v>
      </c>
    </row>
    <row r="500">
      <c r="A500" s="92" t="s">
        <v>148</v>
      </c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8"/>
    </row>
    <row r="501">
      <c r="A501" s="93" t="s">
        <v>116</v>
      </c>
      <c r="B501" s="94"/>
      <c r="C501" s="94"/>
      <c r="D501" s="94">
        <v>1500.0</v>
      </c>
      <c r="E501" s="94"/>
      <c r="F501" s="94"/>
      <c r="G501" s="94"/>
      <c r="H501" s="94"/>
      <c r="I501" s="94"/>
      <c r="J501" s="94"/>
      <c r="K501" s="94"/>
      <c r="L501" s="94"/>
      <c r="M501" s="94"/>
      <c r="N501" s="93"/>
    </row>
    <row r="502">
      <c r="A502" s="93" t="s">
        <v>40</v>
      </c>
      <c r="B502" s="94">
        <v>1500.0</v>
      </c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3">
        <f>SUM(B502:K502)</f>
        <v>1500</v>
      </c>
    </row>
    <row r="503">
      <c r="A503" s="93" t="s">
        <v>149</v>
      </c>
      <c r="B503" s="94">
        <f>B497</f>
        <v>9041.666667</v>
      </c>
      <c r="C503" s="94">
        <f t="shared" ref="C503:D503" si="175">C488</f>
        <v>16333.33333</v>
      </c>
      <c r="D503" s="94">
        <f t="shared" si="175"/>
        <v>17437.5</v>
      </c>
      <c r="E503" s="94"/>
      <c r="F503" s="94"/>
      <c r="G503" s="94">
        <f t="shared" ref="G503:H503" si="176">G488</f>
        <v>17500</v>
      </c>
      <c r="H503" s="94">
        <f t="shared" si="176"/>
        <v>20800</v>
      </c>
      <c r="I503" s="94"/>
      <c r="J503" s="94"/>
      <c r="K503" s="94"/>
      <c r="L503" s="94"/>
      <c r="M503" s="94"/>
      <c r="N503" s="93"/>
    </row>
    <row r="504">
      <c r="A504" s="93" t="s">
        <v>141</v>
      </c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3">
        <f>SUM(B504:I504)</f>
        <v>0</v>
      </c>
    </row>
    <row r="505">
      <c r="A505" s="95" t="s">
        <v>118</v>
      </c>
      <c r="B505" s="96">
        <f>B481-B501+B502+B504+B503</f>
        <v>24541.66667</v>
      </c>
      <c r="C505" s="96">
        <f>C481+C502+C504-C501+C502+C503</f>
        <v>32333.33333</v>
      </c>
      <c r="D505" s="96">
        <f>D481-D501+D502+D504+D503</f>
        <v>32937.5</v>
      </c>
      <c r="E505" s="96">
        <f t="shared" ref="E505:F505" si="177">E481-E501+E502+E504</f>
        <v>12000</v>
      </c>
      <c r="F505" s="96">
        <f t="shared" si="177"/>
        <v>14000</v>
      </c>
      <c r="G505" s="96">
        <f>G481+G502+G503</f>
        <v>34500</v>
      </c>
      <c r="H505" s="96">
        <f>H481+H502+H504+H503</f>
        <v>38800</v>
      </c>
      <c r="I505" s="96">
        <f t="shared" ref="I505:J505" si="178">I481+I502+I504</f>
        <v>11000</v>
      </c>
      <c r="J505" s="96">
        <f t="shared" si="178"/>
        <v>11000</v>
      </c>
      <c r="K505" s="96">
        <f>K480+K502+K504</f>
        <v>12000</v>
      </c>
      <c r="L505" s="96">
        <f>L481+L502+L504</f>
        <v>11000</v>
      </c>
      <c r="M505" s="96"/>
      <c r="N505" s="95">
        <f>SUM(B505:M505)</f>
        <v>234112.5</v>
      </c>
    </row>
    <row r="506">
      <c r="A506" s="92" t="s">
        <v>150</v>
      </c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8"/>
    </row>
    <row r="507">
      <c r="A507" s="93" t="s">
        <v>116</v>
      </c>
      <c r="B507" s="94"/>
      <c r="C507" s="94"/>
      <c r="D507" s="94">
        <v>1500.0</v>
      </c>
      <c r="E507" s="94"/>
      <c r="F507" s="94"/>
      <c r="G507" s="94"/>
      <c r="H507" s="94"/>
      <c r="I507" s="94"/>
      <c r="J507" s="94"/>
      <c r="K507" s="94"/>
      <c r="L507" s="94"/>
      <c r="M507" s="94"/>
      <c r="N507" s="93"/>
    </row>
    <row r="508">
      <c r="A508" s="93" t="s">
        <v>40</v>
      </c>
      <c r="B508" s="94">
        <f>B491*8</f>
        <v>2333.333333</v>
      </c>
      <c r="C508" s="94"/>
      <c r="D508" s="94">
        <f>D491*7</f>
        <v>2479.166667</v>
      </c>
      <c r="E508" s="94"/>
      <c r="F508" s="94"/>
      <c r="G508" s="94"/>
      <c r="H508" s="94"/>
      <c r="I508" s="94"/>
      <c r="J508" s="94"/>
      <c r="K508" s="94"/>
      <c r="L508" s="94"/>
      <c r="M508" s="94"/>
      <c r="N508" s="93">
        <f>SUM(B508:J508)</f>
        <v>4812.5</v>
      </c>
    </row>
    <row r="509">
      <c r="A509" s="93" t="s">
        <v>149</v>
      </c>
      <c r="B509" s="94"/>
      <c r="C509" s="94"/>
      <c r="D509" s="94"/>
      <c r="E509" s="94">
        <f t="shared" ref="E509:F509" si="179">E497</f>
        <v>6000</v>
      </c>
      <c r="F509" s="94">
        <f t="shared" si="179"/>
        <v>13500</v>
      </c>
      <c r="G509" s="94"/>
      <c r="H509" s="94"/>
      <c r="I509" s="94">
        <f t="shared" ref="I509:L509" si="180">I497</f>
        <v>5483.333333</v>
      </c>
      <c r="J509" s="94">
        <f t="shared" si="180"/>
        <v>9333.333333</v>
      </c>
      <c r="K509" s="94">
        <f t="shared" si="180"/>
        <v>4666.666667</v>
      </c>
      <c r="L509" s="94">
        <f t="shared" si="180"/>
        <v>4666.666667</v>
      </c>
      <c r="M509" s="94"/>
      <c r="N509" s="93"/>
    </row>
    <row r="510">
      <c r="A510" s="93" t="s">
        <v>117</v>
      </c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3">
        <f>SUM(B510:I510)</f>
        <v>0</v>
      </c>
    </row>
    <row r="511">
      <c r="A511" s="95" t="s">
        <v>118</v>
      </c>
      <c r="B511" s="96">
        <f>B481+B510+B508</f>
        <v>16333.33333</v>
      </c>
      <c r="C511" s="96">
        <f>C481+C508+C510</f>
        <v>16000</v>
      </c>
      <c r="D511" s="96">
        <f>D480-D507+D508+D510</f>
        <v>17979.16667</v>
      </c>
      <c r="E511" s="96">
        <f>(E481/6)-E507+E508+E510+E509</f>
        <v>8000</v>
      </c>
      <c r="F511" s="96">
        <f>F481-F507+F508+F510+F509</f>
        <v>27500</v>
      </c>
      <c r="G511" s="96">
        <f>G481+G508+G510</f>
        <v>17000</v>
      </c>
      <c r="H511" s="96">
        <f>H480+H510+H508</f>
        <v>18000</v>
      </c>
      <c r="I511" s="96">
        <f>I481+I510+I508+I509</f>
        <v>16483.33333</v>
      </c>
      <c r="J511" s="96">
        <f>I481+J508+J510+J509</f>
        <v>20333.33333</v>
      </c>
      <c r="K511" s="96">
        <f>K479+K510+K508+K509</f>
        <v>16666.66667</v>
      </c>
      <c r="L511" s="96">
        <f>L481+L508+L510+L509</f>
        <v>15666.66667</v>
      </c>
      <c r="M511" s="96"/>
      <c r="N511" s="95">
        <f>SUM(B511:L511)</f>
        <v>189962.5</v>
      </c>
    </row>
    <row r="512">
      <c r="A512" s="92" t="s">
        <v>151</v>
      </c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8"/>
    </row>
    <row r="513">
      <c r="A513" s="93" t="s">
        <v>116</v>
      </c>
      <c r="B513" s="94"/>
      <c r="C513" s="94"/>
      <c r="D513" s="94">
        <v>1500.0</v>
      </c>
      <c r="E513" s="94"/>
      <c r="F513" s="94"/>
      <c r="G513" s="94"/>
      <c r="H513" s="94"/>
      <c r="I513" s="94"/>
      <c r="J513" s="94"/>
      <c r="K513" s="94"/>
      <c r="L513" s="94"/>
      <c r="M513" s="94"/>
      <c r="N513" s="93"/>
    </row>
    <row r="514">
      <c r="A514" s="93" t="s">
        <v>40</v>
      </c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3">
        <f>SUM(B514:I514)</f>
        <v>0</v>
      </c>
    </row>
    <row r="515">
      <c r="A515" s="93" t="s">
        <v>117</v>
      </c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3">
        <f>SUM(B515:J515)</f>
        <v>0</v>
      </c>
    </row>
    <row r="516">
      <c r="A516" s="95" t="s">
        <v>118</v>
      </c>
      <c r="B516" s="96">
        <f t="shared" ref="B516:C516" si="181">B481+B514+B515</f>
        <v>14000</v>
      </c>
      <c r="C516" s="96">
        <f t="shared" si="181"/>
        <v>16000</v>
      </c>
      <c r="D516" s="96">
        <f>D481+D513+D514</f>
        <v>18500</v>
      </c>
      <c r="E516" s="96">
        <f t="shared" ref="E516:F516" si="182">E481-E513+E514+E515</f>
        <v>12000</v>
      </c>
      <c r="F516" s="96">
        <f t="shared" si="182"/>
        <v>14000</v>
      </c>
      <c r="G516" s="96">
        <f t="shared" ref="G516:I516" si="183">G481+G514+G515</f>
        <v>17000</v>
      </c>
      <c r="H516" s="96">
        <f t="shared" si="183"/>
        <v>18000</v>
      </c>
      <c r="I516" s="96">
        <f t="shared" si="183"/>
        <v>11000</v>
      </c>
      <c r="J516" s="96">
        <f t="shared" ref="J516:K516" si="184">J481+J515+J514</f>
        <v>11000</v>
      </c>
      <c r="K516" s="96">
        <f t="shared" si="184"/>
        <v>12000</v>
      </c>
      <c r="L516" s="96">
        <f>L481+L514+L515</f>
        <v>11000</v>
      </c>
      <c r="M516" s="96"/>
      <c r="N516" s="95">
        <f>SUM(B516:K516)</f>
        <v>143500</v>
      </c>
    </row>
    <row r="518">
      <c r="C518" s="72" t="s">
        <v>152</v>
      </c>
      <c r="D518" s="72" t="s">
        <v>153</v>
      </c>
      <c r="E518" s="72" t="s">
        <v>154</v>
      </c>
      <c r="G518" s="72" t="s">
        <v>153</v>
      </c>
      <c r="H518" s="72" t="s">
        <v>153</v>
      </c>
    </row>
    <row r="519">
      <c r="A519" s="76" t="s">
        <v>0</v>
      </c>
      <c r="B519" s="77" t="s">
        <v>128</v>
      </c>
      <c r="C519" s="78" t="s">
        <v>90</v>
      </c>
      <c r="D519" s="78" t="s">
        <v>3</v>
      </c>
      <c r="E519" s="78" t="s">
        <v>136</v>
      </c>
      <c r="F519" s="78" t="s">
        <v>91</v>
      </c>
      <c r="G519" s="78" t="s">
        <v>6</v>
      </c>
      <c r="H519" s="79" t="s">
        <v>92</v>
      </c>
      <c r="I519" s="79" t="s">
        <v>122</v>
      </c>
      <c r="J519" s="79">
        <v>8.0</v>
      </c>
      <c r="K519" s="79" t="s">
        <v>133</v>
      </c>
      <c r="L519" s="79" t="s">
        <v>155</v>
      </c>
      <c r="M519" s="79"/>
      <c r="N519" s="76" t="s">
        <v>110</v>
      </c>
    </row>
    <row r="520">
      <c r="A520" s="92" t="s">
        <v>80</v>
      </c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8"/>
    </row>
    <row r="521">
      <c r="A521" s="81" t="s">
        <v>111</v>
      </c>
      <c r="B521" s="82">
        <v>14000.0</v>
      </c>
      <c r="C521" s="82">
        <v>16000.0</v>
      </c>
      <c r="D521" s="82">
        <v>17000.0</v>
      </c>
      <c r="E521" s="82">
        <v>11000.0</v>
      </c>
      <c r="F521" s="82">
        <v>14000.0</v>
      </c>
      <c r="G521" s="82">
        <v>17000.0</v>
      </c>
      <c r="H521" s="82">
        <v>18000.0</v>
      </c>
      <c r="I521" s="82">
        <v>11000.0</v>
      </c>
      <c r="J521" s="82">
        <v>12000.0</v>
      </c>
      <c r="K521" s="82">
        <v>15000.0</v>
      </c>
      <c r="L521" s="82">
        <v>10000.0</v>
      </c>
      <c r="M521" s="82"/>
      <c r="N521" s="13">
        <f t="shared" ref="N521:N524" si="185">SUM(B521:M521)</f>
        <v>155000</v>
      </c>
    </row>
    <row r="522">
      <c r="A522" s="83"/>
      <c r="B522" s="82">
        <v>14000.0</v>
      </c>
      <c r="C522" s="82">
        <v>16000.0</v>
      </c>
      <c r="D522" s="82">
        <v>17000.0</v>
      </c>
      <c r="E522" s="82">
        <v>11000.0</v>
      </c>
      <c r="F522" s="82">
        <v>14000.0</v>
      </c>
      <c r="G522" s="82">
        <v>17000.0</v>
      </c>
      <c r="H522" s="82">
        <v>18000.0</v>
      </c>
      <c r="I522" s="82">
        <v>11000.0</v>
      </c>
      <c r="J522" s="82">
        <v>12000.0</v>
      </c>
      <c r="K522" s="82">
        <v>15000.0</v>
      </c>
      <c r="L522" s="82">
        <v>10000.0</v>
      </c>
      <c r="M522" s="82"/>
      <c r="N522" s="13">
        <f t="shared" si="185"/>
        <v>155000</v>
      </c>
    </row>
    <row r="523">
      <c r="A523" s="83"/>
      <c r="B523" s="82">
        <v>14000.0</v>
      </c>
      <c r="C523" s="82">
        <v>16000.0</v>
      </c>
      <c r="D523" s="82">
        <v>17000.0</v>
      </c>
      <c r="E523" s="82">
        <v>11000.0</v>
      </c>
      <c r="F523" s="82">
        <v>14000.0</v>
      </c>
      <c r="G523" s="82">
        <v>17000.0</v>
      </c>
      <c r="H523" s="82">
        <v>18000.0</v>
      </c>
      <c r="I523" s="82">
        <v>11000.0</v>
      </c>
      <c r="J523" s="82">
        <v>12000.0</v>
      </c>
      <c r="K523" s="82">
        <v>15000.0</v>
      </c>
      <c r="L523" s="82">
        <v>10000.0</v>
      </c>
      <c r="M523" s="82"/>
      <c r="N523" s="13">
        <f t="shared" si="185"/>
        <v>155000</v>
      </c>
    </row>
    <row r="524">
      <c r="A524" s="83"/>
      <c r="B524" s="82">
        <v>14000.0</v>
      </c>
      <c r="C524" s="82">
        <v>16000.0</v>
      </c>
      <c r="D524" s="82">
        <v>17000.0</v>
      </c>
      <c r="E524" s="82">
        <v>11000.0</v>
      </c>
      <c r="F524" s="82">
        <v>14000.0</v>
      </c>
      <c r="G524" s="82">
        <v>17000.0</v>
      </c>
      <c r="H524" s="82">
        <v>18000.0</v>
      </c>
      <c r="I524" s="82">
        <v>11000.0</v>
      </c>
      <c r="J524" s="82">
        <v>12000.0</v>
      </c>
      <c r="K524" s="82">
        <v>15000.0</v>
      </c>
      <c r="L524" s="82">
        <v>10000.0</v>
      </c>
      <c r="M524" s="84"/>
      <c r="N524" s="19">
        <f t="shared" si="185"/>
        <v>155000</v>
      </c>
    </row>
    <row r="525">
      <c r="A525" s="85" t="s">
        <v>113</v>
      </c>
      <c r="B525" s="86">
        <f t="shared" ref="B525:L525" si="186">SUM(B521:B524)</f>
        <v>56000</v>
      </c>
      <c r="C525" s="86">
        <f t="shared" si="186"/>
        <v>64000</v>
      </c>
      <c r="D525" s="86">
        <f t="shared" si="186"/>
        <v>68000</v>
      </c>
      <c r="E525" s="86">
        <f t="shared" si="186"/>
        <v>44000</v>
      </c>
      <c r="F525" s="86">
        <f t="shared" si="186"/>
        <v>56000</v>
      </c>
      <c r="G525" s="86">
        <f t="shared" si="186"/>
        <v>68000</v>
      </c>
      <c r="H525" s="86">
        <f t="shared" si="186"/>
        <v>72000</v>
      </c>
      <c r="I525" s="86">
        <f t="shared" si="186"/>
        <v>44000</v>
      </c>
      <c r="J525" s="86">
        <f t="shared" si="186"/>
        <v>48000</v>
      </c>
      <c r="K525" s="86">
        <f t="shared" si="186"/>
        <v>60000</v>
      </c>
      <c r="L525" s="86">
        <f t="shared" si="186"/>
        <v>40000</v>
      </c>
      <c r="M525" s="86"/>
      <c r="N525" s="86">
        <f>SUM(N521:N524)</f>
        <v>620000</v>
      </c>
    </row>
    <row r="526">
      <c r="A526" s="87"/>
      <c r="B526" s="88" t="s">
        <v>115</v>
      </c>
      <c r="C526" s="88" t="s">
        <v>115</v>
      </c>
      <c r="D526" s="88" t="s">
        <v>114</v>
      </c>
      <c r="E526" s="88" t="s">
        <v>115</v>
      </c>
      <c r="F526" s="88" t="s">
        <v>115</v>
      </c>
      <c r="G526" s="88" t="s">
        <v>114</v>
      </c>
      <c r="H526" s="88" t="s">
        <v>114</v>
      </c>
      <c r="I526" s="88" t="s">
        <v>115</v>
      </c>
      <c r="J526" s="89" t="s">
        <v>115</v>
      </c>
      <c r="K526" s="89"/>
      <c r="L526" s="89"/>
      <c r="M526" s="89"/>
      <c r="N526" s="90"/>
    </row>
    <row r="527">
      <c r="A527" s="109"/>
      <c r="B527" s="120"/>
      <c r="C527" s="120"/>
      <c r="D527" s="120"/>
      <c r="E527" s="120"/>
      <c r="F527" s="120"/>
      <c r="G527" s="120"/>
      <c r="H527" s="109"/>
      <c r="I527" s="109"/>
      <c r="J527" s="121"/>
      <c r="K527" s="121"/>
      <c r="L527" s="121"/>
      <c r="M527" s="121"/>
      <c r="N527" s="12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</row>
    <row r="528">
      <c r="A528" s="76" t="s">
        <v>0</v>
      </c>
      <c r="B528" s="77" t="s">
        <v>128</v>
      </c>
      <c r="C528" s="78" t="s">
        <v>90</v>
      </c>
      <c r="D528" s="78" t="s">
        <v>3</v>
      </c>
      <c r="E528" s="78" t="s">
        <v>136</v>
      </c>
      <c r="F528" s="78" t="s">
        <v>91</v>
      </c>
      <c r="G528" s="78" t="s">
        <v>6</v>
      </c>
      <c r="H528" s="79" t="s">
        <v>92</v>
      </c>
      <c r="I528" s="79" t="s">
        <v>122</v>
      </c>
      <c r="J528" s="79"/>
      <c r="K528" s="79" t="s">
        <v>133</v>
      </c>
      <c r="L528" s="79" t="s">
        <v>155</v>
      </c>
      <c r="M528" s="79"/>
      <c r="N528" s="76" t="s">
        <v>110</v>
      </c>
    </row>
    <row r="529">
      <c r="A529" s="92" t="s">
        <v>156</v>
      </c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8"/>
    </row>
    <row r="530">
      <c r="A530" s="93" t="s">
        <v>116</v>
      </c>
      <c r="B530" s="94"/>
      <c r="C530" s="94"/>
      <c r="D530" s="94">
        <v>1500.0</v>
      </c>
      <c r="E530" s="94"/>
      <c r="F530" s="94"/>
      <c r="G530" s="94"/>
      <c r="H530" s="94"/>
      <c r="I530" s="94"/>
      <c r="J530" s="94"/>
      <c r="K530" s="94"/>
      <c r="L530" s="94"/>
      <c r="M530" s="94"/>
      <c r="N530" s="93"/>
    </row>
    <row r="531">
      <c r="A531" s="93" t="s">
        <v>40</v>
      </c>
      <c r="B531" s="94">
        <f>7*B534</f>
        <v>2041.666667</v>
      </c>
      <c r="C531" s="94"/>
      <c r="D531" s="94">
        <f>4*D534</f>
        <v>1416.666667</v>
      </c>
      <c r="E531" s="94"/>
      <c r="F531" s="94"/>
      <c r="G531" s="94"/>
      <c r="H531" s="94"/>
      <c r="I531" s="94"/>
      <c r="J531" s="94"/>
      <c r="K531" s="94"/>
      <c r="L531" s="94"/>
      <c r="M531" s="94"/>
      <c r="N531" s="93">
        <f>SUM(B531:I531)</f>
        <v>3458.333333</v>
      </c>
    </row>
    <row r="532">
      <c r="A532" s="93" t="s">
        <v>141</v>
      </c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3">
        <f>SUM(B532:J532)</f>
        <v>0</v>
      </c>
    </row>
    <row r="533">
      <c r="A533" s="95" t="s">
        <v>118</v>
      </c>
      <c r="B533" s="96">
        <f t="shared" ref="B533:C533" si="187">B521+B531</f>
        <v>16041.66667</v>
      </c>
      <c r="C533" s="96">
        <f t="shared" si="187"/>
        <v>16000</v>
      </c>
      <c r="D533" s="96">
        <f>D521+D532+D531-D530</f>
        <v>16916.66667</v>
      </c>
      <c r="E533" s="96">
        <f>E524+E531</f>
        <v>11000</v>
      </c>
      <c r="F533" s="96">
        <f>F524</f>
        <v>14000</v>
      </c>
      <c r="G533" s="96">
        <f t="shared" ref="G533:H533" si="188">G524+G532</f>
        <v>17000</v>
      </c>
      <c r="H533" s="96">
        <f t="shared" si="188"/>
        <v>18000</v>
      </c>
      <c r="I533" s="96">
        <f t="shared" ref="I533:K533" si="189">I524</f>
        <v>11000</v>
      </c>
      <c r="J533" s="96">
        <f t="shared" si="189"/>
        <v>12000</v>
      </c>
      <c r="K533" s="96">
        <f t="shared" si="189"/>
        <v>15000</v>
      </c>
      <c r="L533" s="96">
        <f>L521</f>
        <v>10000</v>
      </c>
      <c r="M533" s="96"/>
      <c r="N533" s="95">
        <f>SUM(B533:K533)</f>
        <v>146958.3333</v>
      </c>
    </row>
    <row r="534">
      <c r="A534" s="119" t="s">
        <v>138</v>
      </c>
      <c r="B534" s="112">
        <f t="shared" ref="B534:G534" si="190">B524/6/8</f>
        <v>291.6666667</v>
      </c>
      <c r="C534" s="112">
        <f t="shared" si="190"/>
        <v>333.3333333</v>
      </c>
      <c r="D534" s="112">
        <f t="shared" si="190"/>
        <v>354.1666667</v>
      </c>
      <c r="E534" s="112">
        <f t="shared" si="190"/>
        <v>229.1666667</v>
      </c>
      <c r="F534" s="112">
        <f t="shared" si="190"/>
        <v>291.6666667</v>
      </c>
      <c r="G534" s="112">
        <f t="shared" si="190"/>
        <v>354.1666667</v>
      </c>
      <c r="H534" s="112">
        <f>H524/5/8</f>
        <v>450</v>
      </c>
      <c r="I534" s="112">
        <f t="shared" ref="I534:L534" si="191">I524/6/8</f>
        <v>229.1666667</v>
      </c>
      <c r="J534" s="112">
        <f t="shared" si="191"/>
        <v>250</v>
      </c>
      <c r="K534" s="112">
        <f t="shared" si="191"/>
        <v>312.5</v>
      </c>
      <c r="L534" s="113">
        <f t="shared" si="191"/>
        <v>208.3333333</v>
      </c>
      <c r="M534" s="114"/>
    </row>
    <row r="536">
      <c r="A536" s="92" t="s">
        <v>157</v>
      </c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8"/>
    </row>
    <row r="537">
      <c r="A537" s="115" t="s">
        <v>140</v>
      </c>
      <c r="B537" s="94"/>
      <c r="C537" s="94"/>
      <c r="D537" s="94">
        <v>1500.0</v>
      </c>
      <c r="E537" s="94"/>
      <c r="F537" s="94"/>
      <c r="G537" s="94"/>
      <c r="H537" s="94"/>
      <c r="I537" s="94"/>
      <c r="J537" s="94"/>
      <c r="K537" s="94"/>
      <c r="L537" s="94"/>
      <c r="M537" s="94"/>
      <c r="N537" s="93"/>
    </row>
    <row r="538">
      <c r="A538" s="93" t="s">
        <v>40</v>
      </c>
      <c r="B538" s="94">
        <f>4*B534</f>
        <v>1166.666667</v>
      </c>
      <c r="C538" s="94"/>
      <c r="D538" s="94">
        <f>3*D534</f>
        <v>1062.5</v>
      </c>
      <c r="E538" s="94"/>
      <c r="F538" s="94">
        <f>2*F534</f>
        <v>583.3333333</v>
      </c>
      <c r="G538" s="94"/>
      <c r="H538" s="94"/>
      <c r="I538" s="94"/>
      <c r="J538" s="94"/>
      <c r="K538" s="94"/>
      <c r="L538" s="94"/>
      <c r="M538" s="94"/>
      <c r="N538" s="93">
        <f>SUM(B538:J538)</f>
        <v>2812.5</v>
      </c>
    </row>
    <row r="539">
      <c r="A539" s="93" t="s">
        <v>117</v>
      </c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>
        <f>4*L534</f>
        <v>833.3333333</v>
      </c>
      <c r="M539" s="94"/>
      <c r="N539" s="93">
        <f>SUM(B539:I539)</f>
        <v>0</v>
      </c>
    </row>
    <row r="540">
      <c r="A540" s="95" t="s">
        <v>118</v>
      </c>
      <c r="B540" s="96">
        <f>B522+B538</f>
        <v>15166.66667</v>
      </c>
      <c r="C540" s="96">
        <f>C524-C537+C538+C539</f>
        <v>16000</v>
      </c>
      <c r="D540" s="96">
        <f>D521-D537+D538+D539</f>
        <v>16562.5</v>
      </c>
      <c r="E540" s="96">
        <f t="shared" ref="E540:F540" si="192">E521+E538</f>
        <v>11000</v>
      </c>
      <c r="F540" s="96">
        <f t="shared" si="192"/>
        <v>14583.33333</v>
      </c>
      <c r="G540" s="96">
        <f t="shared" ref="G540:H540" si="193">G524-G537+G538+G539</f>
        <v>17000</v>
      </c>
      <c r="H540" s="96">
        <f t="shared" si="193"/>
        <v>18000</v>
      </c>
      <c r="I540" s="96">
        <f t="shared" ref="I540:K540" si="194">I521+I538</f>
        <v>11000</v>
      </c>
      <c r="J540" s="96">
        <f t="shared" si="194"/>
        <v>12000</v>
      </c>
      <c r="K540" s="96">
        <f t="shared" si="194"/>
        <v>15000</v>
      </c>
      <c r="L540" s="96">
        <f>L521+L538+L539</f>
        <v>10833.33333</v>
      </c>
      <c r="M540" s="96"/>
      <c r="N540" s="95">
        <f>SUM(B540:M540)</f>
        <v>157145.8333</v>
      </c>
    </row>
    <row r="541">
      <c r="A541" s="92" t="s">
        <v>158</v>
      </c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8"/>
    </row>
    <row r="542">
      <c r="A542" s="93" t="s">
        <v>116</v>
      </c>
      <c r="B542" s="94"/>
      <c r="C542" s="94"/>
      <c r="D542" s="94">
        <v>1500.0</v>
      </c>
      <c r="E542" s="94"/>
      <c r="F542" s="94"/>
      <c r="G542" s="94"/>
      <c r="H542" s="94"/>
      <c r="I542" s="94"/>
      <c r="J542" s="94"/>
      <c r="K542" s="94"/>
      <c r="L542" s="94"/>
      <c r="M542" s="94"/>
      <c r="N542" s="93"/>
    </row>
    <row r="543">
      <c r="A543" s="93" t="s">
        <v>40</v>
      </c>
      <c r="B543" s="94">
        <f>5*B534</f>
        <v>1458.333333</v>
      </c>
      <c r="C543" s="94">
        <f>C534</f>
        <v>333.3333333</v>
      </c>
      <c r="D543" s="94">
        <f>4*D534</f>
        <v>1416.666667</v>
      </c>
      <c r="E543" s="94"/>
      <c r="F543" s="94"/>
      <c r="G543" s="94"/>
      <c r="H543" s="94"/>
      <c r="I543" s="94"/>
      <c r="J543" s="94"/>
      <c r="K543" s="94"/>
      <c r="L543" s="94"/>
      <c r="M543" s="94"/>
      <c r="N543" s="93">
        <f>SUM(B543:K543)</f>
        <v>3208.333333</v>
      </c>
    </row>
    <row r="544">
      <c r="A544" s="93" t="s">
        <v>141</v>
      </c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3">
        <f>SUM(B544:I544)</f>
        <v>0</v>
      </c>
    </row>
    <row r="545">
      <c r="A545" s="95" t="s">
        <v>118</v>
      </c>
      <c r="B545" s="96">
        <f t="shared" ref="B545:C545" si="195">B524+B543</f>
        <v>15458.33333</v>
      </c>
      <c r="C545" s="96">
        <f t="shared" si="195"/>
        <v>16333.33333</v>
      </c>
      <c r="D545" s="96">
        <f>D524+D543-D542</f>
        <v>16916.66667</v>
      </c>
      <c r="E545" s="96">
        <f t="shared" ref="E545:F545" si="196">E524-E542+E543+E544</f>
        <v>11000</v>
      </c>
      <c r="F545" s="96">
        <f t="shared" si="196"/>
        <v>14000</v>
      </c>
      <c r="G545" s="96">
        <f t="shared" ref="G545:H545" si="197">G524+G543</f>
        <v>17000</v>
      </c>
      <c r="H545" s="96">
        <f t="shared" si="197"/>
        <v>18000</v>
      </c>
      <c r="I545" s="96">
        <f t="shared" ref="I545:J545" si="198">I524+I543+I544</f>
        <v>11000</v>
      </c>
      <c r="J545" s="96">
        <f t="shared" si="198"/>
        <v>12000</v>
      </c>
      <c r="K545" s="96">
        <f>K523+K543+K544</f>
        <v>15000</v>
      </c>
      <c r="L545" s="96">
        <f>L524+L543+L544</f>
        <v>10000</v>
      </c>
      <c r="M545" s="96"/>
      <c r="N545" s="95">
        <f>SUM(B545:M545)</f>
        <v>156708.3333</v>
      </c>
    </row>
    <row r="546">
      <c r="A546" s="92" t="s">
        <v>159</v>
      </c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8"/>
    </row>
    <row r="547">
      <c r="A547" s="93" t="s">
        <v>116</v>
      </c>
      <c r="B547" s="94"/>
      <c r="C547" s="94"/>
      <c r="D547" s="94">
        <v>1500.0</v>
      </c>
      <c r="E547" s="94"/>
      <c r="F547" s="94"/>
      <c r="G547" s="94"/>
      <c r="H547" s="94"/>
      <c r="I547" s="94"/>
      <c r="J547" s="94"/>
      <c r="K547" s="94"/>
      <c r="L547" s="94"/>
      <c r="M547" s="94"/>
      <c r="N547" s="93"/>
    </row>
    <row r="548">
      <c r="A548" s="93" t="s">
        <v>40</v>
      </c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3">
        <f>SUM(B548:J548)</f>
        <v>0</v>
      </c>
    </row>
    <row r="549">
      <c r="A549" s="93" t="s">
        <v>117</v>
      </c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3">
        <f>SUM(B549:I549)</f>
        <v>0</v>
      </c>
    </row>
    <row r="550">
      <c r="A550" s="95" t="s">
        <v>118</v>
      </c>
      <c r="B550" s="96">
        <f>B524+B549+B548</f>
        <v>14000</v>
      </c>
      <c r="C550" s="96">
        <f>C524+C548+C549</f>
        <v>16000</v>
      </c>
      <c r="D550" s="96">
        <f>D523-D547+D548+D549</f>
        <v>15500</v>
      </c>
      <c r="E550" s="96" t="str">
        <f>(E524/6)-E547+E548+E549+#REF!</f>
        <v>#REF!</v>
      </c>
      <c r="F550" s="96" t="str">
        <f>F524-F547+F548+F549+#REF!</f>
        <v>#REF!</v>
      </c>
      <c r="G550" s="96">
        <f>G524+G548+G549</f>
        <v>17000</v>
      </c>
      <c r="H550" s="96">
        <f>H523+H549+H548</f>
        <v>18000</v>
      </c>
      <c r="I550" s="96">
        <f t="shared" ref="I550:K550" si="199">I524+I548</f>
        <v>11000</v>
      </c>
      <c r="J550" s="96">
        <f t="shared" si="199"/>
        <v>12000</v>
      </c>
      <c r="K550" s="96">
        <f t="shared" si="199"/>
        <v>15000</v>
      </c>
      <c r="L550" s="96" t="str">
        <f>L524+L548+L549+#REF!</f>
        <v>#REF!</v>
      </c>
      <c r="M550" s="96"/>
      <c r="N550" s="95" t="str">
        <f>SUM(B550:L550)</f>
        <v>#REF!</v>
      </c>
    </row>
    <row r="551">
      <c r="A551" s="92" t="s">
        <v>160</v>
      </c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8"/>
    </row>
    <row r="552">
      <c r="A552" s="93" t="s">
        <v>116</v>
      </c>
      <c r="B552" s="94"/>
      <c r="C552" s="94"/>
      <c r="D552" s="94">
        <v>1500.0</v>
      </c>
      <c r="E552" s="94"/>
      <c r="F552" s="94"/>
      <c r="G552" s="94"/>
      <c r="H552" s="94"/>
      <c r="I552" s="94"/>
      <c r="J552" s="94"/>
      <c r="K552" s="94"/>
      <c r="L552" s="94"/>
      <c r="M552" s="94"/>
      <c r="N552" s="93"/>
    </row>
    <row r="553">
      <c r="A553" s="93" t="s">
        <v>40</v>
      </c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3">
        <f>SUM(B553:I553)</f>
        <v>0</v>
      </c>
    </row>
    <row r="554">
      <c r="A554" s="93" t="s">
        <v>117</v>
      </c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3">
        <f>SUM(B554:J554)</f>
        <v>0</v>
      </c>
    </row>
    <row r="555">
      <c r="A555" s="95" t="s">
        <v>118</v>
      </c>
      <c r="B555" s="96">
        <f t="shared" ref="B555:C555" si="200">B561</f>
        <v>16000</v>
      </c>
      <c r="C555" s="96">
        <f t="shared" si="200"/>
        <v>18000</v>
      </c>
      <c r="D555" s="96">
        <f>D561-D552</f>
        <v>18500</v>
      </c>
      <c r="E555" s="96">
        <f>E561</f>
        <v>12000</v>
      </c>
      <c r="F555" s="96">
        <f>F524-F552+F553+F554</f>
        <v>14000</v>
      </c>
      <c r="G555" s="96">
        <f t="shared" ref="G555:H555" si="201">G561</f>
        <v>20000</v>
      </c>
      <c r="H555" s="96">
        <f t="shared" si="201"/>
        <v>20000</v>
      </c>
      <c r="I555" s="96">
        <f>I524+I553+I554</f>
        <v>11000</v>
      </c>
      <c r="J555" s="96">
        <f>J561</f>
        <v>14000</v>
      </c>
      <c r="K555" s="96">
        <f>K524+K554+K553</f>
        <v>15000</v>
      </c>
      <c r="L555" s="96">
        <f>L524+L553+L554</f>
        <v>10000</v>
      </c>
      <c r="M555" s="96"/>
      <c r="N555" s="95">
        <f>SUM(B555:K555)</f>
        <v>158500</v>
      </c>
    </row>
    <row r="558">
      <c r="A558" s="122"/>
      <c r="B558" s="123" t="s">
        <v>161</v>
      </c>
      <c r="C558" s="124"/>
      <c r="D558" s="124" t="s">
        <v>153</v>
      </c>
      <c r="E558" s="124" t="s">
        <v>154</v>
      </c>
      <c r="F558" s="124"/>
      <c r="G558" s="124" t="s">
        <v>153</v>
      </c>
      <c r="H558" s="122" t="s">
        <v>153</v>
      </c>
      <c r="I558" s="122"/>
      <c r="J558" s="125">
        <v>14000.0</v>
      </c>
      <c r="K558" s="122"/>
      <c r="L558" s="125">
        <v>11000.0</v>
      </c>
      <c r="M558" s="122"/>
      <c r="N558" s="122"/>
    </row>
    <row r="559">
      <c r="A559" s="126" t="s">
        <v>0</v>
      </c>
      <c r="B559" s="127" t="s">
        <v>128</v>
      </c>
      <c r="C559" s="127" t="s">
        <v>90</v>
      </c>
      <c r="D559" s="127" t="s">
        <v>3</v>
      </c>
      <c r="E559" s="127" t="s">
        <v>136</v>
      </c>
      <c r="F559" s="127" t="s">
        <v>91</v>
      </c>
      <c r="G559" s="127" t="s">
        <v>6</v>
      </c>
      <c r="H559" s="128" t="s">
        <v>92</v>
      </c>
      <c r="I559" s="128" t="s">
        <v>122</v>
      </c>
      <c r="J559" s="129" t="s">
        <v>162</v>
      </c>
      <c r="K559" s="128" t="s">
        <v>133</v>
      </c>
      <c r="L559" s="128" t="s">
        <v>155</v>
      </c>
      <c r="M559" s="129" t="s">
        <v>163</v>
      </c>
      <c r="N559" s="128" t="s">
        <v>110</v>
      </c>
      <c r="O559" s="72" t="s">
        <v>164</v>
      </c>
    </row>
    <row r="560">
      <c r="A560" s="130" t="s">
        <v>94</v>
      </c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2"/>
    </row>
    <row r="561">
      <c r="A561" s="133" t="s">
        <v>111</v>
      </c>
      <c r="B561" s="134">
        <v>16000.0</v>
      </c>
      <c r="C561" s="134">
        <v>18000.0</v>
      </c>
      <c r="D561" s="134">
        <v>20000.0</v>
      </c>
      <c r="E561" s="134">
        <v>12000.0</v>
      </c>
      <c r="F561" s="135">
        <v>14000.0</v>
      </c>
      <c r="G561" s="134">
        <v>20000.0</v>
      </c>
      <c r="H561" s="134">
        <v>20000.0</v>
      </c>
      <c r="I561" s="135">
        <v>11000.0</v>
      </c>
      <c r="J561" s="134">
        <v>14000.0</v>
      </c>
      <c r="K561" s="135">
        <v>15000.0</v>
      </c>
      <c r="L561" s="134">
        <v>11000.0</v>
      </c>
      <c r="M561" s="134">
        <v>12000.0</v>
      </c>
      <c r="N561" s="136">
        <f t="shared" ref="N561:N564" si="202">SUM(B561:M561)</f>
        <v>183000</v>
      </c>
    </row>
    <row r="562">
      <c r="A562" s="137"/>
      <c r="B562" s="134">
        <v>16000.0</v>
      </c>
      <c r="C562" s="134">
        <v>18000.0</v>
      </c>
      <c r="D562" s="134">
        <v>20000.0</v>
      </c>
      <c r="E562" s="134">
        <v>12000.0</v>
      </c>
      <c r="F562" s="135">
        <v>14000.0</v>
      </c>
      <c r="G562" s="134">
        <v>20000.0</v>
      </c>
      <c r="H562" s="134">
        <v>20000.0</v>
      </c>
      <c r="I562" s="135">
        <v>11000.0</v>
      </c>
      <c r="J562" s="134">
        <v>14000.0</v>
      </c>
      <c r="K562" s="135">
        <v>15000.0</v>
      </c>
      <c r="L562" s="134">
        <v>11000.0</v>
      </c>
      <c r="M562" s="134">
        <v>12000.0</v>
      </c>
      <c r="N562" s="136">
        <f t="shared" si="202"/>
        <v>183000</v>
      </c>
    </row>
    <row r="563">
      <c r="A563" s="137"/>
      <c r="B563" s="134">
        <v>16000.0</v>
      </c>
      <c r="C563" s="134">
        <v>18000.0</v>
      </c>
      <c r="D563" s="134">
        <v>20000.0</v>
      </c>
      <c r="E563" s="134">
        <v>12000.0</v>
      </c>
      <c r="F563" s="135">
        <v>14000.0</v>
      </c>
      <c r="G563" s="134">
        <v>20000.0</v>
      </c>
      <c r="H563" s="134">
        <v>20000.0</v>
      </c>
      <c r="I563" s="135">
        <v>11000.0</v>
      </c>
      <c r="J563" s="134">
        <v>14000.0</v>
      </c>
      <c r="K563" s="135">
        <v>15000.0</v>
      </c>
      <c r="L563" s="134">
        <v>11000.0</v>
      </c>
      <c r="M563" s="134">
        <v>12000.0</v>
      </c>
      <c r="N563" s="136">
        <f t="shared" si="202"/>
        <v>183000</v>
      </c>
    </row>
    <row r="564">
      <c r="A564" s="138"/>
      <c r="B564" s="134">
        <v>16000.0</v>
      </c>
      <c r="C564" s="134">
        <v>18000.0</v>
      </c>
      <c r="D564" s="134">
        <v>20000.0</v>
      </c>
      <c r="E564" s="134">
        <v>12000.0</v>
      </c>
      <c r="F564" s="135">
        <v>14000.0</v>
      </c>
      <c r="G564" s="134">
        <v>20000.0</v>
      </c>
      <c r="H564" s="134">
        <v>20000.0</v>
      </c>
      <c r="I564" s="135">
        <v>11000.0</v>
      </c>
      <c r="J564" s="134">
        <v>14000.0</v>
      </c>
      <c r="K564" s="135">
        <v>15000.0</v>
      </c>
      <c r="L564" s="134">
        <v>11000.0</v>
      </c>
      <c r="M564" s="134">
        <v>12000.0</v>
      </c>
      <c r="N564" s="139">
        <f t="shared" si="202"/>
        <v>183000</v>
      </c>
    </row>
    <row r="565">
      <c r="A565" s="140" t="s">
        <v>113</v>
      </c>
      <c r="B565" s="141">
        <f t="shared" ref="B565:N565" si="203">SUM(B561:B564)</f>
        <v>64000</v>
      </c>
      <c r="C565" s="141">
        <f t="shared" si="203"/>
        <v>72000</v>
      </c>
      <c r="D565" s="141">
        <f t="shared" si="203"/>
        <v>80000</v>
      </c>
      <c r="E565" s="141">
        <f t="shared" si="203"/>
        <v>48000</v>
      </c>
      <c r="F565" s="141">
        <f t="shared" si="203"/>
        <v>56000</v>
      </c>
      <c r="G565" s="141">
        <f t="shared" si="203"/>
        <v>80000</v>
      </c>
      <c r="H565" s="141">
        <f t="shared" si="203"/>
        <v>80000</v>
      </c>
      <c r="I565" s="141">
        <f t="shared" si="203"/>
        <v>44000</v>
      </c>
      <c r="J565" s="141">
        <f t="shared" si="203"/>
        <v>56000</v>
      </c>
      <c r="K565" s="141">
        <f t="shared" si="203"/>
        <v>60000</v>
      </c>
      <c r="L565" s="141">
        <f t="shared" si="203"/>
        <v>44000</v>
      </c>
      <c r="M565" s="141">
        <f t="shared" si="203"/>
        <v>48000</v>
      </c>
      <c r="N565" s="141">
        <f t="shared" si="203"/>
        <v>732000</v>
      </c>
    </row>
    <row r="566">
      <c r="A566" s="142"/>
      <c r="B566" s="143" t="s">
        <v>115</v>
      </c>
      <c r="C566" s="143" t="s">
        <v>115</v>
      </c>
      <c r="D566" s="143" t="s">
        <v>114</v>
      </c>
      <c r="E566" s="143" t="s">
        <v>115</v>
      </c>
      <c r="F566" s="143" t="s">
        <v>115</v>
      </c>
      <c r="G566" s="143" t="s">
        <v>114</v>
      </c>
      <c r="H566" s="143" t="s">
        <v>114</v>
      </c>
      <c r="I566" s="144" t="s">
        <v>115</v>
      </c>
      <c r="J566" s="144" t="s">
        <v>115</v>
      </c>
      <c r="K566" s="144"/>
      <c r="L566" s="144"/>
      <c r="M566" s="144"/>
      <c r="N566" s="145"/>
    </row>
    <row r="567">
      <c r="A567" s="142"/>
      <c r="B567" s="146"/>
      <c r="C567" s="147">
        <v>20000.0</v>
      </c>
      <c r="D567" s="146"/>
      <c r="E567" s="147">
        <v>14000.0</v>
      </c>
      <c r="F567" s="146"/>
      <c r="G567" s="146"/>
      <c r="H567" s="148"/>
      <c r="I567" s="145"/>
      <c r="J567" s="145"/>
      <c r="K567" s="145"/>
      <c r="L567" s="145"/>
      <c r="M567" s="145"/>
      <c r="N567" s="145"/>
    </row>
    <row r="568">
      <c r="A568" s="126" t="s">
        <v>0</v>
      </c>
      <c r="B568" s="127" t="s">
        <v>128</v>
      </c>
      <c r="C568" s="127" t="s">
        <v>90</v>
      </c>
      <c r="D568" s="127" t="s">
        <v>3</v>
      </c>
      <c r="E568" s="127" t="s">
        <v>136</v>
      </c>
      <c r="F568" s="127" t="s">
        <v>91</v>
      </c>
      <c r="G568" s="127" t="s">
        <v>6</v>
      </c>
      <c r="H568" s="128" t="s">
        <v>92</v>
      </c>
      <c r="I568" s="128" t="s">
        <v>122</v>
      </c>
      <c r="J568" s="129" t="s">
        <v>162</v>
      </c>
      <c r="K568" s="128" t="s">
        <v>133</v>
      </c>
      <c r="L568" s="128" t="s">
        <v>155</v>
      </c>
      <c r="M568" s="129" t="s">
        <v>165</v>
      </c>
      <c r="N568" s="128" t="s">
        <v>110</v>
      </c>
    </row>
    <row r="569">
      <c r="A569" s="130" t="s">
        <v>166</v>
      </c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2"/>
    </row>
    <row r="570">
      <c r="A570" s="149" t="s">
        <v>116</v>
      </c>
      <c r="B570" s="150"/>
      <c r="C570" s="150"/>
      <c r="D570" s="151"/>
      <c r="E570" s="150"/>
      <c r="F570" s="150"/>
      <c r="G570" s="150"/>
      <c r="H570" s="150"/>
      <c r="I570" s="150"/>
      <c r="J570" s="150"/>
      <c r="K570" s="150"/>
      <c r="L570" s="150"/>
      <c r="M570" s="150"/>
      <c r="N570" s="152"/>
    </row>
    <row r="571">
      <c r="A571" s="149" t="s">
        <v>40</v>
      </c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2">
        <f>SUM(B571:I571)</f>
        <v>0</v>
      </c>
    </row>
    <row r="572">
      <c r="A572" s="149" t="s">
        <v>141</v>
      </c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2">
        <f>SUM(B572:J572)</f>
        <v>0</v>
      </c>
    </row>
    <row r="573">
      <c r="A573" s="153" t="s">
        <v>167</v>
      </c>
      <c r="B573" s="151" t="s">
        <v>168</v>
      </c>
      <c r="C573" s="150"/>
      <c r="D573" s="150"/>
      <c r="E573" s="150"/>
      <c r="F573" s="150"/>
      <c r="G573" s="150"/>
      <c r="H573" s="150"/>
      <c r="I573" s="151" t="s">
        <v>169</v>
      </c>
      <c r="J573" s="150"/>
      <c r="K573" s="151" t="s">
        <v>170</v>
      </c>
      <c r="L573" s="150"/>
      <c r="M573" s="150"/>
      <c r="N573" s="152"/>
    </row>
    <row r="574">
      <c r="A574" s="154" t="s">
        <v>118</v>
      </c>
      <c r="B574" s="155">
        <f t="shared" ref="B574:C574" si="204">B561+B571</f>
        <v>16000</v>
      </c>
      <c r="C574" s="155">
        <f t="shared" si="204"/>
        <v>18000</v>
      </c>
      <c r="D574" s="155">
        <f>D561+D572+D571-D570</f>
        <v>20000</v>
      </c>
      <c r="E574" s="155">
        <f>E564+E571</f>
        <v>12000</v>
      </c>
      <c r="F574" s="155">
        <f>F564</f>
        <v>14000</v>
      </c>
      <c r="G574" s="155">
        <f t="shared" ref="G574:H574" si="205">G564+G572</f>
        <v>20000</v>
      </c>
      <c r="H574" s="155">
        <f t="shared" si="205"/>
        <v>20000</v>
      </c>
      <c r="I574" s="155">
        <f t="shared" ref="I574:K574" si="206">I564</f>
        <v>11000</v>
      </c>
      <c r="J574" s="155">
        <f t="shared" si="206"/>
        <v>14000</v>
      </c>
      <c r="K574" s="155">
        <f t="shared" si="206"/>
        <v>15000</v>
      </c>
      <c r="L574" s="155">
        <f t="shared" ref="L574:M574" si="207">L561</f>
        <v>11000</v>
      </c>
      <c r="M574" s="155">
        <f t="shared" si="207"/>
        <v>12000</v>
      </c>
      <c r="N574" s="156">
        <f>SUM(B574:M574)</f>
        <v>183000</v>
      </c>
    </row>
    <row r="575">
      <c r="A575" s="157" t="s">
        <v>138</v>
      </c>
      <c r="B575" s="158">
        <f t="shared" ref="B575:G575" si="208">B564/6/8</f>
        <v>333.3333333</v>
      </c>
      <c r="C575" s="158">
        <f t="shared" si="208"/>
        <v>375</v>
      </c>
      <c r="D575" s="158">
        <f t="shared" si="208"/>
        <v>416.6666667</v>
      </c>
      <c r="E575" s="158">
        <f t="shared" si="208"/>
        <v>250</v>
      </c>
      <c r="F575" s="158">
        <f t="shared" si="208"/>
        <v>291.6666667</v>
      </c>
      <c r="G575" s="158">
        <f t="shared" si="208"/>
        <v>416.6666667</v>
      </c>
      <c r="H575" s="158">
        <f>H564/5/8</f>
        <v>500</v>
      </c>
      <c r="I575" s="158">
        <f t="shared" ref="I575:L575" si="209">I564/6/8</f>
        <v>229.1666667</v>
      </c>
      <c r="J575" s="158">
        <f t="shared" si="209"/>
        <v>291.6666667</v>
      </c>
      <c r="K575" s="158">
        <f t="shared" si="209"/>
        <v>312.5</v>
      </c>
      <c r="L575" s="158">
        <f t="shared" si="209"/>
        <v>229.1666667</v>
      </c>
      <c r="M575" s="159"/>
      <c r="N575" s="122"/>
    </row>
    <row r="576">
      <c r="A576" s="124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</row>
    <row r="577">
      <c r="A577" s="130" t="s">
        <v>171</v>
      </c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2"/>
    </row>
    <row r="578">
      <c r="A578" s="160" t="s">
        <v>116</v>
      </c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2"/>
    </row>
    <row r="579">
      <c r="A579" s="149" t="s">
        <v>40</v>
      </c>
      <c r="B579" s="150">
        <f t="shared" ref="B579:C579" si="210">B575*0</f>
        <v>0</v>
      </c>
      <c r="C579" s="150">
        <f t="shared" si="210"/>
        <v>0</v>
      </c>
      <c r="D579" s="151">
        <f>D575*3</f>
        <v>1250</v>
      </c>
      <c r="E579" s="150">
        <f t="shared" ref="E579:L579" si="211">E575*0</f>
        <v>0</v>
      </c>
      <c r="F579" s="150">
        <f t="shared" si="211"/>
        <v>0</v>
      </c>
      <c r="G579" s="150">
        <f t="shared" si="211"/>
        <v>0</v>
      </c>
      <c r="H579" s="150">
        <f t="shared" si="211"/>
        <v>0</v>
      </c>
      <c r="I579" s="150">
        <f t="shared" si="211"/>
        <v>0</v>
      </c>
      <c r="J579" s="150">
        <f t="shared" si="211"/>
        <v>0</v>
      </c>
      <c r="K579" s="150">
        <f t="shared" si="211"/>
        <v>0</v>
      </c>
      <c r="L579" s="150">
        <f t="shared" si="211"/>
        <v>0</v>
      </c>
      <c r="M579" s="150"/>
      <c r="N579" s="152">
        <f>SUM(B579:J579)</f>
        <v>1250</v>
      </c>
    </row>
    <row r="580">
      <c r="A580" s="149" t="s">
        <v>117</v>
      </c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2">
        <f>SUM(B580:I580)</f>
        <v>0</v>
      </c>
    </row>
    <row r="581">
      <c r="A581" s="153" t="s">
        <v>167</v>
      </c>
      <c r="B581" s="150"/>
      <c r="C581" s="150"/>
      <c r="D581" s="150"/>
      <c r="E581" s="150"/>
      <c r="F581" s="150"/>
      <c r="G581" s="150"/>
      <c r="H581" s="150"/>
      <c r="I581" s="151" t="s">
        <v>169</v>
      </c>
      <c r="J581" s="150"/>
      <c r="K581" s="150"/>
      <c r="L581" s="150"/>
      <c r="M581" s="150"/>
      <c r="N581" s="152"/>
    </row>
    <row r="582">
      <c r="A582" s="154" t="s">
        <v>118</v>
      </c>
      <c r="B582" s="155">
        <f>B562+B579</f>
        <v>16000</v>
      </c>
      <c r="C582" s="155">
        <f>C564-C578+C579+C580</f>
        <v>18000</v>
      </c>
      <c r="D582" s="155">
        <f>D561-D578+D579+D580</f>
        <v>21250</v>
      </c>
      <c r="E582" s="155">
        <f t="shared" ref="E582:F582" si="212">E561+E579</f>
        <v>12000</v>
      </c>
      <c r="F582" s="155">
        <f t="shared" si="212"/>
        <v>14000</v>
      </c>
      <c r="G582" s="155">
        <f t="shared" ref="G582:H582" si="213">G564-G578+G579+G580</f>
        <v>20000</v>
      </c>
      <c r="H582" s="155">
        <f t="shared" si="213"/>
        <v>20000</v>
      </c>
      <c r="I582" s="155">
        <f t="shared" ref="I582:K582" si="214">I561+I579</f>
        <v>11000</v>
      </c>
      <c r="J582" s="155">
        <f t="shared" si="214"/>
        <v>14000</v>
      </c>
      <c r="K582" s="155">
        <f t="shared" si="214"/>
        <v>15000</v>
      </c>
      <c r="L582" s="155">
        <f>L561+L579+L580</f>
        <v>11000</v>
      </c>
      <c r="M582" s="155"/>
      <c r="N582" s="156">
        <f>SUM(B582:M582)</f>
        <v>172250</v>
      </c>
    </row>
    <row r="583">
      <c r="A583" s="130" t="s">
        <v>172</v>
      </c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2"/>
    </row>
    <row r="584">
      <c r="A584" s="149" t="s">
        <v>116</v>
      </c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2"/>
    </row>
    <row r="585">
      <c r="A585" s="149" t="s">
        <v>40</v>
      </c>
      <c r="B585" s="150">
        <f t="shared" ref="B585:C585" si="215">1*B575</f>
        <v>333.3333333</v>
      </c>
      <c r="C585" s="150">
        <f t="shared" si="215"/>
        <v>375</v>
      </c>
      <c r="D585" s="151">
        <f>5*D575</f>
        <v>2083.333333</v>
      </c>
      <c r="E585" s="150"/>
      <c r="F585" s="150"/>
      <c r="G585" s="150"/>
      <c r="H585" s="150"/>
      <c r="I585" s="150"/>
      <c r="J585" s="150"/>
      <c r="K585" s="150"/>
      <c r="L585" s="150"/>
      <c r="M585" s="150"/>
      <c r="N585" s="152">
        <f>SUM(B585:K585)</f>
        <v>2791.666667</v>
      </c>
    </row>
    <row r="586">
      <c r="A586" s="149" t="s">
        <v>141</v>
      </c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2">
        <f>SUM(B586:I586)</f>
        <v>0</v>
      </c>
    </row>
    <row r="587">
      <c r="A587" s="153" t="s">
        <v>167</v>
      </c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</row>
    <row r="588">
      <c r="A588" s="154" t="s">
        <v>118</v>
      </c>
      <c r="B588" s="155">
        <f t="shared" ref="B588:C588" si="216">B564+B585</f>
        <v>16333.33333</v>
      </c>
      <c r="C588" s="155">
        <f t="shared" si="216"/>
        <v>18375</v>
      </c>
      <c r="D588" s="155">
        <f>D564+D585-D584</f>
        <v>22083.33333</v>
      </c>
      <c r="E588" s="155">
        <f t="shared" ref="E588:F588" si="217">E564-E584+E585+E586</f>
        <v>12000</v>
      </c>
      <c r="F588" s="155">
        <f t="shared" si="217"/>
        <v>14000</v>
      </c>
      <c r="G588" s="155">
        <f t="shared" ref="G588:H588" si="218">G564+G585</f>
        <v>20000</v>
      </c>
      <c r="H588" s="155">
        <f t="shared" si="218"/>
        <v>20000</v>
      </c>
      <c r="I588" s="155">
        <f t="shared" ref="I588:J588" si="219">I564+I585+I586</f>
        <v>11000</v>
      </c>
      <c r="J588" s="155">
        <f t="shared" si="219"/>
        <v>14000</v>
      </c>
      <c r="K588" s="155">
        <f>K563+K585+K586</f>
        <v>15000</v>
      </c>
      <c r="L588" s="155">
        <f>L564+L585+L586</f>
        <v>11000</v>
      </c>
      <c r="M588" s="155"/>
      <c r="N588" s="156">
        <f>SUM(B588:M588)</f>
        <v>173791.6667</v>
      </c>
    </row>
    <row r="589">
      <c r="A589" s="130" t="s">
        <v>173</v>
      </c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2"/>
    </row>
    <row r="590">
      <c r="A590" s="149" t="s">
        <v>116</v>
      </c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2"/>
    </row>
    <row r="591">
      <c r="A591" s="149" t="s">
        <v>40</v>
      </c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2">
        <f>SUM(B591:J591)</f>
        <v>0</v>
      </c>
    </row>
    <row r="592">
      <c r="A592" s="149" t="s">
        <v>117</v>
      </c>
      <c r="B592" s="162">
        <f t="shared" ref="B592:C592" si="220">B575*8</f>
        <v>2666.666667</v>
      </c>
      <c r="C592" s="150">
        <f t="shared" si="220"/>
        <v>3000</v>
      </c>
      <c r="D592" s="163"/>
      <c r="E592" s="164">
        <f>E575*8</f>
        <v>2000</v>
      </c>
      <c r="F592" s="150"/>
      <c r="G592" s="163">
        <f t="shared" ref="G592:L592" si="221">G575*8</f>
        <v>3333.333333</v>
      </c>
      <c r="H592" s="164">
        <f t="shared" si="221"/>
        <v>4000</v>
      </c>
      <c r="I592" s="163">
        <f t="shared" si="221"/>
        <v>1833.333333</v>
      </c>
      <c r="J592" s="163">
        <f t="shared" si="221"/>
        <v>2333.333333</v>
      </c>
      <c r="K592" s="150">
        <f t="shared" si="221"/>
        <v>2500</v>
      </c>
      <c r="L592" s="163">
        <f t="shared" si="221"/>
        <v>1833.333333</v>
      </c>
      <c r="M592" s="163">
        <f>M597*8</f>
        <v>2800</v>
      </c>
      <c r="N592" s="165">
        <f>SUM(B592:I592)</f>
        <v>16833.33333</v>
      </c>
    </row>
    <row r="593">
      <c r="A593" s="153" t="s">
        <v>167</v>
      </c>
      <c r="B593" s="166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7"/>
    </row>
    <row r="594">
      <c r="A594" s="168" t="s">
        <v>118</v>
      </c>
      <c r="B594" s="169">
        <f>B564+B592+B591</f>
        <v>18666.66667</v>
      </c>
      <c r="C594" s="169">
        <f>C564+C591+C592</f>
        <v>21000</v>
      </c>
      <c r="D594" s="169">
        <f t="shared" ref="D594:E594" si="222">D563-D590+D591+D592</f>
        <v>20000</v>
      </c>
      <c r="E594" s="169">
        <f t="shared" si="222"/>
        <v>14000</v>
      </c>
      <c r="F594" s="170">
        <f>F564-F590+F591+F592</f>
        <v>14000</v>
      </c>
      <c r="G594" s="169">
        <f>G564+G591+G592</f>
        <v>23333.33333</v>
      </c>
      <c r="H594" s="170">
        <f>H563+H592+H591</f>
        <v>24000</v>
      </c>
      <c r="I594" s="170">
        <f t="shared" ref="I594:K594" si="223">I564+I591</f>
        <v>11000</v>
      </c>
      <c r="J594" s="170">
        <f t="shared" si="223"/>
        <v>14000</v>
      </c>
      <c r="K594" s="170">
        <f t="shared" si="223"/>
        <v>15000</v>
      </c>
      <c r="L594" s="169">
        <f>L564+L591+L592</f>
        <v>12833.33333</v>
      </c>
      <c r="M594" s="171">
        <v>12000.0</v>
      </c>
      <c r="N594" s="172">
        <f>SUM(B594:M594)</f>
        <v>199833.3333</v>
      </c>
    </row>
    <row r="595">
      <c r="A595" s="173"/>
      <c r="O595" s="174">
        <f>SUM(N594+N592)</f>
        <v>216666.6667</v>
      </c>
    </row>
    <row r="596">
      <c r="A596" s="153" t="s">
        <v>167</v>
      </c>
      <c r="B596" s="166"/>
      <c r="C596" s="166">
        <f t="shared" ref="C596:D596" si="224">C565*10%</f>
        <v>7200</v>
      </c>
      <c r="D596" s="166">
        <f t="shared" si="224"/>
        <v>8000</v>
      </c>
      <c r="E596" s="166"/>
      <c r="F596" s="166"/>
      <c r="G596" s="166"/>
      <c r="H596" s="166"/>
      <c r="I596" s="166"/>
      <c r="J596" s="166"/>
      <c r="K596" s="166"/>
      <c r="L596" s="166"/>
      <c r="M596" s="166"/>
      <c r="N596" s="167"/>
    </row>
    <row r="597">
      <c r="A597" s="17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76">
        <v>350.0</v>
      </c>
      <c r="N597" s="175"/>
    </row>
    <row r="598">
      <c r="A598" s="17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75"/>
    </row>
    <row r="599">
      <c r="A599" s="126" t="s">
        <v>0</v>
      </c>
      <c r="B599" s="127" t="s">
        <v>128</v>
      </c>
      <c r="C599" s="127" t="s">
        <v>90</v>
      </c>
      <c r="D599" s="127" t="s">
        <v>3</v>
      </c>
      <c r="E599" s="127" t="s">
        <v>136</v>
      </c>
      <c r="F599" s="127" t="s">
        <v>91</v>
      </c>
      <c r="G599" s="127" t="s">
        <v>6</v>
      </c>
      <c r="H599" s="128" t="s">
        <v>92</v>
      </c>
      <c r="I599" s="128" t="s">
        <v>122</v>
      </c>
      <c r="J599" s="129" t="s">
        <v>162</v>
      </c>
      <c r="K599" s="128" t="s">
        <v>133</v>
      </c>
      <c r="L599" s="128" t="s">
        <v>155</v>
      </c>
      <c r="M599" s="129" t="s">
        <v>174</v>
      </c>
      <c r="N599" s="128" t="s">
        <v>110</v>
      </c>
    </row>
    <row r="600">
      <c r="A600" s="130" t="s">
        <v>175</v>
      </c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2"/>
    </row>
    <row r="601">
      <c r="A601" s="133" t="s">
        <v>111</v>
      </c>
      <c r="B601" s="134">
        <v>16000.0</v>
      </c>
      <c r="C601" s="134">
        <v>20000.0</v>
      </c>
      <c r="D601" s="134">
        <v>20000.0</v>
      </c>
      <c r="E601" s="134">
        <v>14000.0</v>
      </c>
      <c r="F601" s="135">
        <v>14000.0</v>
      </c>
      <c r="G601" s="134">
        <v>20000.0</v>
      </c>
      <c r="H601" s="134">
        <v>20000.0</v>
      </c>
      <c r="I601" s="135">
        <v>11000.0</v>
      </c>
      <c r="J601" s="134">
        <v>14000.0</v>
      </c>
      <c r="K601" s="135">
        <v>15000.0</v>
      </c>
      <c r="L601" s="134">
        <v>13000.0</v>
      </c>
      <c r="M601" s="134">
        <v>14000.0</v>
      </c>
      <c r="N601" s="136">
        <f t="shared" ref="N601:N604" si="225">SUM(B601:M601)</f>
        <v>191000</v>
      </c>
    </row>
    <row r="602">
      <c r="A602" s="137"/>
      <c r="B602" s="134">
        <v>16000.0</v>
      </c>
      <c r="C602" s="134">
        <v>20000.0</v>
      </c>
      <c r="D602" s="134">
        <v>20000.0</v>
      </c>
      <c r="E602" s="134">
        <v>14000.0</v>
      </c>
      <c r="F602" s="135">
        <v>14000.0</v>
      </c>
      <c r="G602" s="134">
        <v>20000.0</v>
      </c>
      <c r="H602" s="134">
        <v>20000.0</v>
      </c>
      <c r="I602" s="135">
        <v>11000.0</v>
      </c>
      <c r="J602" s="134">
        <v>14000.0</v>
      </c>
      <c r="K602" s="135">
        <v>15000.0</v>
      </c>
      <c r="L602" s="134">
        <v>13000.0</v>
      </c>
      <c r="M602" s="134">
        <v>14000.0</v>
      </c>
      <c r="N602" s="136">
        <f t="shared" si="225"/>
        <v>191000</v>
      </c>
    </row>
    <row r="603">
      <c r="A603" s="137"/>
      <c r="B603" s="134">
        <v>16000.0</v>
      </c>
      <c r="C603" s="134">
        <v>20000.0</v>
      </c>
      <c r="D603" s="134">
        <v>20000.0</v>
      </c>
      <c r="E603" s="134">
        <v>14000.0</v>
      </c>
      <c r="F603" s="135">
        <v>14000.0</v>
      </c>
      <c r="G603" s="134">
        <v>20000.0</v>
      </c>
      <c r="H603" s="134">
        <v>20000.0</v>
      </c>
      <c r="I603" s="135">
        <v>11000.0</v>
      </c>
      <c r="J603" s="134">
        <v>14000.0</v>
      </c>
      <c r="K603" s="135">
        <v>15000.0</v>
      </c>
      <c r="L603" s="134">
        <v>13000.0</v>
      </c>
      <c r="M603" s="134">
        <v>14000.0</v>
      </c>
      <c r="N603" s="136">
        <f t="shared" si="225"/>
        <v>191000</v>
      </c>
    </row>
    <row r="604">
      <c r="A604" s="138"/>
      <c r="B604" s="134">
        <v>16000.0</v>
      </c>
      <c r="C604" s="134">
        <v>20000.0</v>
      </c>
      <c r="D604" s="134">
        <v>20000.0</v>
      </c>
      <c r="E604" s="134">
        <v>14000.0</v>
      </c>
      <c r="F604" s="135">
        <v>14000.0</v>
      </c>
      <c r="G604" s="134">
        <v>20000.0</v>
      </c>
      <c r="H604" s="134">
        <v>20000.0</v>
      </c>
      <c r="I604" s="135">
        <v>11000.0</v>
      </c>
      <c r="J604" s="134">
        <v>14000.0</v>
      </c>
      <c r="K604" s="135">
        <v>15000.0</v>
      </c>
      <c r="L604" s="134">
        <v>13000.0</v>
      </c>
      <c r="M604" s="134">
        <v>14000.0</v>
      </c>
      <c r="N604" s="139">
        <f t="shared" si="225"/>
        <v>191000</v>
      </c>
    </row>
    <row r="605">
      <c r="A605" s="140" t="s">
        <v>113</v>
      </c>
      <c r="B605" s="141">
        <f t="shared" ref="B605:N605" si="226">SUM(B601:B604)</f>
        <v>64000</v>
      </c>
      <c r="C605" s="141">
        <f t="shared" si="226"/>
        <v>80000</v>
      </c>
      <c r="D605" s="141">
        <f t="shared" si="226"/>
        <v>80000</v>
      </c>
      <c r="E605" s="141">
        <f t="shared" si="226"/>
        <v>56000</v>
      </c>
      <c r="F605" s="141">
        <f t="shared" si="226"/>
        <v>56000</v>
      </c>
      <c r="G605" s="141">
        <f t="shared" si="226"/>
        <v>80000</v>
      </c>
      <c r="H605" s="141">
        <f t="shared" si="226"/>
        <v>80000</v>
      </c>
      <c r="I605" s="141">
        <f t="shared" si="226"/>
        <v>44000</v>
      </c>
      <c r="J605" s="141">
        <f t="shared" si="226"/>
        <v>56000</v>
      </c>
      <c r="K605" s="141">
        <f t="shared" si="226"/>
        <v>60000</v>
      </c>
      <c r="L605" s="141">
        <f t="shared" si="226"/>
        <v>52000</v>
      </c>
      <c r="M605" s="141">
        <f t="shared" si="226"/>
        <v>56000</v>
      </c>
      <c r="N605" s="141">
        <f t="shared" si="226"/>
        <v>764000</v>
      </c>
    </row>
    <row r="606">
      <c r="A606" s="142"/>
      <c r="B606" s="143" t="s">
        <v>115</v>
      </c>
      <c r="C606" s="143" t="s">
        <v>115</v>
      </c>
      <c r="D606" s="143" t="s">
        <v>114</v>
      </c>
      <c r="E606" s="143" t="s">
        <v>115</v>
      </c>
      <c r="F606" s="143" t="s">
        <v>115</v>
      </c>
      <c r="G606" s="143" t="s">
        <v>114</v>
      </c>
      <c r="H606" s="143" t="s">
        <v>114</v>
      </c>
      <c r="I606" s="144" t="s">
        <v>115</v>
      </c>
      <c r="J606" s="144" t="s">
        <v>115</v>
      </c>
      <c r="K606" s="144"/>
      <c r="L606" s="144"/>
      <c r="M606" s="144"/>
      <c r="N606" s="145"/>
    </row>
    <row r="607">
      <c r="A607" s="142"/>
      <c r="B607" s="146"/>
      <c r="C607" s="147"/>
      <c r="D607" s="146"/>
      <c r="E607" s="147"/>
      <c r="F607" s="146"/>
      <c r="G607" s="146"/>
      <c r="H607" s="148"/>
      <c r="I607" s="145"/>
      <c r="J607" s="145"/>
      <c r="K607" s="145"/>
      <c r="L607" s="145"/>
      <c r="M607" s="145"/>
      <c r="N607" s="145"/>
    </row>
    <row r="608">
      <c r="A608" s="126" t="s">
        <v>0</v>
      </c>
      <c r="B608" s="127" t="s">
        <v>128</v>
      </c>
      <c r="C608" s="127" t="s">
        <v>90</v>
      </c>
      <c r="D608" s="127" t="s">
        <v>3</v>
      </c>
      <c r="E608" s="127" t="s">
        <v>136</v>
      </c>
      <c r="F608" s="127" t="s">
        <v>91</v>
      </c>
      <c r="G608" s="127" t="s">
        <v>6</v>
      </c>
      <c r="H608" s="128" t="s">
        <v>92</v>
      </c>
      <c r="I608" s="128" t="s">
        <v>122</v>
      </c>
      <c r="J608" s="129" t="s">
        <v>162</v>
      </c>
      <c r="K608" s="128" t="s">
        <v>133</v>
      </c>
      <c r="L608" s="128" t="s">
        <v>155</v>
      </c>
      <c r="M608" s="129" t="s">
        <v>174</v>
      </c>
      <c r="N608" s="128" t="s">
        <v>110</v>
      </c>
    </row>
    <row r="609">
      <c r="A609" s="130" t="s">
        <v>176</v>
      </c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2"/>
    </row>
    <row r="610">
      <c r="A610" s="149" t="s">
        <v>116</v>
      </c>
      <c r="B610" s="150"/>
      <c r="C610" s="150"/>
      <c r="D610" s="151"/>
      <c r="E610" s="150"/>
      <c r="F610" s="150"/>
      <c r="G610" s="150"/>
      <c r="H610" s="150"/>
      <c r="I610" s="150"/>
      <c r="J610" s="150"/>
      <c r="K610" s="150"/>
      <c r="L610" s="150"/>
      <c r="M610" s="150"/>
      <c r="N610" s="152"/>
    </row>
    <row r="611">
      <c r="A611" s="149" t="s">
        <v>40</v>
      </c>
      <c r="B611" s="151">
        <f>B615</f>
        <v>333.3333333</v>
      </c>
      <c r="C611" s="150"/>
      <c r="D611" s="150">
        <f>6*D615</f>
        <v>2500</v>
      </c>
      <c r="E611" s="150"/>
      <c r="F611" s="150"/>
      <c r="G611" s="150"/>
      <c r="H611" s="150"/>
      <c r="I611" s="150"/>
      <c r="J611" s="150"/>
      <c r="K611" s="150"/>
      <c r="L611" s="150">
        <f>2*L615</f>
        <v>541.6666667</v>
      </c>
      <c r="M611" s="150"/>
      <c r="N611" s="152">
        <f>SUM(B611:I611)</f>
        <v>2833.333333</v>
      </c>
    </row>
    <row r="612">
      <c r="A612" s="149" t="s">
        <v>141</v>
      </c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2">
        <f>SUM(B612:J612)</f>
        <v>0</v>
      </c>
    </row>
    <row r="613">
      <c r="A613" s="153" t="s">
        <v>167</v>
      </c>
      <c r="B613" s="151"/>
      <c r="C613" s="150"/>
      <c r="D613" s="150"/>
      <c r="E613" s="150"/>
      <c r="F613" s="150"/>
      <c r="G613" s="150"/>
      <c r="H613" s="150"/>
      <c r="I613" s="151"/>
      <c r="J613" s="150"/>
      <c r="K613" s="151"/>
      <c r="L613" s="150"/>
      <c r="M613" s="150"/>
      <c r="N613" s="152"/>
    </row>
    <row r="614">
      <c r="A614" s="154" t="s">
        <v>118</v>
      </c>
      <c r="B614" s="155">
        <f t="shared" ref="B614:C614" si="227">B601+B611</f>
        <v>16333.33333</v>
      </c>
      <c r="C614" s="155">
        <f t="shared" si="227"/>
        <v>20000</v>
      </c>
      <c r="D614" s="155">
        <f>D601+D612+D611-D610</f>
        <v>22500</v>
      </c>
      <c r="E614" s="155">
        <f>E604+E611</f>
        <v>14000</v>
      </c>
      <c r="F614" s="155">
        <f>F604</f>
        <v>14000</v>
      </c>
      <c r="G614" s="155">
        <f t="shared" ref="G614:H614" si="228">G604+G612</f>
        <v>20000</v>
      </c>
      <c r="H614" s="155">
        <f t="shared" si="228"/>
        <v>20000</v>
      </c>
      <c r="I614" s="155">
        <f t="shared" ref="I614:K614" si="229">I604</f>
        <v>11000</v>
      </c>
      <c r="J614" s="155">
        <f t="shared" si="229"/>
        <v>14000</v>
      </c>
      <c r="K614" s="155">
        <f t="shared" si="229"/>
        <v>15000</v>
      </c>
      <c r="L614" s="155">
        <f t="shared" ref="L614:M614" si="230">L601</f>
        <v>13000</v>
      </c>
      <c r="M614" s="155">
        <f t="shared" si="230"/>
        <v>14000</v>
      </c>
      <c r="N614" s="156">
        <f>SUM(B614:M614)</f>
        <v>193833.3333</v>
      </c>
    </row>
    <row r="615">
      <c r="A615" s="157" t="s">
        <v>138</v>
      </c>
      <c r="B615" s="158">
        <f t="shared" ref="B615:G615" si="231">B604/6/8</f>
        <v>333.3333333</v>
      </c>
      <c r="C615" s="158">
        <f t="shared" si="231"/>
        <v>416.6666667</v>
      </c>
      <c r="D615" s="158">
        <f t="shared" si="231"/>
        <v>416.6666667</v>
      </c>
      <c r="E615" s="158">
        <f t="shared" si="231"/>
        <v>291.6666667</v>
      </c>
      <c r="F615" s="158">
        <f t="shared" si="231"/>
        <v>291.6666667</v>
      </c>
      <c r="G615" s="158">
        <f t="shared" si="231"/>
        <v>416.6666667</v>
      </c>
      <c r="H615" s="158">
        <f>H604/5/8</f>
        <v>500</v>
      </c>
      <c r="I615" s="158">
        <f t="shared" ref="I615:L615" si="232">I604/6/8</f>
        <v>229.1666667</v>
      </c>
      <c r="J615" s="158">
        <f t="shared" si="232"/>
        <v>291.6666667</v>
      </c>
      <c r="K615" s="158">
        <f t="shared" si="232"/>
        <v>312.5</v>
      </c>
      <c r="L615" s="158">
        <f t="shared" si="232"/>
        <v>270.8333333</v>
      </c>
      <c r="M615" s="159"/>
      <c r="N615" s="122"/>
    </row>
    <row r="616">
      <c r="A616" s="124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</row>
    <row r="617">
      <c r="A617" s="130" t="s">
        <v>177</v>
      </c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2"/>
    </row>
    <row r="618">
      <c r="A618" s="160" t="s">
        <v>116</v>
      </c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2"/>
    </row>
    <row r="619">
      <c r="A619" s="149" t="s">
        <v>40</v>
      </c>
      <c r="B619" s="151" t="str">
        <f>B623</f>
        <v/>
      </c>
      <c r="C619" s="150">
        <f>C615*0</f>
        <v>0</v>
      </c>
      <c r="D619" s="151">
        <f>D615*3</f>
        <v>1250</v>
      </c>
      <c r="E619" s="150">
        <f t="shared" ref="E619:L619" si="233">E615*0</f>
        <v>0</v>
      </c>
      <c r="F619" s="150">
        <f t="shared" si="233"/>
        <v>0</v>
      </c>
      <c r="G619" s="150">
        <f t="shared" si="233"/>
        <v>0</v>
      </c>
      <c r="H619" s="150">
        <f t="shared" si="233"/>
        <v>0</v>
      </c>
      <c r="I619" s="150">
        <f t="shared" si="233"/>
        <v>0</v>
      </c>
      <c r="J619" s="150">
        <f t="shared" si="233"/>
        <v>0</v>
      </c>
      <c r="K619" s="150">
        <f t="shared" si="233"/>
        <v>0</v>
      </c>
      <c r="L619" s="150">
        <f t="shared" si="233"/>
        <v>0</v>
      </c>
      <c r="M619" s="150"/>
      <c r="N619" s="152">
        <f>SUM(B619:J619)</f>
        <v>1250</v>
      </c>
    </row>
    <row r="620">
      <c r="A620" s="149" t="s">
        <v>117</v>
      </c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2">
        <f>SUM(B620:I620)</f>
        <v>0</v>
      </c>
    </row>
    <row r="621">
      <c r="A621" s="153" t="s">
        <v>167</v>
      </c>
      <c r="B621" s="150"/>
      <c r="C621" s="150"/>
      <c r="D621" s="150"/>
      <c r="E621" s="150"/>
      <c r="F621" s="150"/>
      <c r="G621" s="150"/>
      <c r="H621" s="150"/>
      <c r="I621" s="151"/>
      <c r="J621" s="150"/>
      <c r="K621" s="150"/>
      <c r="L621" s="150"/>
      <c r="M621" s="150"/>
      <c r="N621" s="152"/>
    </row>
    <row r="622">
      <c r="A622" s="154" t="s">
        <v>118</v>
      </c>
      <c r="B622" s="155">
        <f>B602+B619</f>
        <v>16000</v>
      </c>
      <c r="C622" s="155">
        <f>C604-C618+C619+C620</f>
        <v>20000</v>
      </c>
      <c r="D622" s="155">
        <f>D601-D618+D619+D620</f>
        <v>21250</v>
      </c>
      <c r="E622" s="155">
        <f t="shared" ref="E622:F622" si="234">E601+E619</f>
        <v>14000</v>
      </c>
      <c r="F622" s="155">
        <f t="shared" si="234"/>
        <v>14000</v>
      </c>
      <c r="G622" s="155">
        <f t="shared" ref="G622:H622" si="235">G604-G618+G619+G620</f>
        <v>20000</v>
      </c>
      <c r="H622" s="155">
        <f t="shared" si="235"/>
        <v>20000</v>
      </c>
      <c r="I622" s="155">
        <f t="shared" ref="I622:K622" si="236">I601+I619</f>
        <v>11000</v>
      </c>
      <c r="J622" s="155">
        <f t="shared" si="236"/>
        <v>14000</v>
      </c>
      <c r="K622" s="155">
        <f t="shared" si="236"/>
        <v>15000</v>
      </c>
      <c r="L622" s="155">
        <f>L601+L619+L620</f>
        <v>13000</v>
      </c>
      <c r="M622" s="155"/>
      <c r="N622" s="156">
        <f>SUM(B622:M622)</f>
        <v>178250</v>
      </c>
    </row>
    <row r="623">
      <c r="A623" s="130" t="s">
        <v>178</v>
      </c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2"/>
    </row>
    <row r="624">
      <c r="A624" s="149" t="s">
        <v>116</v>
      </c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2"/>
    </row>
    <row r="625">
      <c r="A625" s="149" t="s">
        <v>40</v>
      </c>
      <c r="B625" s="150">
        <f>4*B615</f>
        <v>1333.333333</v>
      </c>
      <c r="C625" s="150"/>
      <c r="D625" s="151">
        <f>2*D615</f>
        <v>833.3333333</v>
      </c>
      <c r="E625" s="150"/>
      <c r="F625" s="150"/>
      <c r="G625" s="150"/>
      <c r="H625" s="150"/>
      <c r="I625" s="150"/>
      <c r="J625" s="150"/>
      <c r="K625" s="150"/>
      <c r="L625" s="150"/>
      <c r="M625" s="150"/>
      <c r="N625" s="152">
        <f>SUM(B625:K625)</f>
        <v>2166.666667</v>
      </c>
    </row>
    <row r="626">
      <c r="A626" s="149" t="s">
        <v>141</v>
      </c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2">
        <f>SUM(B626:I626)</f>
        <v>0</v>
      </c>
    </row>
    <row r="627">
      <c r="A627" s="153" t="s">
        <v>167</v>
      </c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</row>
    <row r="628">
      <c r="A628" s="154" t="s">
        <v>118</v>
      </c>
      <c r="B628" s="155">
        <f t="shared" ref="B628:C628" si="237">B604+B625</f>
        <v>17333.33333</v>
      </c>
      <c r="C628" s="155">
        <f t="shared" si="237"/>
        <v>20000</v>
      </c>
      <c r="D628" s="155">
        <f>D604+D625-D624</f>
        <v>20833.33333</v>
      </c>
      <c r="E628" s="155">
        <f t="shared" ref="E628:F628" si="238">E604-E624+E625+E626</f>
        <v>14000</v>
      </c>
      <c r="F628" s="155">
        <f t="shared" si="238"/>
        <v>14000</v>
      </c>
      <c r="G628" s="155">
        <f t="shared" ref="G628:H628" si="239">G604+G625</f>
        <v>20000</v>
      </c>
      <c r="H628" s="155">
        <f t="shared" si="239"/>
        <v>20000</v>
      </c>
      <c r="I628" s="155">
        <f>I604+I625+I626</f>
        <v>11000</v>
      </c>
      <c r="J628" s="155"/>
      <c r="K628" s="155">
        <f>K603+K625+K626</f>
        <v>15000</v>
      </c>
      <c r="L628" s="155">
        <f>L604+L625+L626</f>
        <v>13000</v>
      </c>
      <c r="M628" s="155"/>
      <c r="N628" s="156">
        <f>SUM(B628:M628)</f>
        <v>165166.6667</v>
      </c>
    </row>
    <row r="629">
      <c r="A629" s="130" t="s">
        <v>179</v>
      </c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2"/>
    </row>
    <row r="630">
      <c r="A630" s="149" t="s">
        <v>116</v>
      </c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2"/>
    </row>
    <row r="631">
      <c r="A631" s="149" t="s">
        <v>40</v>
      </c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2">
        <f>SUM(B631:J631)</f>
        <v>0</v>
      </c>
    </row>
    <row r="632">
      <c r="A632" s="149" t="s">
        <v>117</v>
      </c>
      <c r="B632" s="162"/>
      <c r="C632" s="150"/>
      <c r="D632" s="163"/>
      <c r="E632" s="164"/>
      <c r="F632" s="150"/>
      <c r="G632" s="163"/>
      <c r="H632" s="164"/>
      <c r="I632" s="163"/>
      <c r="J632" s="163"/>
      <c r="K632" s="150"/>
      <c r="L632" s="163"/>
      <c r="M632" s="163" t="str">
        <f>M637*8</f>
        <v>#VALUE!</v>
      </c>
      <c r="N632" s="165">
        <f>SUM(B632:I632)</f>
        <v>0</v>
      </c>
    </row>
    <row r="633">
      <c r="A633" s="153" t="s">
        <v>167</v>
      </c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7"/>
    </row>
    <row r="634">
      <c r="A634" s="168" t="s">
        <v>118</v>
      </c>
      <c r="B634" s="169">
        <f>B604+B632+B631</f>
        <v>16000</v>
      </c>
      <c r="C634" s="169">
        <f>C604+C631+C632</f>
        <v>20000</v>
      </c>
      <c r="D634" s="169">
        <f t="shared" ref="D634:E634" si="240">D603-D630+D631+D632</f>
        <v>20000</v>
      </c>
      <c r="E634" s="169">
        <f t="shared" si="240"/>
        <v>14000</v>
      </c>
      <c r="F634" s="170">
        <f>F604-F630+F631+F632</f>
        <v>14000</v>
      </c>
      <c r="G634" s="169">
        <f>G604+G631+G632</f>
        <v>20000</v>
      </c>
      <c r="H634" s="170">
        <f>H603+H632+H631</f>
        <v>20000</v>
      </c>
      <c r="I634" s="170">
        <f>I604+I631</f>
        <v>11000</v>
      </c>
      <c r="J634" s="170"/>
      <c r="K634" s="170">
        <f>K604+K631</f>
        <v>15000</v>
      </c>
      <c r="L634" s="169">
        <f>L604+L631+L632</f>
        <v>13000</v>
      </c>
      <c r="M634" s="171"/>
      <c r="N634" s="172">
        <f>SUM(B634:M634)</f>
        <v>163000</v>
      </c>
    </row>
    <row r="637">
      <c r="A637" s="126" t="s">
        <v>0</v>
      </c>
      <c r="B637" s="127" t="s">
        <v>128</v>
      </c>
      <c r="C637" s="127" t="s">
        <v>90</v>
      </c>
      <c r="D637" s="127" t="s">
        <v>3</v>
      </c>
      <c r="E637" s="127" t="s">
        <v>136</v>
      </c>
      <c r="F637" s="127" t="s">
        <v>91</v>
      </c>
      <c r="G637" s="127" t="s">
        <v>6</v>
      </c>
      <c r="H637" s="128" t="s">
        <v>92</v>
      </c>
      <c r="I637" s="128" t="s">
        <v>122</v>
      </c>
      <c r="J637" s="129" t="s">
        <v>180</v>
      </c>
      <c r="K637" s="128" t="s">
        <v>133</v>
      </c>
      <c r="L637" s="128" t="s">
        <v>155</v>
      </c>
      <c r="M637" s="129" t="s">
        <v>174</v>
      </c>
      <c r="N637" s="128" t="s">
        <v>110</v>
      </c>
    </row>
    <row r="638">
      <c r="A638" s="130" t="s">
        <v>181</v>
      </c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2"/>
    </row>
    <row r="639">
      <c r="A639" s="133" t="s">
        <v>111</v>
      </c>
      <c r="B639" s="134">
        <v>16000.0</v>
      </c>
      <c r="C639" s="134">
        <v>20000.0</v>
      </c>
      <c r="D639" s="134">
        <v>20000.0</v>
      </c>
      <c r="E639" s="134">
        <v>14000.0</v>
      </c>
      <c r="F639" s="134" t="s">
        <v>182</v>
      </c>
      <c r="G639" s="134">
        <v>20000.0</v>
      </c>
      <c r="H639" s="134">
        <v>20000.0</v>
      </c>
      <c r="I639" s="135">
        <v>11000.0</v>
      </c>
      <c r="J639" s="134">
        <v>16000.0</v>
      </c>
      <c r="K639" s="135">
        <v>15000.0</v>
      </c>
      <c r="L639" s="134">
        <v>13000.0</v>
      </c>
      <c r="M639" s="134">
        <v>14000.0</v>
      </c>
      <c r="N639" s="136">
        <f t="shared" ref="N639:N642" si="241">SUM(B639:M639)</f>
        <v>179000</v>
      </c>
    </row>
    <row r="640">
      <c r="A640" s="137"/>
      <c r="B640" s="134">
        <v>16000.0</v>
      </c>
      <c r="C640" s="134">
        <v>20000.0</v>
      </c>
      <c r="D640" s="134">
        <v>20000.0</v>
      </c>
      <c r="E640" s="134">
        <v>14000.0</v>
      </c>
      <c r="F640" s="135"/>
      <c r="G640" s="134">
        <v>20000.0</v>
      </c>
      <c r="H640" s="134">
        <v>20000.0</v>
      </c>
      <c r="I640" s="135">
        <v>11000.0</v>
      </c>
      <c r="J640" s="134">
        <v>16000.0</v>
      </c>
      <c r="K640" s="135">
        <v>15000.0</v>
      </c>
      <c r="L640" s="134">
        <v>13000.0</v>
      </c>
      <c r="M640" s="134">
        <v>14000.0</v>
      </c>
      <c r="N640" s="136">
        <f t="shared" si="241"/>
        <v>179000</v>
      </c>
    </row>
    <row r="641">
      <c r="A641" s="137"/>
      <c r="B641" s="134">
        <v>16000.0</v>
      </c>
      <c r="C641" s="134">
        <v>20000.0</v>
      </c>
      <c r="D641" s="134">
        <v>20000.0</v>
      </c>
      <c r="E641" s="134">
        <v>14000.0</v>
      </c>
      <c r="F641" s="135"/>
      <c r="G641" s="134">
        <v>20000.0</v>
      </c>
      <c r="H641" s="134">
        <v>20000.0</v>
      </c>
      <c r="I641" s="135">
        <v>11000.0</v>
      </c>
      <c r="J641" s="134">
        <v>16000.0</v>
      </c>
      <c r="K641" s="135">
        <v>15000.0</v>
      </c>
      <c r="L641" s="134">
        <v>13000.0</v>
      </c>
      <c r="M641" s="134">
        <v>14000.0</v>
      </c>
      <c r="N641" s="136">
        <f t="shared" si="241"/>
        <v>179000</v>
      </c>
    </row>
    <row r="642">
      <c r="A642" s="138"/>
      <c r="B642" s="134">
        <v>16000.0</v>
      </c>
      <c r="C642" s="134">
        <v>20000.0</v>
      </c>
      <c r="D642" s="134">
        <v>20000.0</v>
      </c>
      <c r="E642" s="134">
        <v>14000.0</v>
      </c>
      <c r="F642" s="135"/>
      <c r="G642" s="134">
        <v>20000.0</v>
      </c>
      <c r="H642" s="134">
        <v>20000.0</v>
      </c>
      <c r="I642" s="135">
        <v>11000.0</v>
      </c>
      <c r="J642" s="134">
        <v>16000.0</v>
      </c>
      <c r="K642" s="135">
        <v>15000.0</v>
      </c>
      <c r="L642" s="134">
        <v>13000.0</v>
      </c>
      <c r="M642" s="134">
        <v>14000.0</v>
      </c>
      <c r="N642" s="139">
        <f t="shared" si="241"/>
        <v>179000</v>
      </c>
    </row>
    <row r="643">
      <c r="A643" s="140" t="s">
        <v>113</v>
      </c>
      <c r="B643" s="141">
        <f t="shared" ref="B643:N643" si="242">SUM(B639:B642)</f>
        <v>64000</v>
      </c>
      <c r="C643" s="141">
        <f t="shared" si="242"/>
        <v>80000</v>
      </c>
      <c r="D643" s="141">
        <f t="shared" si="242"/>
        <v>80000</v>
      </c>
      <c r="E643" s="141">
        <f t="shared" si="242"/>
        <v>56000</v>
      </c>
      <c r="F643" s="141">
        <f t="shared" si="242"/>
        <v>0</v>
      </c>
      <c r="G643" s="141">
        <f t="shared" si="242"/>
        <v>80000</v>
      </c>
      <c r="H643" s="141">
        <f t="shared" si="242"/>
        <v>80000</v>
      </c>
      <c r="I643" s="141">
        <f t="shared" si="242"/>
        <v>44000</v>
      </c>
      <c r="J643" s="141">
        <f t="shared" si="242"/>
        <v>64000</v>
      </c>
      <c r="K643" s="141">
        <f t="shared" si="242"/>
        <v>60000</v>
      </c>
      <c r="L643" s="141">
        <f t="shared" si="242"/>
        <v>52000</v>
      </c>
      <c r="M643" s="141">
        <f t="shared" si="242"/>
        <v>56000</v>
      </c>
      <c r="N643" s="141">
        <f t="shared" si="242"/>
        <v>716000</v>
      </c>
    </row>
    <row r="644">
      <c r="A644" s="142"/>
      <c r="B644" s="143" t="s">
        <v>115</v>
      </c>
      <c r="C644" s="143" t="s">
        <v>115</v>
      </c>
      <c r="D644" s="143" t="s">
        <v>114</v>
      </c>
      <c r="E644" s="143" t="s">
        <v>115</v>
      </c>
      <c r="F644" s="143" t="s">
        <v>115</v>
      </c>
      <c r="G644" s="143" t="s">
        <v>114</v>
      </c>
      <c r="H644" s="143" t="s">
        <v>114</v>
      </c>
      <c r="I644" s="144" t="s">
        <v>115</v>
      </c>
      <c r="J644" s="144" t="s">
        <v>115</v>
      </c>
      <c r="K644" s="144"/>
      <c r="L644" s="144"/>
      <c r="M644" s="144"/>
      <c r="N644" s="145"/>
    </row>
    <row r="645">
      <c r="A645" s="142"/>
      <c r="B645" s="146"/>
      <c r="C645" s="147"/>
      <c r="D645" s="146"/>
      <c r="E645" s="147"/>
      <c r="F645" s="146"/>
      <c r="G645" s="146"/>
      <c r="H645" s="148"/>
      <c r="I645" s="145"/>
      <c r="J645" s="145"/>
      <c r="K645" s="145"/>
      <c r="L645" s="145"/>
      <c r="M645" s="145"/>
      <c r="N645" s="145"/>
    </row>
    <row r="646">
      <c r="A646" s="126" t="s">
        <v>0</v>
      </c>
      <c r="B646" s="127" t="s">
        <v>128</v>
      </c>
      <c r="C646" s="127" t="s">
        <v>90</v>
      </c>
      <c r="D646" s="127" t="s">
        <v>3</v>
      </c>
      <c r="E646" s="127" t="s">
        <v>136</v>
      </c>
      <c r="F646" s="127" t="s">
        <v>91</v>
      </c>
      <c r="G646" s="127" t="s">
        <v>6</v>
      </c>
      <c r="H646" s="128" t="s">
        <v>92</v>
      </c>
      <c r="I646" s="128" t="s">
        <v>122</v>
      </c>
      <c r="J646" s="129" t="s">
        <v>180</v>
      </c>
      <c r="K646" s="128" t="s">
        <v>133</v>
      </c>
      <c r="L646" s="128" t="s">
        <v>155</v>
      </c>
      <c r="M646" s="129" t="s">
        <v>174</v>
      </c>
      <c r="N646" s="128" t="s">
        <v>110</v>
      </c>
    </row>
    <row r="647">
      <c r="A647" s="130" t="s">
        <v>183</v>
      </c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2"/>
    </row>
    <row r="648">
      <c r="A648" s="149" t="s">
        <v>116</v>
      </c>
      <c r="B648" s="150"/>
      <c r="C648" s="150"/>
      <c r="D648" s="151"/>
      <c r="E648" s="150"/>
      <c r="F648" s="150"/>
      <c r="G648" s="150"/>
      <c r="H648" s="150"/>
      <c r="I648" s="150"/>
      <c r="J648" s="150"/>
      <c r="K648" s="150"/>
      <c r="L648" s="150"/>
      <c r="M648" s="150"/>
      <c r="N648" s="152"/>
    </row>
    <row r="649">
      <c r="A649" s="149" t="s">
        <v>40</v>
      </c>
      <c r="B649" s="151"/>
      <c r="C649" s="150">
        <f>2*C653</f>
        <v>833.3333333</v>
      </c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2">
        <f>SUM(B649:I649)</f>
        <v>833.3333333</v>
      </c>
    </row>
    <row r="650">
      <c r="A650" s="149" t="s">
        <v>141</v>
      </c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2">
        <f>SUM(B650:J650)</f>
        <v>0</v>
      </c>
    </row>
    <row r="651">
      <c r="A651" s="153" t="s">
        <v>167</v>
      </c>
      <c r="B651" s="151"/>
      <c r="C651" s="150"/>
      <c r="D651" s="150"/>
      <c r="E651" s="150"/>
      <c r="F651" s="150"/>
      <c r="G651" s="150"/>
      <c r="H651" s="150"/>
      <c r="I651" s="151"/>
      <c r="J651" s="150"/>
      <c r="K651" s="151"/>
      <c r="L651" s="150"/>
      <c r="M651" s="150"/>
      <c r="N651" s="152"/>
    </row>
    <row r="652">
      <c r="A652" s="154" t="s">
        <v>118</v>
      </c>
      <c r="B652" s="155">
        <f t="shared" ref="B652:C652" si="243">B639+B649</f>
        <v>16000</v>
      </c>
      <c r="C652" s="155">
        <f t="shared" si="243"/>
        <v>20833.33333</v>
      </c>
      <c r="D652" s="155">
        <f>D639+D650+D649-D648</f>
        <v>20000</v>
      </c>
      <c r="E652" s="155">
        <f>E642+E649</f>
        <v>14000</v>
      </c>
      <c r="F652" s="155" t="str">
        <f>F642</f>
        <v/>
      </c>
      <c r="G652" s="155">
        <f t="shared" ref="G652:H652" si="244">G642+G650</f>
        <v>20000</v>
      </c>
      <c r="H652" s="155">
        <f t="shared" si="244"/>
        <v>20000</v>
      </c>
      <c r="I652" s="155">
        <f t="shared" ref="I652:K652" si="245">I642</f>
        <v>11000</v>
      </c>
      <c r="J652" s="155">
        <f t="shared" si="245"/>
        <v>16000</v>
      </c>
      <c r="K652" s="155">
        <f t="shared" si="245"/>
        <v>15000</v>
      </c>
      <c r="L652" s="155">
        <f t="shared" ref="L652:M652" si="246">L639</f>
        <v>13000</v>
      </c>
      <c r="M652" s="155">
        <f t="shared" si="246"/>
        <v>14000</v>
      </c>
      <c r="N652" s="156">
        <f>SUM(B652:M652)</f>
        <v>179833.3333</v>
      </c>
    </row>
    <row r="653">
      <c r="A653" s="157" t="s">
        <v>138</v>
      </c>
      <c r="B653" s="158">
        <f t="shared" ref="B653:G653" si="247">B642/6/8</f>
        <v>333.3333333</v>
      </c>
      <c r="C653" s="158">
        <f t="shared" si="247"/>
        <v>416.6666667</v>
      </c>
      <c r="D653" s="158">
        <f t="shared" si="247"/>
        <v>416.6666667</v>
      </c>
      <c r="E653" s="158">
        <f t="shared" si="247"/>
        <v>291.6666667</v>
      </c>
      <c r="F653" s="158">
        <f t="shared" si="247"/>
        <v>0</v>
      </c>
      <c r="G653" s="158">
        <f t="shared" si="247"/>
        <v>416.6666667</v>
      </c>
      <c r="H653" s="158">
        <f>H642/5/8</f>
        <v>500</v>
      </c>
      <c r="I653" s="158">
        <f t="shared" ref="I653:M653" si="248">I642/6/8</f>
        <v>229.1666667</v>
      </c>
      <c r="J653" s="158">
        <f t="shared" si="248"/>
        <v>333.3333333</v>
      </c>
      <c r="K653" s="158">
        <f t="shared" si="248"/>
        <v>312.5</v>
      </c>
      <c r="L653" s="158">
        <f t="shared" si="248"/>
        <v>270.8333333</v>
      </c>
      <c r="M653" s="159">
        <f t="shared" si="248"/>
        <v>291.6666667</v>
      </c>
      <c r="N653" s="122"/>
    </row>
    <row r="654">
      <c r="A654" s="124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</row>
    <row r="655">
      <c r="A655" s="130" t="s">
        <v>184</v>
      </c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2"/>
    </row>
    <row r="656">
      <c r="A656" s="160" t="s">
        <v>116</v>
      </c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2"/>
    </row>
    <row r="657">
      <c r="A657" s="149" t="s">
        <v>40</v>
      </c>
      <c r="B657" s="150">
        <f t="shared" ref="B657:C657" si="249">B653*0</f>
        <v>0</v>
      </c>
      <c r="C657" s="150">
        <f t="shared" si="249"/>
        <v>0</v>
      </c>
      <c r="D657" s="151">
        <f>D653*3</f>
        <v>1250</v>
      </c>
      <c r="E657" s="150">
        <f t="shared" ref="E657:L657" si="250">E653*0</f>
        <v>0</v>
      </c>
      <c r="F657" s="150">
        <f t="shared" si="250"/>
        <v>0</v>
      </c>
      <c r="G657" s="150">
        <f t="shared" si="250"/>
        <v>0</v>
      </c>
      <c r="H657" s="150">
        <f t="shared" si="250"/>
        <v>0</v>
      </c>
      <c r="I657" s="150">
        <f t="shared" si="250"/>
        <v>0</v>
      </c>
      <c r="J657" s="150">
        <f t="shared" si="250"/>
        <v>0</v>
      </c>
      <c r="K657" s="150">
        <f t="shared" si="250"/>
        <v>0</v>
      </c>
      <c r="L657" s="150">
        <f t="shared" si="250"/>
        <v>0</v>
      </c>
      <c r="M657" s="150"/>
      <c r="N657" s="152">
        <f>SUM(B657:J657)</f>
        <v>1250</v>
      </c>
    </row>
    <row r="658">
      <c r="A658" s="149" t="s">
        <v>117</v>
      </c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2">
        <f>SUM(B658:I658)</f>
        <v>0</v>
      </c>
    </row>
    <row r="659">
      <c r="A659" s="153" t="s">
        <v>167</v>
      </c>
      <c r="B659" s="150"/>
      <c r="C659" s="150"/>
      <c r="D659" s="150"/>
      <c r="E659" s="150"/>
      <c r="F659" s="150"/>
      <c r="G659" s="150"/>
      <c r="H659" s="150"/>
      <c r="I659" s="151"/>
      <c r="J659" s="150"/>
      <c r="K659" s="150"/>
      <c r="L659" s="150"/>
      <c r="M659" s="150"/>
      <c r="N659" s="152"/>
    </row>
    <row r="660">
      <c r="A660" s="154" t="s">
        <v>118</v>
      </c>
      <c r="B660" s="155">
        <f>B640+B657</f>
        <v>16000</v>
      </c>
      <c r="C660" s="155">
        <f>C642-C656+C657+C658</f>
        <v>20000</v>
      </c>
      <c r="D660" s="155">
        <f>D639-D656+D657+D658</f>
        <v>21250</v>
      </c>
      <c r="E660" s="155">
        <f t="shared" ref="E660:F660" si="251">E639+E657</f>
        <v>14000</v>
      </c>
      <c r="F660" s="155" t="str">
        <f t="shared" si="251"/>
        <v>#VALUE!</v>
      </c>
      <c r="G660" s="155">
        <f t="shared" ref="G660:H660" si="252">G642-G656+G657+G658</f>
        <v>20000</v>
      </c>
      <c r="H660" s="155">
        <f t="shared" si="252"/>
        <v>20000</v>
      </c>
      <c r="I660" s="155">
        <f t="shared" ref="I660:K660" si="253">I639+I657</f>
        <v>11000</v>
      </c>
      <c r="J660" s="155">
        <f t="shared" si="253"/>
        <v>16000</v>
      </c>
      <c r="K660" s="155">
        <f t="shared" si="253"/>
        <v>15000</v>
      </c>
      <c r="L660" s="155">
        <f>L639+L657+L658</f>
        <v>13000</v>
      </c>
      <c r="M660" s="155"/>
      <c r="N660" s="156" t="str">
        <f>SUM(B660:M660)</f>
        <v>#VALUE!</v>
      </c>
    </row>
    <row r="661">
      <c r="A661" s="130" t="s">
        <v>185</v>
      </c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2"/>
    </row>
    <row r="662">
      <c r="A662" s="149" t="s">
        <v>116</v>
      </c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2"/>
    </row>
    <row r="663">
      <c r="A663" s="149" t="s">
        <v>40</v>
      </c>
      <c r="B663" s="150"/>
      <c r="C663" s="150"/>
      <c r="D663" s="151">
        <f>4*D653</f>
        <v>1666.666667</v>
      </c>
      <c r="E663" s="150"/>
      <c r="F663" s="150"/>
      <c r="G663" s="150"/>
      <c r="H663" s="150"/>
      <c r="I663" s="150"/>
      <c r="J663" s="150"/>
      <c r="K663" s="150"/>
      <c r="L663" s="150"/>
      <c r="M663" s="150"/>
      <c r="N663" s="152">
        <f>SUM(B663:K663)</f>
        <v>1666.666667</v>
      </c>
    </row>
    <row r="664">
      <c r="A664" s="149" t="s">
        <v>141</v>
      </c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2">
        <f>SUM(B664:I664)</f>
        <v>0</v>
      </c>
    </row>
    <row r="665">
      <c r="A665" s="153" t="s">
        <v>167</v>
      </c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</row>
    <row r="666">
      <c r="A666" s="154" t="s">
        <v>118</v>
      </c>
      <c r="B666" s="155">
        <f t="shared" ref="B666:C666" si="254">B642+B663</f>
        <v>16000</v>
      </c>
      <c r="C666" s="155">
        <f t="shared" si="254"/>
        <v>20000</v>
      </c>
      <c r="D666" s="155">
        <f>D642+D663-D662</f>
        <v>21666.66667</v>
      </c>
      <c r="E666" s="155">
        <f t="shared" ref="E666:F666" si="255">E642-E662+E663+E664</f>
        <v>14000</v>
      </c>
      <c r="F666" s="155">
        <f t="shared" si="255"/>
        <v>0</v>
      </c>
      <c r="G666" s="155">
        <f t="shared" ref="G666:H666" si="256">G642+G663</f>
        <v>20000</v>
      </c>
      <c r="H666" s="155">
        <f t="shared" si="256"/>
        <v>20000</v>
      </c>
      <c r="I666" s="155">
        <f t="shared" ref="I666:J666" si="257">I642+I663+I664</f>
        <v>11000</v>
      </c>
      <c r="J666" s="155">
        <f t="shared" si="257"/>
        <v>16000</v>
      </c>
      <c r="K666" s="155">
        <f>K641+K663+K664</f>
        <v>15000</v>
      </c>
      <c r="L666" s="155">
        <f>L642+L663+L664</f>
        <v>13000</v>
      </c>
      <c r="M666" s="155"/>
      <c r="N666" s="156">
        <f>SUM(B666:M666)</f>
        <v>166666.6667</v>
      </c>
    </row>
    <row r="667">
      <c r="A667" s="177"/>
      <c r="B667" s="178"/>
      <c r="C667" s="178"/>
      <c r="D667" s="178"/>
      <c r="E667" s="178"/>
      <c r="F667" s="178"/>
      <c r="G667" s="178"/>
      <c r="H667" s="178"/>
      <c r="I667" s="178"/>
      <c r="J667" s="129" t="s">
        <v>51</v>
      </c>
      <c r="K667" s="178"/>
      <c r="L667" s="178"/>
      <c r="M667" s="178"/>
      <c r="N667" s="178"/>
    </row>
    <row r="668">
      <c r="A668" s="130" t="s">
        <v>186</v>
      </c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2"/>
    </row>
    <row r="669">
      <c r="A669" s="149" t="s">
        <v>116</v>
      </c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2"/>
    </row>
    <row r="670">
      <c r="A670" s="149" t="s">
        <v>40</v>
      </c>
      <c r="B670" s="150"/>
      <c r="C670" s="150"/>
      <c r="D670" s="150"/>
      <c r="E670" s="150"/>
      <c r="F670" s="150">
        <f>8*400</f>
        <v>3200</v>
      </c>
      <c r="G670" s="150"/>
      <c r="H670" s="150"/>
      <c r="I670" s="150"/>
      <c r="J670" s="150"/>
      <c r="K670" s="150"/>
      <c r="L670" s="150"/>
      <c r="M670" s="150"/>
      <c r="N670" s="152">
        <f>SUM(B670:J670)</f>
        <v>3200</v>
      </c>
    </row>
    <row r="671">
      <c r="A671" s="149" t="s">
        <v>117</v>
      </c>
      <c r="B671" s="162">
        <f>8*B653</f>
        <v>2666.666667</v>
      </c>
      <c r="C671" s="150"/>
      <c r="D671" s="163"/>
      <c r="E671" s="164">
        <f>8*E653</f>
        <v>2333.333333</v>
      </c>
      <c r="F671" s="150"/>
      <c r="G671" s="163">
        <f>8*G653</f>
        <v>3333.333333</v>
      </c>
      <c r="H671" s="164"/>
      <c r="I671" s="163">
        <f t="shared" ref="I671:L671" si="258">8*I653</f>
        <v>1833.333333</v>
      </c>
      <c r="J671" s="163">
        <f t="shared" si="258"/>
        <v>2666.666667</v>
      </c>
      <c r="K671" s="150">
        <f t="shared" si="258"/>
        <v>2500</v>
      </c>
      <c r="L671" s="163">
        <f t="shared" si="258"/>
        <v>2166.666667</v>
      </c>
      <c r="M671" s="163">
        <f>M676*8</f>
        <v>0</v>
      </c>
      <c r="N671" s="165">
        <f>SUM(B671:I671)</f>
        <v>10166.66667</v>
      </c>
    </row>
    <row r="672">
      <c r="A672" s="153" t="s">
        <v>167</v>
      </c>
      <c r="B672" s="166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7"/>
    </row>
    <row r="673">
      <c r="A673" s="168" t="s">
        <v>118</v>
      </c>
      <c r="B673" s="169">
        <f>B642+B671+B670</f>
        <v>18666.66667</v>
      </c>
      <c r="C673" s="169">
        <f>C642+C670+C671</f>
        <v>20000</v>
      </c>
      <c r="D673" s="169">
        <f t="shared" ref="D673:E673" si="259">D641-D669+D670+D671</f>
        <v>20000</v>
      </c>
      <c r="E673" s="169">
        <f t="shared" si="259"/>
        <v>16333.33333</v>
      </c>
      <c r="F673" s="170">
        <f>F642-F669+F670+F671</f>
        <v>3200</v>
      </c>
      <c r="G673" s="169">
        <f>G642+G670+G671</f>
        <v>23333.33333</v>
      </c>
      <c r="H673" s="170">
        <f>H641+H671+H670</f>
        <v>20000</v>
      </c>
      <c r="I673" s="169">
        <f t="shared" ref="I673:L673" si="260">I642+I670+I671</f>
        <v>12833.33333</v>
      </c>
      <c r="J673" s="169">
        <f t="shared" si="260"/>
        <v>18666.66667</v>
      </c>
      <c r="K673" s="170">
        <f t="shared" si="260"/>
        <v>17500</v>
      </c>
      <c r="L673" s="169">
        <f t="shared" si="260"/>
        <v>15166.66667</v>
      </c>
      <c r="M673" s="171"/>
      <c r="N673" s="172">
        <f>SUM(B673:M673)</f>
        <v>185700</v>
      </c>
    </row>
    <row r="677">
      <c r="A677" s="126" t="s">
        <v>0</v>
      </c>
      <c r="B677" s="127" t="s">
        <v>128</v>
      </c>
      <c r="C677" s="127" t="s">
        <v>90</v>
      </c>
      <c r="D677" s="127" t="s">
        <v>3</v>
      </c>
      <c r="E677" s="127" t="s">
        <v>136</v>
      </c>
      <c r="F677" s="127" t="s">
        <v>91</v>
      </c>
      <c r="G677" s="127" t="s">
        <v>6</v>
      </c>
      <c r="H677" s="128" t="s">
        <v>92</v>
      </c>
      <c r="I677" s="128" t="s">
        <v>122</v>
      </c>
      <c r="J677" s="129" t="s">
        <v>51</v>
      </c>
      <c r="K677" s="128" t="s">
        <v>133</v>
      </c>
      <c r="L677" s="128" t="s">
        <v>155</v>
      </c>
      <c r="M677" s="129" t="s">
        <v>174</v>
      </c>
      <c r="N677" s="128" t="s">
        <v>110</v>
      </c>
    </row>
    <row r="678">
      <c r="A678" s="130" t="s">
        <v>187</v>
      </c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2"/>
    </row>
    <row r="679">
      <c r="A679" s="133" t="s">
        <v>111</v>
      </c>
      <c r="B679" s="134">
        <v>16000.0</v>
      </c>
      <c r="C679" s="134">
        <v>20000.0</v>
      </c>
      <c r="D679" s="134">
        <v>20000.0</v>
      </c>
      <c r="E679" s="134">
        <v>14000.0</v>
      </c>
      <c r="F679" s="134">
        <v>400.0</v>
      </c>
      <c r="G679" s="134">
        <v>20000.0</v>
      </c>
      <c r="H679" s="134">
        <v>20000.0</v>
      </c>
      <c r="I679" s="134">
        <v>14000.0</v>
      </c>
      <c r="J679" s="134">
        <v>15000.0</v>
      </c>
      <c r="K679" s="135">
        <v>15000.0</v>
      </c>
      <c r="L679" s="134">
        <v>13000.0</v>
      </c>
      <c r="M679" s="134">
        <v>14000.0</v>
      </c>
      <c r="N679" s="136">
        <f t="shared" ref="N679:N682" si="261">SUM(B679:M679)</f>
        <v>181400</v>
      </c>
    </row>
    <row r="680">
      <c r="A680" s="137"/>
      <c r="B680" s="134">
        <v>16000.0</v>
      </c>
      <c r="C680" s="134">
        <v>20000.0</v>
      </c>
      <c r="D680" s="134">
        <v>20000.0</v>
      </c>
      <c r="E680" s="134">
        <v>14000.0</v>
      </c>
      <c r="F680" s="134" t="s">
        <v>188</v>
      </c>
      <c r="G680" s="134">
        <v>20000.0</v>
      </c>
      <c r="H680" s="134">
        <v>20000.0</v>
      </c>
      <c r="I680" s="134">
        <v>14000.0</v>
      </c>
      <c r="J680" s="134">
        <v>15000.0</v>
      </c>
      <c r="K680" s="135">
        <v>15000.0</v>
      </c>
      <c r="L680" s="134">
        <v>13000.0</v>
      </c>
      <c r="M680" s="134">
        <v>14000.0</v>
      </c>
      <c r="N680" s="136">
        <f t="shared" si="261"/>
        <v>181000</v>
      </c>
    </row>
    <row r="681">
      <c r="A681" s="137"/>
      <c r="B681" s="134">
        <v>16000.0</v>
      </c>
      <c r="C681" s="134">
        <v>20000.0</v>
      </c>
      <c r="D681" s="134">
        <v>20000.0</v>
      </c>
      <c r="E681" s="134">
        <v>14000.0</v>
      </c>
      <c r="F681" s="135"/>
      <c r="G681" s="134">
        <v>20000.0</v>
      </c>
      <c r="H681" s="134">
        <v>20000.0</v>
      </c>
      <c r="I681" s="134">
        <v>14000.0</v>
      </c>
      <c r="J681" s="134">
        <v>15000.0</v>
      </c>
      <c r="K681" s="135">
        <v>15000.0</v>
      </c>
      <c r="L681" s="134">
        <v>13000.0</v>
      </c>
      <c r="M681" s="134">
        <v>14000.0</v>
      </c>
      <c r="N681" s="136">
        <f t="shared" si="261"/>
        <v>181000</v>
      </c>
    </row>
    <row r="682">
      <c r="A682" s="138"/>
      <c r="B682" s="134">
        <v>16000.0</v>
      </c>
      <c r="C682" s="134">
        <v>20000.0</v>
      </c>
      <c r="D682" s="134">
        <v>20000.0</v>
      </c>
      <c r="E682" s="134">
        <v>14000.0</v>
      </c>
      <c r="F682" s="135"/>
      <c r="G682" s="134">
        <v>20000.0</v>
      </c>
      <c r="H682" s="134">
        <v>20000.0</v>
      </c>
      <c r="I682" s="134">
        <v>14000.0</v>
      </c>
      <c r="J682" s="134">
        <v>15000.0</v>
      </c>
      <c r="K682" s="135">
        <v>15000.0</v>
      </c>
      <c r="L682" s="134">
        <v>13000.0</v>
      </c>
      <c r="M682" s="134">
        <v>14000.0</v>
      </c>
      <c r="N682" s="139">
        <f t="shared" si="261"/>
        <v>181000</v>
      </c>
    </row>
    <row r="683">
      <c r="A683" s="140" t="s">
        <v>113</v>
      </c>
      <c r="B683" s="141">
        <f t="shared" ref="B683:N683" si="262">SUM(B679:B682)</f>
        <v>64000</v>
      </c>
      <c r="C683" s="141">
        <f t="shared" si="262"/>
        <v>80000</v>
      </c>
      <c r="D683" s="141">
        <f t="shared" si="262"/>
        <v>80000</v>
      </c>
      <c r="E683" s="141">
        <f t="shared" si="262"/>
        <v>56000</v>
      </c>
      <c r="F683" s="141">
        <f t="shared" si="262"/>
        <v>400</v>
      </c>
      <c r="G683" s="141">
        <f t="shared" si="262"/>
        <v>80000</v>
      </c>
      <c r="H683" s="141">
        <f t="shared" si="262"/>
        <v>80000</v>
      </c>
      <c r="I683" s="141">
        <f t="shared" si="262"/>
        <v>56000</v>
      </c>
      <c r="J683" s="141">
        <f t="shared" si="262"/>
        <v>60000</v>
      </c>
      <c r="K683" s="141">
        <f t="shared" si="262"/>
        <v>60000</v>
      </c>
      <c r="L683" s="141">
        <f t="shared" si="262"/>
        <v>52000</v>
      </c>
      <c r="M683" s="141">
        <f t="shared" si="262"/>
        <v>56000</v>
      </c>
      <c r="N683" s="141">
        <f t="shared" si="262"/>
        <v>724400</v>
      </c>
    </row>
    <row r="684">
      <c r="A684" s="142"/>
      <c r="B684" s="143" t="s">
        <v>115</v>
      </c>
      <c r="C684" s="143" t="s">
        <v>115</v>
      </c>
      <c r="D684" s="143" t="s">
        <v>114</v>
      </c>
      <c r="E684" s="143" t="s">
        <v>115</v>
      </c>
      <c r="F684" s="143" t="s">
        <v>115</v>
      </c>
      <c r="G684" s="143" t="s">
        <v>114</v>
      </c>
      <c r="H684" s="143" t="s">
        <v>114</v>
      </c>
      <c r="I684" s="144" t="s">
        <v>115</v>
      </c>
      <c r="J684" s="144" t="s">
        <v>115</v>
      </c>
      <c r="K684" s="144"/>
      <c r="L684" s="144"/>
      <c r="M684" s="144"/>
      <c r="N684" s="145"/>
    </row>
    <row r="685">
      <c r="A685" s="142"/>
      <c r="B685" s="146"/>
      <c r="C685" s="147"/>
      <c r="D685" s="146"/>
      <c r="E685" s="147"/>
      <c r="F685" s="146"/>
      <c r="G685" s="146"/>
      <c r="H685" s="148"/>
      <c r="I685" s="145"/>
      <c r="J685" s="145"/>
      <c r="K685" s="145"/>
      <c r="L685" s="145"/>
      <c r="M685" s="145"/>
      <c r="N685" s="145"/>
    </row>
    <row r="686">
      <c r="A686" s="126" t="s">
        <v>0</v>
      </c>
      <c r="B686" s="127" t="s">
        <v>128</v>
      </c>
      <c r="C686" s="127" t="s">
        <v>90</v>
      </c>
      <c r="D686" s="127" t="s">
        <v>3</v>
      </c>
      <c r="E686" s="127" t="s">
        <v>136</v>
      </c>
      <c r="F686" s="127" t="s">
        <v>91</v>
      </c>
      <c r="G686" s="127" t="s">
        <v>6</v>
      </c>
      <c r="H686" s="128" t="s">
        <v>92</v>
      </c>
      <c r="I686" s="128" t="s">
        <v>122</v>
      </c>
      <c r="J686" s="129" t="s">
        <v>51</v>
      </c>
      <c r="K686" s="128" t="s">
        <v>133</v>
      </c>
      <c r="L686" s="128" t="s">
        <v>155</v>
      </c>
      <c r="M686" s="129" t="s">
        <v>174</v>
      </c>
      <c r="N686" s="128" t="s">
        <v>110</v>
      </c>
    </row>
    <row r="687">
      <c r="A687" s="130" t="s">
        <v>189</v>
      </c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2"/>
    </row>
    <row r="688">
      <c r="A688" s="149" t="s">
        <v>116</v>
      </c>
      <c r="B688" s="150"/>
      <c r="C688" s="150"/>
      <c r="D688" s="151"/>
      <c r="E688" s="150"/>
      <c r="F688" s="150"/>
      <c r="G688" s="150"/>
      <c r="H688" s="150"/>
      <c r="I688" s="150"/>
      <c r="J688" s="150"/>
      <c r="K688" s="150"/>
      <c r="L688" s="150"/>
      <c r="M688" s="150"/>
      <c r="N688" s="152"/>
    </row>
    <row r="689">
      <c r="A689" s="149" t="s">
        <v>40</v>
      </c>
      <c r="B689" s="151"/>
      <c r="C689" s="150"/>
      <c r="D689" s="150"/>
      <c r="E689" s="150"/>
      <c r="F689" s="150">
        <f>400*4</f>
        <v>1600</v>
      </c>
      <c r="G689" s="150"/>
      <c r="H689" s="150"/>
      <c r="I689" s="150"/>
      <c r="J689" s="150"/>
      <c r="K689" s="150"/>
      <c r="L689" s="150"/>
      <c r="M689" s="150"/>
      <c r="N689" s="152">
        <f>SUM(B689:I689)</f>
        <v>1600</v>
      </c>
    </row>
    <row r="690">
      <c r="A690" s="149" t="s">
        <v>141</v>
      </c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2">
        <f>SUM(B690:J690)</f>
        <v>0</v>
      </c>
    </row>
    <row r="691">
      <c r="A691" s="153" t="s">
        <v>167</v>
      </c>
      <c r="B691" s="151"/>
      <c r="C691" s="150"/>
      <c r="D691" s="150"/>
      <c r="E691" s="150"/>
      <c r="F691" s="150"/>
      <c r="G691" s="150"/>
      <c r="H691" s="150"/>
      <c r="I691" s="151"/>
      <c r="J691" s="150"/>
      <c r="K691" s="151"/>
      <c r="L691" s="150"/>
      <c r="M691" s="150"/>
      <c r="N691" s="152"/>
    </row>
    <row r="692">
      <c r="A692" s="154" t="s">
        <v>118</v>
      </c>
      <c r="B692" s="155">
        <f t="shared" ref="B692:C692" si="263">B679+B689</f>
        <v>16000</v>
      </c>
      <c r="C692" s="155">
        <f t="shared" si="263"/>
        <v>20000</v>
      </c>
      <c r="D692" s="155">
        <f>D679+D690+D689-D688</f>
        <v>20000</v>
      </c>
      <c r="E692" s="155">
        <f>E682+E689</f>
        <v>14000</v>
      </c>
      <c r="F692" s="155" t="str">
        <f>F682</f>
        <v/>
      </c>
      <c r="G692" s="155">
        <f t="shared" ref="G692:H692" si="264">G682+G690</f>
        <v>20000</v>
      </c>
      <c r="H692" s="155">
        <f t="shared" si="264"/>
        <v>20000</v>
      </c>
      <c r="I692" s="155">
        <f t="shared" ref="I692:K692" si="265">I682</f>
        <v>14000</v>
      </c>
      <c r="J692" s="155">
        <f t="shared" si="265"/>
        <v>15000</v>
      </c>
      <c r="K692" s="155">
        <f t="shared" si="265"/>
        <v>15000</v>
      </c>
      <c r="L692" s="155">
        <f t="shared" ref="L692:M692" si="266">L679</f>
        <v>13000</v>
      </c>
      <c r="M692" s="155">
        <f t="shared" si="266"/>
        <v>14000</v>
      </c>
      <c r="N692" s="156">
        <f>SUM(B692:M692)</f>
        <v>181000</v>
      </c>
    </row>
    <row r="693">
      <c r="A693" s="157" t="s">
        <v>138</v>
      </c>
      <c r="B693" s="158">
        <f t="shared" ref="B693:G693" si="267">B682/6/8</f>
        <v>333.3333333</v>
      </c>
      <c r="C693" s="158">
        <f t="shared" si="267"/>
        <v>416.6666667</v>
      </c>
      <c r="D693" s="158">
        <f t="shared" si="267"/>
        <v>416.6666667</v>
      </c>
      <c r="E693" s="158">
        <f t="shared" si="267"/>
        <v>291.6666667</v>
      </c>
      <c r="F693" s="158">
        <f t="shared" si="267"/>
        <v>0</v>
      </c>
      <c r="G693" s="158">
        <f t="shared" si="267"/>
        <v>416.6666667</v>
      </c>
      <c r="H693" s="158">
        <f>H682/5/8</f>
        <v>500</v>
      </c>
      <c r="I693" s="158">
        <f t="shared" ref="I693:M693" si="268">I682/6/8</f>
        <v>291.6666667</v>
      </c>
      <c r="J693" s="158">
        <f t="shared" si="268"/>
        <v>312.5</v>
      </c>
      <c r="K693" s="158">
        <f t="shared" si="268"/>
        <v>312.5</v>
      </c>
      <c r="L693" s="158">
        <f t="shared" si="268"/>
        <v>270.8333333</v>
      </c>
      <c r="M693" s="159">
        <f t="shared" si="268"/>
        <v>291.6666667</v>
      </c>
      <c r="N693" s="122"/>
    </row>
    <row r="694">
      <c r="A694" s="124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</row>
    <row r="695">
      <c r="A695" s="130" t="s">
        <v>190</v>
      </c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2"/>
    </row>
    <row r="696">
      <c r="A696" s="160" t="s">
        <v>116</v>
      </c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2"/>
    </row>
    <row r="697">
      <c r="A697" s="149" t="s">
        <v>40</v>
      </c>
      <c r="B697" s="150">
        <f t="shared" ref="B697:C697" si="269">B693*0</f>
        <v>0</v>
      </c>
      <c r="C697" s="150">
        <f t="shared" si="269"/>
        <v>0</v>
      </c>
      <c r="D697" s="151"/>
      <c r="E697" s="150">
        <f>E693*0</f>
        <v>0</v>
      </c>
      <c r="F697" s="150">
        <f>400*4</f>
        <v>1600</v>
      </c>
      <c r="G697" s="150">
        <f t="shared" ref="G697:L697" si="270">G693*0</f>
        <v>0</v>
      </c>
      <c r="H697" s="150">
        <f t="shared" si="270"/>
        <v>0</v>
      </c>
      <c r="I697" s="150">
        <f t="shared" si="270"/>
        <v>0</v>
      </c>
      <c r="J697" s="150">
        <f t="shared" si="270"/>
        <v>0</v>
      </c>
      <c r="K697" s="150">
        <f t="shared" si="270"/>
        <v>0</v>
      </c>
      <c r="L697" s="150">
        <f t="shared" si="270"/>
        <v>0</v>
      </c>
      <c r="M697" s="150"/>
      <c r="N697" s="152">
        <f>SUM(B697:J697)</f>
        <v>1600</v>
      </c>
    </row>
    <row r="698">
      <c r="A698" s="149" t="s">
        <v>117</v>
      </c>
      <c r="B698" s="150">
        <f>B693*8</f>
        <v>2666.666667</v>
      </c>
      <c r="C698" s="150"/>
      <c r="D698" s="150">
        <f>D693*8</f>
        <v>3333.333333</v>
      </c>
      <c r="E698" s="150"/>
      <c r="F698" s="150">
        <f>400*4*2</f>
        <v>3200</v>
      </c>
      <c r="G698" s="150">
        <f>G693*8</f>
        <v>3333.333333</v>
      </c>
      <c r="H698" s="150"/>
      <c r="I698" s="150">
        <f t="shared" ref="I698:K698" si="271">I693*8</f>
        <v>2333.333333</v>
      </c>
      <c r="J698" s="150">
        <f t="shared" si="271"/>
        <v>2500</v>
      </c>
      <c r="K698" s="150">
        <f t="shared" si="271"/>
        <v>2500</v>
      </c>
      <c r="L698" s="150"/>
      <c r="M698" s="150"/>
      <c r="N698" s="152">
        <f>SUM(B698:I698)</f>
        <v>14866.66667</v>
      </c>
    </row>
    <row r="699">
      <c r="A699" s="153" t="s">
        <v>191</v>
      </c>
      <c r="B699" s="150"/>
      <c r="C699" s="150"/>
      <c r="D699" s="150"/>
      <c r="E699" s="150"/>
      <c r="F699" s="150"/>
      <c r="G699" s="150"/>
      <c r="H699" s="150"/>
      <c r="I699" s="151"/>
      <c r="J699" s="150"/>
      <c r="K699" s="150"/>
      <c r="L699" s="150"/>
      <c r="M699" s="150"/>
      <c r="N699" s="152"/>
    </row>
    <row r="700">
      <c r="A700" s="154" t="s">
        <v>118</v>
      </c>
      <c r="B700" s="155">
        <f>B680+B697</f>
        <v>16000</v>
      </c>
      <c r="C700" s="155">
        <f>C682-C696+C697+C698</f>
        <v>20000</v>
      </c>
      <c r="D700" s="155">
        <f>D679-D696+D697+D698</f>
        <v>23333.33333</v>
      </c>
      <c r="E700" s="155">
        <f>E679+E697</f>
        <v>14000</v>
      </c>
      <c r="F700" s="155">
        <f>F689+F697+F698</f>
        <v>6400</v>
      </c>
      <c r="G700" s="155">
        <f t="shared" ref="G700:H700" si="272">G682-G696+G697+G698</f>
        <v>23333.33333</v>
      </c>
      <c r="H700" s="155">
        <f t="shared" si="272"/>
        <v>20000</v>
      </c>
      <c r="I700" s="155">
        <f>I679+I697</f>
        <v>14000</v>
      </c>
      <c r="J700" s="155">
        <f t="shared" ref="J700:L700" si="273">J679+J697+J698</f>
        <v>17500</v>
      </c>
      <c r="K700" s="155">
        <f t="shared" si="273"/>
        <v>17500</v>
      </c>
      <c r="L700" s="155">
        <f t="shared" si="273"/>
        <v>13000</v>
      </c>
      <c r="M700" s="155"/>
      <c r="N700" s="156">
        <f>SUM(B700:M700)</f>
        <v>185066.6667</v>
      </c>
    </row>
    <row r="701">
      <c r="A701" s="130" t="s">
        <v>192</v>
      </c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2"/>
    </row>
    <row r="702">
      <c r="A702" s="149" t="s">
        <v>116</v>
      </c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2"/>
    </row>
    <row r="703">
      <c r="A703" s="149" t="s">
        <v>40</v>
      </c>
      <c r="B703" s="150"/>
      <c r="C703" s="150"/>
      <c r="D703" s="151"/>
      <c r="E703" s="150"/>
      <c r="F703" s="150"/>
      <c r="G703" s="150"/>
      <c r="H703" s="150"/>
      <c r="I703" s="150"/>
      <c r="J703" s="150"/>
      <c r="K703" s="150"/>
      <c r="L703" s="150"/>
      <c r="M703" s="150"/>
      <c r="N703" s="152">
        <f>SUM(B703:K703)</f>
        <v>0</v>
      </c>
    </row>
    <row r="704">
      <c r="A704" s="149" t="s">
        <v>141</v>
      </c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1">
        <v>2200.0</v>
      </c>
      <c r="M704" s="150"/>
      <c r="N704" s="152">
        <f>SUM(B704:I704)</f>
        <v>0</v>
      </c>
    </row>
    <row r="705">
      <c r="A705" s="153" t="s">
        <v>145</v>
      </c>
      <c r="B705" s="161"/>
      <c r="C705" s="179">
        <v>20000.0</v>
      </c>
      <c r="D705" s="179">
        <v>25000.0</v>
      </c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</row>
    <row r="706">
      <c r="A706" s="154" t="s">
        <v>118</v>
      </c>
      <c r="B706" s="155">
        <f>B682+B703</f>
        <v>16000</v>
      </c>
      <c r="C706" s="155">
        <f>C682+C703+C705</f>
        <v>40000</v>
      </c>
      <c r="D706" s="155">
        <f>D682+D703-D702+D705</f>
        <v>45000</v>
      </c>
      <c r="E706" s="155">
        <f t="shared" ref="E706:F706" si="274">E682-E702+E703+E704</f>
        <v>14000</v>
      </c>
      <c r="F706" s="155">
        <f t="shared" si="274"/>
        <v>0</v>
      </c>
      <c r="G706" s="155">
        <f>G682+G703</f>
        <v>20000</v>
      </c>
      <c r="H706" s="155">
        <f>H682+H703+H705</f>
        <v>20000</v>
      </c>
      <c r="I706" s="155">
        <f t="shared" ref="I706:J706" si="275">I682+I703+I704</f>
        <v>14000</v>
      </c>
      <c r="J706" s="155">
        <f t="shared" si="275"/>
        <v>15000</v>
      </c>
      <c r="K706" s="155">
        <f>K681+K703+K704</f>
        <v>15000</v>
      </c>
      <c r="L706" s="155">
        <f>L682+L703+L704</f>
        <v>15200</v>
      </c>
      <c r="M706" s="155"/>
      <c r="N706" s="156">
        <f>SUM(B706:M706)</f>
        <v>214200</v>
      </c>
    </row>
    <row r="707">
      <c r="A707" s="130" t="s">
        <v>193</v>
      </c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2"/>
    </row>
    <row r="708">
      <c r="A708" s="149" t="s">
        <v>116</v>
      </c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2"/>
    </row>
    <row r="709">
      <c r="A709" s="149" t="s">
        <v>40</v>
      </c>
      <c r="B709" s="150"/>
      <c r="C709" s="151">
        <v>1700.0</v>
      </c>
      <c r="D709" s="150"/>
      <c r="E709" s="151">
        <v>600.0</v>
      </c>
      <c r="F709" s="151">
        <v>4800.0</v>
      </c>
      <c r="G709" s="150"/>
      <c r="H709" s="150"/>
      <c r="I709" s="150"/>
      <c r="J709" s="150"/>
      <c r="K709" s="150"/>
      <c r="L709" s="150"/>
      <c r="M709" s="150"/>
      <c r="N709" s="152">
        <f>SUM(B709:J709)</f>
        <v>7100</v>
      </c>
    </row>
    <row r="710">
      <c r="A710" s="149" t="s">
        <v>117</v>
      </c>
      <c r="B710" s="162"/>
      <c r="C710" s="150"/>
      <c r="D710" s="180">
        <v>2500.0</v>
      </c>
      <c r="E710" s="164"/>
      <c r="F710" s="150"/>
      <c r="G710" s="180">
        <v>3300.0</v>
      </c>
      <c r="H710" s="164"/>
      <c r="I710" s="163"/>
      <c r="J710" s="163"/>
      <c r="K710" s="150"/>
      <c r="L710" s="163"/>
      <c r="M710" s="163"/>
      <c r="N710" s="165">
        <f>SUM(B710:I710)</f>
        <v>5800</v>
      </c>
    </row>
    <row r="711">
      <c r="A711" s="153" t="s">
        <v>145</v>
      </c>
      <c r="B711" s="166"/>
      <c r="C711" s="166"/>
      <c r="D711" s="181"/>
      <c r="E711" s="166">
        <f>E692</f>
        <v>14000</v>
      </c>
      <c r="F711" s="166"/>
      <c r="G711" s="166">
        <f t="shared" ref="G711:I711" si="276">G682</f>
        <v>20000</v>
      </c>
      <c r="H711" s="166">
        <f t="shared" si="276"/>
        <v>20000</v>
      </c>
      <c r="I711" s="166">
        <f t="shared" si="276"/>
        <v>14000</v>
      </c>
      <c r="J711" s="166"/>
      <c r="K711" s="166">
        <f t="shared" ref="K711:L711" si="277">K682</f>
        <v>15000</v>
      </c>
      <c r="L711" s="166">
        <f t="shared" si="277"/>
        <v>13000</v>
      </c>
      <c r="M711" s="166">
        <f>M682/6*3</f>
        <v>7000</v>
      </c>
      <c r="N711" s="167"/>
    </row>
    <row r="712">
      <c r="A712" s="168" t="s">
        <v>118</v>
      </c>
      <c r="B712" s="169">
        <f>B682+B710+B709</f>
        <v>16000</v>
      </c>
      <c r="C712" s="169">
        <f>C682+C709+C710+C711</f>
        <v>21700</v>
      </c>
      <c r="D712" s="169">
        <f>D681-D708+D709+D710</f>
        <v>22500</v>
      </c>
      <c r="E712" s="169">
        <f>E681-E708+E709+E710+E711</f>
        <v>28600</v>
      </c>
      <c r="F712" s="170">
        <f>F682-F708+F709+F710</f>
        <v>4800</v>
      </c>
      <c r="G712" s="169">
        <f>G682+G709+G710+G711</f>
        <v>43300</v>
      </c>
      <c r="H712" s="170">
        <f>H681+H710+H709+H711</f>
        <v>40000</v>
      </c>
      <c r="I712" s="169">
        <f t="shared" ref="I712:L712" si="278">I682+I709+I710+I711</f>
        <v>28000</v>
      </c>
      <c r="J712" s="169">
        <f t="shared" si="278"/>
        <v>15000</v>
      </c>
      <c r="K712" s="170">
        <f t="shared" si="278"/>
        <v>30000</v>
      </c>
      <c r="L712" s="169">
        <f t="shared" si="278"/>
        <v>26000</v>
      </c>
      <c r="M712" s="171">
        <f>M681+M711</f>
        <v>21000</v>
      </c>
      <c r="N712" s="172">
        <f>SUM(B712:M712)</f>
        <v>296900</v>
      </c>
    </row>
    <row r="713">
      <c r="A713" s="130" t="s">
        <v>194</v>
      </c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2"/>
    </row>
    <row r="714">
      <c r="A714" s="149" t="s">
        <v>116</v>
      </c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2"/>
    </row>
    <row r="715">
      <c r="A715" s="149" t="s">
        <v>40</v>
      </c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2">
        <f>SUM(B715:J715)</f>
        <v>0</v>
      </c>
    </row>
    <row r="716">
      <c r="A716" s="153" t="s">
        <v>119</v>
      </c>
      <c r="B716" s="162"/>
      <c r="C716" s="150"/>
      <c r="D716" s="163">
        <f>D682+D681</f>
        <v>40000</v>
      </c>
      <c r="E716" s="164"/>
      <c r="F716" s="150"/>
      <c r="G716" s="163"/>
      <c r="H716" s="164"/>
      <c r="I716" s="163"/>
      <c r="J716" s="163"/>
      <c r="K716" s="150">
        <f>K682+K681</f>
        <v>30000</v>
      </c>
      <c r="L716" s="163"/>
      <c r="M716" s="163"/>
      <c r="N716" s="165">
        <f>SUM(B716:I716)</f>
        <v>40000</v>
      </c>
    </row>
    <row r="717">
      <c r="A717" s="153" t="s">
        <v>149</v>
      </c>
      <c r="B717" s="166"/>
      <c r="C717" s="181"/>
      <c r="D717" s="181">
        <v>20000.0</v>
      </c>
      <c r="E717" s="181">
        <v>14000.0</v>
      </c>
      <c r="F717" s="166"/>
      <c r="G717" s="181">
        <v>20000.0</v>
      </c>
      <c r="H717" s="166"/>
      <c r="I717" s="166"/>
      <c r="J717" s="166"/>
      <c r="K717" s="166">
        <f>K679</f>
        <v>15000</v>
      </c>
      <c r="L717" s="181">
        <v>13000.0</v>
      </c>
      <c r="M717" s="166"/>
      <c r="N717" s="167"/>
    </row>
    <row r="718">
      <c r="A718" s="168" t="s">
        <v>118</v>
      </c>
      <c r="B718" s="170">
        <f>B682</f>
        <v>16000</v>
      </c>
      <c r="C718" s="169">
        <f>C682+C717</f>
        <v>20000</v>
      </c>
      <c r="D718" s="169">
        <f>D682+D717+D716</f>
        <v>80000</v>
      </c>
      <c r="E718" s="169">
        <f>E682+E717</f>
        <v>28000</v>
      </c>
      <c r="F718" s="170"/>
      <c r="G718" s="170">
        <f>G682+G717</f>
        <v>40000</v>
      </c>
      <c r="H718" s="170">
        <f t="shared" ref="H718:J718" si="279">H682</f>
        <v>20000</v>
      </c>
      <c r="I718" s="170">
        <f t="shared" si="279"/>
        <v>14000</v>
      </c>
      <c r="J718" s="170">
        <f t="shared" si="279"/>
        <v>15000</v>
      </c>
      <c r="K718" s="170">
        <f>K682+K716+K717</f>
        <v>60000</v>
      </c>
      <c r="L718" s="170">
        <f>L682+13000</f>
        <v>26000</v>
      </c>
      <c r="M718" s="171">
        <f>M682</f>
        <v>14000</v>
      </c>
      <c r="N718" s="182">
        <f>SUM(B718:M718)</f>
        <v>333000</v>
      </c>
    </row>
  </sheetData>
  <mergeCells count="55">
    <mergeCell ref="A2:N2"/>
    <mergeCell ref="A35:N35"/>
    <mergeCell ref="A62:N62"/>
    <mergeCell ref="A89:N89"/>
    <mergeCell ref="A117:N117"/>
    <mergeCell ref="A143:N143"/>
    <mergeCell ref="A169:N169"/>
    <mergeCell ref="A199:N199"/>
    <mergeCell ref="A224:N224"/>
    <mergeCell ref="A251:N251"/>
    <mergeCell ref="A275:N275"/>
    <mergeCell ref="A282:N282"/>
    <mergeCell ref="A305:N305"/>
    <mergeCell ref="A315:N315"/>
    <mergeCell ref="A338:N338"/>
    <mergeCell ref="A348:N348"/>
    <mergeCell ref="A376:N376"/>
    <mergeCell ref="A387:N387"/>
    <mergeCell ref="A409:N409"/>
    <mergeCell ref="A420:N420"/>
    <mergeCell ref="A443:N443"/>
    <mergeCell ref="A454:N454"/>
    <mergeCell ref="A477:N477"/>
    <mergeCell ref="A494:N494"/>
    <mergeCell ref="A500:N500"/>
    <mergeCell ref="A506:N506"/>
    <mergeCell ref="A512:N512"/>
    <mergeCell ref="A520:N520"/>
    <mergeCell ref="A529:N529"/>
    <mergeCell ref="A536:N536"/>
    <mergeCell ref="A541:N541"/>
    <mergeCell ref="A546:N546"/>
    <mergeCell ref="A551:N551"/>
    <mergeCell ref="A560:N560"/>
    <mergeCell ref="A569:N569"/>
    <mergeCell ref="A577:N577"/>
    <mergeCell ref="A583:N583"/>
    <mergeCell ref="A589:N589"/>
    <mergeCell ref="A595:N595"/>
    <mergeCell ref="A600:N600"/>
    <mergeCell ref="A609:N609"/>
    <mergeCell ref="A617:N617"/>
    <mergeCell ref="A678:N678"/>
    <mergeCell ref="A687:N687"/>
    <mergeCell ref="A695:N695"/>
    <mergeCell ref="A701:N701"/>
    <mergeCell ref="A707:N707"/>
    <mergeCell ref="A713:N713"/>
    <mergeCell ref="A623:N623"/>
    <mergeCell ref="A629:N629"/>
    <mergeCell ref="A638:N638"/>
    <mergeCell ref="A647:N647"/>
    <mergeCell ref="A655:N655"/>
    <mergeCell ref="A661:N661"/>
    <mergeCell ref="A668:N668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71"/>
    <col customWidth="1" min="3" max="3" width="13.71"/>
    <col customWidth="1" min="9" max="9" width="16.43"/>
    <col customWidth="1" min="11" max="11" width="14.0"/>
    <col customWidth="1" min="12" max="12" width="16.71"/>
    <col customWidth="1" min="13" max="13" width="19.71"/>
    <col customWidth="1" min="14" max="16" width="18.57"/>
    <col customWidth="1" min="17" max="17" width="20.71"/>
  </cols>
  <sheetData>
    <row r="1" hidden="1">
      <c r="A1" s="1" t="s">
        <v>0</v>
      </c>
      <c r="B1" s="2" t="s">
        <v>1</v>
      </c>
      <c r="C1" s="3" t="s">
        <v>2</v>
      </c>
      <c r="D1" s="3" t="s">
        <v>3</v>
      </c>
      <c r="E1" s="3"/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/>
      <c r="L1" s="4"/>
      <c r="M1" s="4"/>
      <c r="N1" s="4"/>
      <c r="O1" s="4"/>
      <c r="P1" s="4"/>
      <c r="Q1" s="1" t="s">
        <v>0</v>
      </c>
      <c r="R1" s="2" t="s">
        <v>1</v>
      </c>
      <c r="S1" s="3" t="s">
        <v>2</v>
      </c>
      <c r="T1" s="3" t="s">
        <v>3</v>
      </c>
      <c r="U1" s="3" t="s">
        <v>4</v>
      </c>
      <c r="V1" s="3" t="s">
        <v>9</v>
      </c>
      <c r="W1" s="3" t="s">
        <v>5</v>
      </c>
      <c r="X1" s="3" t="s">
        <v>6</v>
      </c>
      <c r="Y1" s="1" t="s">
        <v>10</v>
      </c>
      <c r="Z1" s="4" t="s">
        <v>7</v>
      </c>
      <c r="AA1" s="4" t="s">
        <v>8</v>
      </c>
      <c r="AB1" s="5" t="s">
        <v>11</v>
      </c>
    </row>
    <row r="2" hidden="1">
      <c r="A2" s="6" t="s">
        <v>12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 hidden="1">
      <c r="A3" s="9">
        <v>43918.0</v>
      </c>
      <c r="B3" s="10">
        <v>8500.0</v>
      </c>
      <c r="C3" s="10">
        <v>7250.0</v>
      </c>
      <c r="D3" s="10">
        <v>6050.0</v>
      </c>
      <c r="E3" s="10"/>
      <c r="F3" s="10">
        <v>6050.0</v>
      </c>
      <c r="G3" s="10">
        <v>5800.0</v>
      </c>
      <c r="H3" s="10">
        <v>5800.0</v>
      </c>
      <c r="I3" s="11">
        <v>0.0</v>
      </c>
      <c r="J3" s="12"/>
      <c r="K3" s="12"/>
      <c r="L3" s="12"/>
      <c r="M3" s="12"/>
      <c r="N3" s="12"/>
      <c r="O3" s="12"/>
      <c r="P3" s="12"/>
      <c r="Q3" s="13">
        <f>SUM(B3:J3)</f>
        <v>39450</v>
      </c>
    </row>
    <row r="4" hidden="1">
      <c r="A4" s="14">
        <v>44108.0</v>
      </c>
      <c r="B4" s="10">
        <v>8500.0</v>
      </c>
      <c r="C4" s="10">
        <v>7250.0</v>
      </c>
      <c r="D4" s="10">
        <v>6050.0</v>
      </c>
      <c r="E4" s="10"/>
      <c r="F4" s="10">
        <v>6050.0</v>
      </c>
      <c r="G4" s="10">
        <v>5800.0</v>
      </c>
      <c r="H4" s="10">
        <v>5800.0</v>
      </c>
      <c r="I4" s="11">
        <v>0.0</v>
      </c>
      <c r="J4" s="12"/>
      <c r="K4" s="12"/>
      <c r="L4" s="12"/>
      <c r="M4" s="12"/>
      <c r="N4" s="12"/>
      <c r="O4" s="12"/>
      <c r="P4" s="12"/>
      <c r="Q4" s="13">
        <f t="shared" ref="Q4:Q7" si="1">SUM(B4:I4)</f>
        <v>39450</v>
      </c>
    </row>
    <row r="5" hidden="1">
      <c r="A5" s="15" t="s">
        <v>13</v>
      </c>
      <c r="B5" s="10">
        <v>8500.0</v>
      </c>
      <c r="C5" s="10">
        <v>7250.0</v>
      </c>
      <c r="D5" s="10">
        <v>6050.0</v>
      </c>
      <c r="E5" s="10"/>
      <c r="F5" s="10">
        <v>6050.0</v>
      </c>
      <c r="G5" s="10">
        <v>5800.0</v>
      </c>
      <c r="H5" s="10">
        <v>5800.0</v>
      </c>
      <c r="I5" s="11">
        <v>0.0</v>
      </c>
      <c r="J5" s="12"/>
      <c r="K5" s="12"/>
      <c r="L5" s="12"/>
      <c r="M5" s="12"/>
      <c r="N5" s="12"/>
      <c r="O5" s="12"/>
      <c r="P5" s="12"/>
      <c r="Q5" s="13">
        <f t="shared" si="1"/>
        <v>39450</v>
      </c>
    </row>
    <row r="6" hidden="1">
      <c r="A6" s="15" t="s">
        <v>14</v>
      </c>
      <c r="B6" s="16">
        <v>8500.0</v>
      </c>
      <c r="C6" s="16">
        <v>7250.0</v>
      </c>
      <c r="D6" s="16">
        <v>6050.0</v>
      </c>
      <c r="E6" s="16"/>
      <c r="F6" s="16">
        <v>6050.0</v>
      </c>
      <c r="G6" s="16">
        <v>5800.0</v>
      </c>
      <c r="H6" s="16">
        <v>5800.0</v>
      </c>
      <c r="I6" s="17">
        <v>0.0</v>
      </c>
      <c r="J6" s="18"/>
      <c r="K6" s="18"/>
      <c r="L6" s="18"/>
      <c r="M6" s="18"/>
      <c r="N6" s="18"/>
      <c r="O6" s="18"/>
      <c r="P6" s="18"/>
      <c r="Q6" s="19">
        <f t="shared" si="1"/>
        <v>39450</v>
      </c>
    </row>
    <row r="7" hidden="1">
      <c r="A7" s="15" t="s">
        <v>14</v>
      </c>
      <c r="B7" s="16">
        <v>8500.0</v>
      </c>
      <c r="C7" s="16">
        <v>7250.0</v>
      </c>
      <c r="D7" s="16">
        <v>6050.0</v>
      </c>
      <c r="E7" s="16"/>
      <c r="F7" s="16">
        <v>6050.0</v>
      </c>
      <c r="G7" s="16">
        <v>5800.0</v>
      </c>
      <c r="H7" s="16">
        <v>5800.0</v>
      </c>
      <c r="I7" s="17">
        <v>0.0</v>
      </c>
      <c r="J7" s="18"/>
      <c r="K7" s="18"/>
      <c r="L7" s="18"/>
      <c r="M7" s="18"/>
      <c r="N7" s="18"/>
      <c r="O7" s="18"/>
      <c r="P7" s="18"/>
      <c r="Q7" s="19">
        <f t="shared" si="1"/>
        <v>39450</v>
      </c>
    </row>
    <row r="8" hidden="1">
      <c r="A8" s="20" t="s">
        <v>15</v>
      </c>
      <c r="B8" s="21">
        <f t="shared" ref="B8:D8" si="2">SUM(B3:B6)</f>
        <v>34000</v>
      </c>
      <c r="C8" s="21">
        <f t="shared" si="2"/>
        <v>29000</v>
      </c>
      <c r="D8" s="21">
        <f t="shared" si="2"/>
        <v>24200</v>
      </c>
      <c r="E8" s="21"/>
      <c r="F8" s="21">
        <f t="shared" ref="F8:I8" si="3">SUM(F3:F6)</f>
        <v>24200</v>
      </c>
      <c r="G8" s="21">
        <f t="shared" si="3"/>
        <v>23200</v>
      </c>
      <c r="H8" s="21">
        <f t="shared" si="3"/>
        <v>23200</v>
      </c>
      <c r="I8" s="21">
        <f t="shared" si="3"/>
        <v>0</v>
      </c>
      <c r="J8" s="21"/>
      <c r="K8" s="21"/>
      <c r="L8" s="21"/>
      <c r="M8" s="21"/>
      <c r="N8" s="21"/>
      <c r="O8" s="21"/>
      <c r="P8" s="21"/>
      <c r="Q8" s="22">
        <f>SUM(Q3:Q6)</f>
        <v>157800</v>
      </c>
    </row>
    <row r="9" hidden="1">
      <c r="A9" s="23" t="s">
        <v>16</v>
      </c>
      <c r="B9" s="24">
        <v>10475.0</v>
      </c>
      <c r="C9" s="24">
        <v>9463.0</v>
      </c>
      <c r="D9" s="24">
        <v>9075.0</v>
      </c>
      <c r="E9" s="24"/>
      <c r="F9" s="24">
        <v>9075.0</v>
      </c>
      <c r="G9" s="24">
        <v>10410.0</v>
      </c>
      <c r="H9" s="24">
        <v>10410.0</v>
      </c>
      <c r="I9" s="24"/>
      <c r="J9" s="24"/>
      <c r="K9" s="25"/>
      <c r="L9" s="25"/>
      <c r="M9" s="25"/>
      <c r="N9" s="25"/>
      <c r="O9" s="25"/>
      <c r="P9" s="25"/>
      <c r="Q9" s="26">
        <f t="shared" ref="Q9:Q12" si="6">SUM(B9:J9)</f>
        <v>58908</v>
      </c>
    </row>
    <row r="10" hidden="1">
      <c r="A10" s="27" t="s">
        <v>17</v>
      </c>
      <c r="B10" s="28">
        <f t="shared" ref="B10:D10" si="4">B8-(B9)</f>
        <v>23525</v>
      </c>
      <c r="C10" s="28">
        <f t="shared" si="4"/>
        <v>19537</v>
      </c>
      <c r="D10" s="28">
        <f t="shared" si="4"/>
        <v>15125</v>
      </c>
      <c r="E10" s="28"/>
      <c r="F10" s="28">
        <f t="shared" ref="F10:I10" si="5">F8-(F9)</f>
        <v>15125</v>
      </c>
      <c r="G10" s="28">
        <f t="shared" si="5"/>
        <v>12790</v>
      </c>
      <c r="H10" s="28">
        <f t="shared" si="5"/>
        <v>12790</v>
      </c>
      <c r="I10" s="28">
        <f t="shared" si="5"/>
        <v>0</v>
      </c>
      <c r="J10" s="28"/>
      <c r="K10" s="29"/>
      <c r="L10" s="29"/>
      <c r="M10" s="29"/>
      <c r="N10" s="29"/>
      <c r="O10" s="29"/>
      <c r="P10" s="29"/>
      <c r="Q10" s="30">
        <f t="shared" si="6"/>
        <v>98892</v>
      </c>
    </row>
    <row r="11" hidden="1">
      <c r="A11" s="23" t="s">
        <v>18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25"/>
      <c r="M11" s="25"/>
      <c r="N11" s="25"/>
      <c r="O11" s="25"/>
      <c r="P11" s="25"/>
      <c r="Q11" s="26">
        <f t="shared" si="6"/>
        <v>0</v>
      </c>
    </row>
    <row r="12" hidden="1">
      <c r="A12" s="9">
        <v>43918.0</v>
      </c>
      <c r="B12" s="10">
        <f t="shared" ref="B12:D12" si="7">B10/3</f>
        <v>7841.666667</v>
      </c>
      <c r="C12" s="10">
        <f t="shared" si="7"/>
        <v>6512.333333</v>
      </c>
      <c r="D12" s="10">
        <f t="shared" si="7"/>
        <v>5041.666667</v>
      </c>
      <c r="E12" s="10"/>
      <c r="F12" s="10">
        <v>7050.0</v>
      </c>
      <c r="G12" s="10">
        <f t="shared" ref="G12:H12" si="8">G10/3</f>
        <v>4263.333333</v>
      </c>
      <c r="H12" s="10">
        <f t="shared" si="8"/>
        <v>4263.333333</v>
      </c>
      <c r="I12" s="11">
        <v>0.0</v>
      </c>
      <c r="J12" s="12"/>
      <c r="K12" s="12"/>
      <c r="L12" s="12"/>
      <c r="M12" s="12"/>
      <c r="N12" s="12"/>
      <c r="O12" s="12"/>
      <c r="P12" s="12"/>
      <c r="Q12" s="13">
        <f t="shared" si="6"/>
        <v>34972.33333</v>
      </c>
    </row>
    <row r="13" hidden="1">
      <c r="A13" s="14">
        <v>44108.0</v>
      </c>
      <c r="B13" s="10">
        <f>B8/4+650</f>
        <v>9150</v>
      </c>
      <c r="C13" s="10">
        <f>C8/4+700</f>
        <v>7950</v>
      </c>
      <c r="D13" s="10">
        <f>D8/4+1000</f>
        <v>7050</v>
      </c>
      <c r="E13" s="10"/>
      <c r="F13" s="10">
        <f>F8/4+1000</f>
        <v>7050</v>
      </c>
      <c r="G13" s="31">
        <f t="shared" ref="G13:H13" si="9">G8/4+1500</f>
        <v>7300</v>
      </c>
      <c r="H13" s="31">
        <f t="shared" si="9"/>
        <v>7300</v>
      </c>
      <c r="I13" s="11">
        <v>0.0</v>
      </c>
      <c r="J13" s="12"/>
      <c r="K13" s="12"/>
      <c r="L13" s="12"/>
      <c r="M13" s="12"/>
      <c r="N13" s="12"/>
      <c r="O13" s="12"/>
      <c r="P13" s="12"/>
      <c r="Q13" s="13">
        <f t="shared" ref="Q13:Q15" si="12">SUM(B13:I13)</f>
        <v>45800</v>
      </c>
    </row>
    <row r="14" hidden="1">
      <c r="A14" s="15" t="s">
        <v>13</v>
      </c>
      <c r="B14" s="10">
        <f t="shared" ref="B14:D14" si="10">B8/4</f>
        <v>8500</v>
      </c>
      <c r="C14" s="10">
        <f t="shared" si="10"/>
        <v>7250</v>
      </c>
      <c r="D14" s="10">
        <f t="shared" si="10"/>
        <v>6050</v>
      </c>
      <c r="E14" s="10"/>
      <c r="F14" s="10">
        <f>F8/4+1000</f>
        <v>7050</v>
      </c>
      <c r="G14" s="10">
        <f t="shared" ref="G14:H14" si="11">G8/4</f>
        <v>5800</v>
      </c>
      <c r="H14" s="10">
        <f t="shared" si="11"/>
        <v>5800</v>
      </c>
      <c r="I14" s="11">
        <v>0.0</v>
      </c>
      <c r="J14" s="12"/>
      <c r="K14" s="12"/>
      <c r="L14" s="12"/>
      <c r="M14" s="12"/>
      <c r="N14" s="12"/>
      <c r="O14" s="12"/>
      <c r="P14" s="12"/>
      <c r="Q14" s="13">
        <f t="shared" si="12"/>
        <v>40450</v>
      </c>
    </row>
    <row r="15" hidden="1">
      <c r="A15" s="15" t="s">
        <v>14</v>
      </c>
      <c r="B15" s="16">
        <f t="shared" ref="B15:D15" si="13">B8/4</f>
        <v>8500</v>
      </c>
      <c r="C15" s="16">
        <f t="shared" si="13"/>
        <v>7250</v>
      </c>
      <c r="D15" s="16">
        <f t="shared" si="13"/>
        <v>6050</v>
      </c>
      <c r="E15" s="16"/>
      <c r="F15" s="16">
        <f t="shared" ref="F15:G15" si="14">F8/4</f>
        <v>6050</v>
      </c>
      <c r="G15" s="16">
        <f t="shared" si="14"/>
        <v>5800</v>
      </c>
      <c r="H15" s="16">
        <f>H8/4+2900</f>
        <v>8700</v>
      </c>
      <c r="I15" s="17">
        <v>0.0</v>
      </c>
      <c r="J15" s="18"/>
      <c r="K15" s="18"/>
      <c r="L15" s="18"/>
      <c r="M15" s="18"/>
      <c r="N15" s="18"/>
      <c r="O15" s="18"/>
      <c r="P15" s="18"/>
      <c r="Q15" s="19">
        <f t="shared" si="12"/>
        <v>42350</v>
      </c>
    </row>
    <row r="16" hidden="1">
      <c r="A16" s="32" t="s">
        <v>19</v>
      </c>
      <c r="B16" s="16">
        <v>8500.0</v>
      </c>
      <c r="C16" s="33">
        <v>7250.0</v>
      </c>
      <c r="D16" s="33">
        <v>6050.0</v>
      </c>
      <c r="E16" s="33"/>
      <c r="F16" s="33">
        <v>6050.0</v>
      </c>
      <c r="G16" s="33">
        <v>5800.0</v>
      </c>
      <c r="H16" s="33">
        <v>8700.0</v>
      </c>
      <c r="I16" s="34"/>
      <c r="J16" s="35"/>
      <c r="K16" s="35"/>
      <c r="L16" s="35"/>
      <c r="M16" s="35"/>
      <c r="N16" s="35"/>
      <c r="O16" s="35"/>
      <c r="P16" s="35"/>
      <c r="Q16" s="35"/>
    </row>
    <row r="17" hidden="1">
      <c r="A17" s="27" t="s">
        <v>20</v>
      </c>
      <c r="B17" s="28"/>
      <c r="C17" s="28"/>
      <c r="D17" s="28"/>
      <c r="E17" s="28"/>
      <c r="F17" s="28"/>
      <c r="G17" s="36" t="s">
        <v>21</v>
      </c>
      <c r="H17" s="36" t="s">
        <v>21</v>
      </c>
      <c r="I17" s="37"/>
      <c r="J17" s="37"/>
      <c r="K17" s="37"/>
      <c r="L17" s="37"/>
      <c r="M17" s="37"/>
      <c r="N17" s="37"/>
      <c r="O17" s="37"/>
      <c r="P17" s="37"/>
      <c r="Q17" s="37"/>
    </row>
    <row r="18" hidden="1">
      <c r="A18" s="37"/>
      <c r="B18" s="38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</row>
    <row r="19" hidden="1">
      <c r="A19" s="39" t="s">
        <v>22</v>
      </c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hidden="1">
      <c r="A20" s="42">
        <v>43918.0</v>
      </c>
      <c r="B20" s="43"/>
      <c r="C20" s="44"/>
      <c r="D20" s="44"/>
      <c r="E20" s="45"/>
      <c r="F20" s="45"/>
      <c r="G20" s="44"/>
      <c r="H20" s="45"/>
      <c r="I20" s="44"/>
      <c r="J20" s="44"/>
      <c r="K20" s="44"/>
      <c r="L20" s="44"/>
      <c r="M20" s="44"/>
      <c r="N20" s="44"/>
      <c r="O20" s="44"/>
      <c r="P20" s="44"/>
      <c r="Q20" s="44"/>
    </row>
    <row r="21" hidden="1">
      <c r="A21" s="42">
        <v>44108.0</v>
      </c>
      <c r="B21" s="46"/>
      <c r="C21" s="45"/>
      <c r="D21" s="45"/>
      <c r="E21" s="45"/>
      <c r="F21" s="45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</row>
    <row r="22" hidden="1">
      <c r="A22" s="39" t="s">
        <v>13</v>
      </c>
      <c r="B22" s="43"/>
      <c r="C22" s="44"/>
      <c r="D22" s="44"/>
      <c r="E22" s="45"/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</row>
    <row r="23" hidden="1">
      <c r="A23" s="39" t="s">
        <v>14</v>
      </c>
      <c r="B23" s="46"/>
      <c r="C23" s="45"/>
      <c r="D23" s="44"/>
      <c r="E23" s="45"/>
      <c r="F23" s="45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</row>
    <row r="24" hidden="1">
      <c r="A24" s="39" t="s">
        <v>19</v>
      </c>
      <c r="B24" s="46"/>
      <c r="C24" s="44"/>
      <c r="D24" s="44"/>
      <c r="E24" s="45"/>
      <c r="F24" s="45">
        <v>1720.0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</row>
    <row r="25" hidden="1">
      <c r="A25" s="37"/>
      <c r="B25" s="38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</row>
    <row r="26" hidden="1">
      <c r="A26" s="47" t="s">
        <v>23</v>
      </c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7" t="s">
        <v>24</v>
      </c>
    </row>
    <row r="27" hidden="1">
      <c r="A27" s="50">
        <v>43918.0</v>
      </c>
      <c r="B27" s="51">
        <f t="shared" ref="B27:D27" si="15">B12-B20</f>
        <v>7841.666667</v>
      </c>
      <c r="C27" s="52">
        <f t="shared" si="15"/>
        <v>6512.333333</v>
      </c>
      <c r="D27" s="52">
        <f t="shared" si="15"/>
        <v>5041.666667</v>
      </c>
      <c r="E27" s="52"/>
      <c r="F27" s="52"/>
      <c r="G27" s="52">
        <f t="shared" ref="G27:H27" si="16">G12-G20</f>
        <v>4263.333333</v>
      </c>
      <c r="H27" s="52">
        <f t="shared" si="16"/>
        <v>4263.333333</v>
      </c>
      <c r="I27" s="52"/>
      <c r="J27" s="52"/>
      <c r="K27" s="52"/>
      <c r="L27" s="52"/>
      <c r="M27" s="52"/>
      <c r="N27" s="52"/>
      <c r="O27" s="52"/>
      <c r="P27" s="52"/>
      <c r="Q27" s="53">
        <f t="shared" ref="Q27:Q29" si="19">SUM(B27:J27)</f>
        <v>27922.33333</v>
      </c>
    </row>
    <row r="28" hidden="1">
      <c r="A28" s="50">
        <v>44108.0</v>
      </c>
      <c r="B28" s="51">
        <f>B13-B20-B21</f>
        <v>9150</v>
      </c>
      <c r="C28" s="52">
        <f t="shared" ref="C28:D28" si="17">C13-C21-C20</f>
        <v>7950</v>
      </c>
      <c r="D28" s="52">
        <f t="shared" si="17"/>
        <v>7050</v>
      </c>
      <c r="E28" s="52"/>
      <c r="F28" s="52">
        <f t="shared" ref="F28:H28" si="18">F13-F21-F20</f>
        <v>7050</v>
      </c>
      <c r="G28" s="52">
        <f t="shared" si="18"/>
        <v>7300</v>
      </c>
      <c r="H28" s="52">
        <f t="shared" si="18"/>
        <v>7300</v>
      </c>
      <c r="I28" s="52"/>
      <c r="J28" s="52"/>
      <c r="K28" s="52"/>
      <c r="L28" s="52"/>
      <c r="M28" s="52"/>
      <c r="N28" s="52"/>
      <c r="O28" s="52"/>
      <c r="P28" s="52"/>
      <c r="Q28" s="53">
        <f t="shared" si="19"/>
        <v>45800</v>
      </c>
    </row>
    <row r="29" hidden="1">
      <c r="A29" s="47" t="s">
        <v>13</v>
      </c>
      <c r="B29" s="51">
        <f t="shared" ref="B29:D29" si="20">B14-B22</f>
        <v>8500</v>
      </c>
      <c r="C29" s="52">
        <f t="shared" si="20"/>
        <v>7250</v>
      </c>
      <c r="D29" s="52">
        <f t="shared" si="20"/>
        <v>6050</v>
      </c>
      <c r="E29" s="52"/>
      <c r="F29" s="52">
        <f t="shared" ref="F29:H29" si="21">F14-F22</f>
        <v>7050</v>
      </c>
      <c r="G29" s="52">
        <f t="shared" si="21"/>
        <v>5800</v>
      </c>
      <c r="H29" s="52">
        <f t="shared" si="21"/>
        <v>5800</v>
      </c>
      <c r="I29" s="52"/>
      <c r="J29" s="52"/>
      <c r="K29" s="52"/>
      <c r="L29" s="52"/>
      <c r="M29" s="52"/>
      <c r="N29" s="52"/>
      <c r="O29" s="52"/>
      <c r="P29" s="52"/>
      <c r="Q29" s="53">
        <f t="shared" si="19"/>
        <v>40450</v>
      </c>
    </row>
    <row r="30" hidden="1">
      <c r="A30" s="47" t="s">
        <v>25</v>
      </c>
      <c r="B30" s="51">
        <f t="shared" ref="B30:D30" si="22">B15-B23</f>
        <v>8500</v>
      </c>
      <c r="C30" s="52">
        <f t="shared" si="22"/>
        <v>7250</v>
      </c>
      <c r="D30" s="52">
        <f t="shared" si="22"/>
        <v>6050</v>
      </c>
      <c r="E30" s="52"/>
      <c r="F30" s="52">
        <f>F16</f>
        <v>6050</v>
      </c>
      <c r="G30" s="52">
        <f t="shared" ref="G30:H30" si="23">G15-G23</f>
        <v>5800</v>
      </c>
      <c r="H30" s="52">
        <f t="shared" si="23"/>
        <v>8700</v>
      </c>
      <c r="I30" s="52"/>
      <c r="J30" s="52"/>
      <c r="K30" s="52"/>
      <c r="L30" s="52"/>
      <c r="M30" s="52"/>
      <c r="N30" s="52"/>
      <c r="O30" s="52"/>
      <c r="P30" s="52"/>
      <c r="Q30" s="53">
        <f>SUM(B30:H30)</f>
        <v>42350</v>
      </c>
    </row>
    <row r="31" hidden="1">
      <c r="A31" s="47" t="s">
        <v>19</v>
      </c>
      <c r="B31" s="54">
        <v>8500.0</v>
      </c>
      <c r="C31" s="52">
        <f t="shared" ref="C31:D31" si="24">C16-C24</f>
        <v>7250</v>
      </c>
      <c r="D31" s="52">
        <f t="shared" si="24"/>
        <v>6050</v>
      </c>
      <c r="E31" s="52"/>
      <c r="F31" s="52">
        <f t="shared" ref="F31:H31" si="25">F16-F24</f>
        <v>4330</v>
      </c>
      <c r="G31" s="52">
        <f t="shared" si="25"/>
        <v>5800</v>
      </c>
      <c r="H31" s="52">
        <f t="shared" si="25"/>
        <v>8700</v>
      </c>
      <c r="I31" s="52"/>
      <c r="J31" s="52"/>
      <c r="K31" s="52"/>
      <c r="L31" s="52"/>
      <c r="M31" s="52"/>
      <c r="N31" s="52"/>
      <c r="O31" s="52"/>
      <c r="P31" s="52"/>
      <c r="Q31" s="52"/>
    </row>
    <row r="32" hidden="1"/>
    <row r="33" hidden="1"/>
    <row r="34" hidden="1">
      <c r="A34" s="1" t="s">
        <v>0</v>
      </c>
      <c r="B34" s="2" t="s">
        <v>1</v>
      </c>
      <c r="C34" s="3" t="s">
        <v>2</v>
      </c>
      <c r="D34" s="3" t="s">
        <v>3</v>
      </c>
      <c r="E34" s="3"/>
      <c r="F34" s="3" t="s">
        <v>4</v>
      </c>
      <c r="G34" s="3" t="s">
        <v>5</v>
      </c>
      <c r="H34" s="3" t="s">
        <v>6</v>
      </c>
      <c r="I34" s="4" t="s">
        <v>7</v>
      </c>
      <c r="J34" s="4" t="s">
        <v>8</v>
      </c>
      <c r="K34" s="4"/>
      <c r="L34" s="4"/>
      <c r="M34" s="4"/>
      <c r="N34" s="4"/>
      <c r="O34" s="4"/>
      <c r="P34" s="4"/>
      <c r="Q34" s="1" t="s">
        <v>0</v>
      </c>
    </row>
    <row r="35" hidden="1">
      <c r="A35" s="6" t="s">
        <v>26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8"/>
    </row>
    <row r="36" hidden="1">
      <c r="A36" s="55" t="s">
        <v>27</v>
      </c>
      <c r="B36" s="10">
        <v>8500.0</v>
      </c>
      <c r="C36" s="10">
        <v>7250.0</v>
      </c>
      <c r="D36" s="56">
        <v>6050.0</v>
      </c>
      <c r="E36" s="10"/>
      <c r="F36" s="10">
        <v>6050.0</v>
      </c>
      <c r="G36" s="10">
        <f>5800+2900</f>
        <v>8700</v>
      </c>
      <c r="H36" s="56">
        <v>6050.0</v>
      </c>
      <c r="I36" s="11">
        <v>0.0</v>
      </c>
      <c r="J36" s="12"/>
      <c r="K36" s="12"/>
      <c r="L36" s="12"/>
      <c r="M36" s="12"/>
      <c r="N36" s="12"/>
      <c r="O36" s="12"/>
      <c r="P36" s="12"/>
      <c r="Q36" s="13">
        <f>SUM(B36:J36)</f>
        <v>42600</v>
      </c>
    </row>
    <row r="37" hidden="1">
      <c r="A37" s="15" t="s">
        <v>28</v>
      </c>
      <c r="B37" s="10">
        <v>8500.0</v>
      </c>
      <c r="C37" s="10">
        <v>7250.0</v>
      </c>
      <c r="D37" s="56">
        <v>6050.0</v>
      </c>
      <c r="E37" s="10"/>
      <c r="F37" s="10">
        <v>6050.0</v>
      </c>
      <c r="G37" s="10">
        <v>6050.0</v>
      </c>
      <c r="H37" s="10">
        <v>6050.0</v>
      </c>
      <c r="I37" s="11">
        <v>0.0</v>
      </c>
      <c r="J37" s="12"/>
      <c r="K37" s="12"/>
      <c r="L37" s="12"/>
      <c r="M37" s="12"/>
      <c r="N37" s="12"/>
      <c r="O37" s="12"/>
      <c r="P37" s="12"/>
      <c r="Q37" s="13">
        <f t="shared" ref="Q37:Q40" si="26">SUM(B37:I37)</f>
        <v>39950</v>
      </c>
    </row>
    <row r="38" hidden="1">
      <c r="A38" s="15" t="s">
        <v>29</v>
      </c>
      <c r="B38" s="10">
        <v>8500.0</v>
      </c>
      <c r="C38" s="10">
        <v>7250.0</v>
      </c>
      <c r="D38" s="10">
        <v>6050.0</v>
      </c>
      <c r="E38" s="10"/>
      <c r="F38" s="10">
        <v>6050.0</v>
      </c>
      <c r="G38" s="10">
        <v>6050.0</v>
      </c>
      <c r="H38" s="10">
        <v>6050.0</v>
      </c>
      <c r="I38" s="11">
        <v>0.0</v>
      </c>
      <c r="J38" s="12"/>
      <c r="K38" s="12"/>
      <c r="L38" s="12"/>
      <c r="M38" s="12"/>
      <c r="N38" s="12"/>
      <c r="O38" s="12"/>
      <c r="P38" s="12"/>
      <c r="Q38" s="13">
        <f t="shared" si="26"/>
        <v>39950</v>
      </c>
    </row>
    <row r="39" hidden="1">
      <c r="A39" s="15" t="s">
        <v>30</v>
      </c>
      <c r="B39" s="16">
        <v>8500.0</v>
      </c>
      <c r="C39" s="16">
        <v>7250.0</v>
      </c>
      <c r="D39" s="16">
        <v>6050.0</v>
      </c>
      <c r="E39" s="16"/>
      <c r="F39" s="16">
        <v>6050.0</v>
      </c>
      <c r="G39" s="16">
        <v>6050.0</v>
      </c>
      <c r="H39" s="16">
        <v>6050.0</v>
      </c>
      <c r="I39" s="17">
        <v>0.0</v>
      </c>
      <c r="J39" s="18"/>
      <c r="K39" s="18"/>
      <c r="L39" s="18"/>
      <c r="M39" s="18"/>
      <c r="N39" s="18"/>
      <c r="O39" s="18"/>
      <c r="P39" s="18"/>
      <c r="Q39" s="19">
        <f t="shared" si="26"/>
        <v>39950</v>
      </c>
    </row>
    <row r="40" hidden="1">
      <c r="A40" s="15"/>
      <c r="B40" s="16"/>
      <c r="C40" s="16"/>
      <c r="D40" s="16"/>
      <c r="E40" s="16"/>
      <c r="F40" s="16"/>
      <c r="G40" s="16"/>
      <c r="H40" s="16"/>
      <c r="I40" s="17">
        <v>0.0</v>
      </c>
      <c r="J40" s="18"/>
      <c r="K40" s="18"/>
      <c r="L40" s="18"/>
      <c r="M40" s="18"/>
      <c r="N40" s="18"/>
      <c r="O40" s="18"/>
      <c r="P40" s="18"/>
      <c r="Q40" s="19">
        <f t="shared" si="26"/>
        <v>0</v>
      </c>
    </row>
    <row r="41" hidden="1">
      <c r="A41" s="20" t="s">
        <v>15</v>
      </c>
      <c r="B41" s="21">
        <f t="shared" ref="B41:D41" si="27">SUM(B36:B39)</f>
        <v>34000</v>
      </c>
      <c r="C41" s="21">
        <f t="shared" si="27"/>
        <v>29000</v>
      </c>
      <c r="D41" s="21">
        <f t="shared" si="27"/>
        <v>24200</v>
      </c>
      <c r="E41" s="21"/>
      <c r="F41" s="21">
        <f t="shared" ref="F41:I41" si="28">SUM(F36:F39)</f>
        <v>24200</v>
      </c>
      <c r="G41" s="21">
        <f t="shared" si="28"/>
        <v>26850</v>
      </c>
      <c r="H41" s="21">
        <f t="shared" si="28"/>
        <v>24200</v>
      </c>
      <c r="I41" s="21">
        <f t="shared" si="28"/>
        <v>0</v>
      </c>
      <c r="J41" s="20" t="s">
        <v>15</v>
      </c>
      <c r="K41" s="20"/>
      <c r="L41" s="20"/>
      <c r="M41" s="20"/>
      <c r="N41" s="20"/>
      <c r="O41" s="20"/>
      <c r="P41" s="20"/>
      <c r="Q41" s="21">
        <f t="shared" ref="Q41:X41" si="29">SUM(Q36:Q39)</f>
        <v>162450</v>
      </c>
      <c r="R41" s="21">
        <f t="shared" si="29"/>
        <v>0</v>
      </c>
      <c r="S41" s="21">
        <f t="shared" si="29"/>
        <v>0</v>
      </c>
      <c r="T41" s="21">
        <f t="shared" si="29"/>
        <v>0</v>
      </c>
      <c r="U41" s="21">
        <f t="shared" si="29"/>
        <v>0</v>
      </c>
      <c r="V41" s="21">
        <f t="shared" si="29"/>
        <v>0</v>
      </c>
      <c r="W41" s="21">
        <f t="shared" si="29"/>
        <v>0</v>
      </c>
      <c r="X41" s="21">
        <f t="shared" si="29"/>
        <v>0</v>
      </c>
    </row>
    <row r="42" hidden="1">
      <c r="A42" s="23" t="s">
        <v>16</v>
      </c>
      <c r="B42" s="24">
        <v>12000.0</v>
      </c>
      <c r="C42" s="24">
        <v>10800.0</v>
      </c>
      <c r="D42" s="24">
        <v>10300.0</v>
      </c>
      <c r="E42" s="24"/>
      <c r="F42" s="24">
        <v>10500.0</v>
      </c>
      <c r="G42" s="24">
        <v>12000.0</v>
      </c>
      <c r="H42" s="24">
        <v>12000.0</v>
      </c>
      <c r="I42" s="24"/>
      <c r="J42" s="21"/>
      <c r="K42" s="21"/>
      <c r="L42" s="21"/>
      <c r="M42" s="21"/>
      <c r="N42" s="21"/>
      <c r="O42" s="21"/>
      <c r="P42" s="21"/>
      <c r="Q42" s="22">
        <f>SUM(Q36:Q39)</f>
        <v>162450</v>
      </c>
    </row>
    <row r="43" hidden="1">
      <c r="A43" s="57" t="s">
        <v>17</v>
      </c>
      <c r="B43" s="58">
        <f t="shared" ref="B43:D43" si="30">B41-(B42)</f>
        <v>22000</v>
      </c>
      <c r="C43" s="58">
        <f t="shared" si="30"/>
        <v>18200</v>
      </c>
      <c r="D43" s="58">
        <f t="shared" si="30"/>
        <v>13900</v>
      </c>
      <c r="E43" s="58"/>
      <c r="F43" s="58">
        <f t="shared" ref="F43:H43" si="31">F41-(F42)</f>
        <v>13700</v>
      </c>
      <c r="G43" s="58">
        <f t="shared" si="31"/>
        <v>14850</v>
      </c>
      <c r="H43" s="58">
        <f t="shared" si="31"/>
        <v>12200</v>
      </c>
      <c r="I43" s="58">
        <f>I40-(I42)</f>
        <v>0</v>
      </c>
      <c r="J43" s="25"/>
      <c r="K43" s="25"/>
      <c r="L43" s="25"/>
      <c r="M43" s="25"/>
      <c r="N43" s="25"/>
      <c r="O43" s="25"/>
      <c r="P43" s="25"/>
      <c r="Q43" s="26">
        <f t="shared" ref="Q43:Q45" si="32">SUM(B43:J43)</f>
        <v>94850</v>
      </c>
    </row>
    <row r="44" hidden="1">
      <c r="A44" s="27"/>
      <c r="B44" s="28"/>
      <c r="C44" s="28"/>
      <c r="D44" s="28"/>
      <c r="E44" s="28"/>
      <c r="F44" s="28"/>
      <c r="G44" s="28"/>
      <c r="H44" s="28"/>
      <c r="I44" s="28"/>
      <c r="J44" s="28"/>
      <c r="K44" s="29"/>
      <c r="L44" s="29"/>
      <c r="M44" s="29"/>
      <c r="N44" s="29"/>
      <c r="O44" s="29"/>
      <c r="P44" s="29"/>
      <c r="Q44" s="30">
        <f t="shared" si="32"/>
        <v>0</v>
      </c>
    </row>
    <row r="45" hidden="1">
      <c r="A45" s="23"/>
      <c r="B45" s="24"/>
      <c r="C45" s="24"/>
      <c r="D45" s="24"/>
      <c r="E45" s="24"/>
      <c r="F45" s="24"/>
      <c r="G45" s="24"/>
      <c r="H45" s="24"/>
      <c r="I45" s="24"/>
      <c r="J45" s="24"/>
      <c r="K45" s="25"/>
      <c r="L45" s="25"/>
      <c r="M45" s="25"/>
      <c r="N45" s="25"/>
      <c r="O45" s="25"/>
      <c r="P45" s="25"/>
      <c r="Q45" s="26">
        <f t="shared" si="32"/>
        <v>0</v>
      </c>
    </row>
    <row r="46" hidden="1">
      <c r="A46" s="37"/>
      <c r="B46" s="38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</row>
    <row r="47" hidden="1">
      <c r="A47" s="39" t="s">
        <v>22</v>
      </c>
      <c r="B47" s="40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</row>
    <row r="48" hidden="1">
      <c r="A48" s="59" t="s">
        <v>27</v>
      </c>
      <c r="B48" s="43"/>
      <c r="C48" s="44"/>
      <c r="D48" s="44"/>
      <c r="E48" s="45"/>
      <c r="F48" s="45">
        <v>200.0</v>
      </c>
      <c r="G48" s="44"/>
      <c r="H48" s="45"/>
      <c r="I48" s="44"/>
      <c r="J48" s="44"/>
      <c r="K48" s="44"/>
      <c r="L48" s="44"/>
      <c r="M48" s="44"/>
      <c r="N48" s="44"/>
      <c r="O48" s="44"/>
      <c r="P48" s="44"/>
      <c r="Q48" s="44"/>
    </row>
    <row r="49" hidden="1">
      <c r="A49" s="60" t="s">
        <v>28</v>
      </c>
      <c r="B49" s="46"/>
      <c r="C49" s="45"/>
      <c r="D49" s="45"/>
      <c r="E49" s="45"/>
      <c r="F49" s="45"/>
      <c r="G49" s="45">
        <v>1000.0</v>
      </c>
      <c r="H49" s="44"/>
      <c r="I49" s="44"/>
      <c r="J49" s="44"/>
      <c r="K49" s="44"/>
      <c r="L49" s="44"/>
      <c r="M49" s="44"/>
      <c r="N49" s="44"/>
      <c r="O49" s="44"/>
      <c r="P49" s="44"/>
      <c r="Q49" s="44"/>
    </row>
    <row r="50" hidden="1">
      <c r="A50" s="60" t="s">
        <v>29</v>
      </c>
      <c r="B50" s="43"/>
      <c r="C50" s="44"/>
      <c r="D50" s="44"/>
      <c r="E50" s="45"/>
      <c r="F50" s="45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</row>
    <row r="51" hidden="1">
      <c r="A51" s="60" t="s">
        <v>30</v>
      </c>
      <c r="B51" s="46"/>
      <c r="C51" s="45"/>
      <c r="D51" s="44"/>
      <c r="E51" s="45"/>
      <c r="F51" s="45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</row>
    <row r="52" hidden="1">
      <c r="A52" s="39"/>
      <c r="B52" s="46"/>
      <c r="C52" s="44"/>
      <c r="D52" s="44"/>
      <c r="E52" s="45"/>
      <c r="F52" s="45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</row>
    <row r="53" hidden="1">
      <c r="A53" s="37"/>
      <c r="B53" s="38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</row>
    <row r="54" hidden="1">
      <c r="A54" s="47" t="s">
        <v>23</v>
      </c>
      <c r="B54" s="48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7" t="s">
        <v>24</v>
      </c>
    </row>
    <row r="55" hidden="1">
      <c r="A55" s="61" t="s">
        <v>27</v>
      </c>
      <c r="B55" s="51">
        <f>B36-B49</f>
        <v>8500</v>
      </c>
      <c r="C55" s="52">
        <f>C36-C48</f>
        <v>7250</v>
      </c>
      <c r="D55" s="62"/>
      <c r="E55" s="52"/>
      <c r="F55" s="52">
        <f t="shared" ref="F55:G55" si="33">F36-F48</f>
        <v>5850</v>
      </c>
      <c r="G55" s="52">
        <f t="shared" si="33"/>
        <v>8700</v>
      </c>
      <c r="H55" s="62">
        <v>5800.0</v>
      </c>
      <c r="I55" s="52"/>
      <c r="J55" s="52"/>
      <c r="K55" s="52"/>
      <c r="L55" s="52"/>
      <c r="M55" s="52"/>
      <c r="N55" s="52"/>
      <c r="O55" s="52"/>
      <c r="P55" s="52"/>
      <c r="Q55" s="53">
        <f t="shared" ref="Q55:Q57" si="34">SUM(B55:J55)</f>
        <v>36100</v>
      </c>
    </row>
    <row r="56" hidden="1">
      <c r="A56" s="63" t="s">
        <v>28</v>
      </c>
      <c r="B56" s="51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3">
        <f t="shared" si="34"/>
        <v>0</v>
      </c>
    </row>
    <row r="57" hidden="1">
      <c r="A57" s="63" t="s">
        <v>29</v>
      </c>
      <c r="B57" s="51">
        <f>(B43-B55)/2</f>
        <v>6750</v>
      </c>
      <c r="C57" s="52"/>
      <c r="D57" s="52">
        <f>(D41-12100-D42)</f>
        <v>1800</v>
      </c>
      <c r="E57" s="52"/>
      <c r="F57" s="52">
        <f>(F43-F55-200)/2</f>
        <v>3825</v>
      </c>
      <c r="G57" s="52">
        <f>(11700-5800)/2-G49</f>
        <v>1950</v>
      </c>
      <c r="H57" s="52">
        <f>(H43-H55)/2</f>
        <v>3200</v>
      </c>
      <c r="I57" s="52"/>
      <c r="J57" s="52"/>
      <c r="K57" s="52"/>
      <c r="L57" s="52"/>
      <c r="M57" s="52"/>
      <c r="N57" s="52"/>
      <c r="O57" s="52"/>
      <c r="P57" s="52"/>
      <c r="Q57" s="53">
        <f t="shared" si="34"/>
        <v>17525</v>
      </c>
    </row>
    <row r="58" hidden="1">
      <c r="A58" s="63" t="s">
        <v>30</v>
      </c>
      <c r="B58" s="51">
        <f>(B43-B55)/2</f>
        <v>6750</v>
      </c>
      <c r="C58" s="52"/>
      <c r="D58" s="52"/>
      <c r="E58" s="52"/>
      <c r="F58" s="52">
        <f>(F43-F55-200)/2</f>
        <v>3825</v>
      </c>
      <c r="G58" s="52">
        <f>(12200-5800)/2</f>
        <v>3200</v>
      </c>
      <c r="H58" s="52">
        <f>(H43-H55)/2</f>
        <v>3200</v>
      </c>
      <c r="I58" s="52"/>
      <c r="J58" s="52"/>
      <c r="K58" s="52"/>
      <c r="L58" s="52"/>
      <c r="M58" s="52"/>
      <c r="N58" s="52"/>
      <c r="O58" s="52"/>
      <c r="P58" s="52"/>
      <c r="Q58" s="53">
        <f>SUM(B58:H58)</f>
        <v>16975</v>
      </c>
    </row>
    <row r="59" hidden="1">
      <c r="A59" s="47"/>
      <c r="B59" s="54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</row>
    <row r="60" hidden="1"/>
    <row r="61" hidden="1">
      <c r="A61" s="1" t="s">
        <v>0</v>
      </c>
      <c r="B61" s="2" t="s">
        <v>1</v>
      </c>
      <c r="C61" s="3" t="s">
        <v>2</v>
      </c>
      <c r="D61" s="3" t="s">
        <v>3</v>
      </c>
      <c r="E61" s="3"/>
      <c r="F61" s="3" t="s">
        <v>4</v>
      </c>
      <c r="G61" s="3" t="s">
        <v>5</v>
      </c>
      <c r="H61" s="3" t="s">
        <v>6</v>
      </c>
      <c r="I61" s="4" t="s">
        <v>7</v>
      </c>
      <c r="J61" s="4" t="s">
        <v>8</v>
      </c>
      <c r="K61" s="4"/>
      <c r="L61" s="4"/>
      <c r="M61" s="4"/>
      <c r="N61" s="4"/>
      <c r="O61" s="4"/>
      <c r="P61" s="4"/>
      <c r="Q61" s="1" t="s">
        <v>0</v>
      </c>
    </row>
    <row r="62" hidden="1">
      <c r="A62" s="6" t="s">
        <v>31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8"/>
    </row>
    <row r="63" hidden="1">
      <c r="A63" s="55" t="s">
        <v>32</v>
      </c>
      <c r="B63" s="10">
        <v>9500.0</v>
      </c>
      <c r="C63" s="10">
        <v>7750.0</v>
      </c>
      <c r="D63" s="10">
        <v>7500.0</v>
      </c>
      <c r="E63" s="10"/>
      <c r="F63" s="10">
        <v>7500.0</v>
      </c>
      <c r="G63" s="10">
        <v>7000.0</v>
      </c>
      <c r="H63" s="10">
        <v>7000.0</v>
      </c>
      <c r="I63" s="11">
        <v>0.0</v>
      </c>
      <c r="J63" s="12"/>
      <c r="K63" s="12"/>
      <c r="L63" s="12"/>
      <c r="M63" s="12"/>
      <c r="N63" s="12"/>
      <c r="O63" s="12"/>
      <c r="P63" s="12"/>
      <c r="Q63" s="13">
        <f>SUM(B63:J63)</f>
        <v>46250</v>
      </c>
    </row>
    <row r="64" hidden="1">
      <c r="A64" s="15">
        <v>70.0</v>
      </c>
      <c r="B64" s="10">
        <v>9500.0</v>
      </c>
      <c r="C64" s="10">
        <v>7750.0</v>
      </c>
      <c r="D64" s="10">
        <v>7500.0</v>
      </c>
      <c r="E64" s="10"/>
      <c r="F64" s="10">
        <v>7500.0</v>
      </c>
      <c r="G64" s="10">
        <v>7000.0</v>
      </c>
      <c r="H64" s="10">
        <v>7000.0</v>
      </c>
      <c r="I64" s="11">
        <v>0.0</v>
      </c>
      <c r="J64" s="12"/>
      <c r="K64" s="12"/>
      <c r="L64" s="12"/>
      <c r="M64" s="12"/>
      <c r="N64" s="12"/>
      <c r="O64" s="12"/>
      <c r="P64" s="12"/>
      <c r="Q64" s="13">
        <f t="shared" ref="Q64:Q67" si="35">SUM(B64:I64)</f>
        <v>46250</v>
      </c>
    </row>
    <row r="65" hidden="1">
      <c r="A65" s="15" t="s">
        <v>29</v>
      </c>
      <c r="B65" s="10">
        <v>9500.0</v>
      </c>
      <c r="C65" s="10">
        <v>7750.0</v>
      </c>
      <c r="D65" s="10">
        <v>7500.0</v>
      </c>
      <c r="E65" s="10"/>
      <c r="F65" s="10">
        <v>7500.0</v>
      </c>
      <c r="G65" s="10">
        <v>7000.0</v>
      </c>
      <c r="H65" s="10">
        <v>7000.0</v>
      </c>
      <c r="I65" s="11">
        <v>0.0</v>
      </c>
      <c r="J65" s="12"/>
      <c r="K65" s="12"/>
      <c r="L65" s="12"/>
      <c r="M65" s="12"/>
      <c r="N65" s="12"/>
      <c r="O65" s="12"/>
      <c r="P65" s="12"/>
      <c r="Q65" s="13">
        <f t="shared" si="35"/>
        <v>46250</v>
      </c>
    </row>
    <row r="66" hidden="1">
      <c r="A66" s="15" t="s">
        <v>30</v>
      </c>
      <c r="B66" s="16">
        <v>9500.0</v>
      </c>
      <c r="C66" s="16">
        <v>7750.0</v>
      </c>
      <c r="D66" s="16">
        <v>7500.0</v>
      </c>
      <c r="E66" s="16"/>
      <c r="F66" s="16">
        <v>7500.0</v>
      </c>
      <c r="G66" s="16">
        <v>7000.0</v>
      </c>
      <c r="H66" s="16">
        <v>7000.0</v>
      </c>
      <c r="I66" s="17">
        <v>0.0</v>
      </c>
      <c r="J66" s="18"/>
      <c r="K66" s="18"/>
      <c r="L66" s="18"/>
      <c r="M66" s="18"/>
      <c r="N66" s="18"/>
      <c r="O66" s="18"/>
      <c r="P66" s="18"/>
      <c r="Q66" s="19">
        <f t="shared" si="35"/>
        <v>46250</v>
      </c>
    </row>
    <row r="67" hidden="1">
      <c r="A67" s="15"/>
      <c r="B67" s="16"/>
      <c r="C67" s="16"/>
      <c r="D67" s="16"/>
      <c r="E67" s="16"/>
      <c r="F67" s="16"/>
      <c r="G67" s="16"/>
      <c r="H67" s="16"/>
      <c r="I67" s="17">
        <v>0.0</v>
      </c>
      <c r="J67" s="18"/>
      <c r="K67" s="18"/>
      <c r="L67" s="18"/>
      <c r="M67" s="18"/>
      <c r="N67" s="18"/>
      <c r="O67" s="18"/>
      <c r="P67" s="18"/>
      <c r="Q67" s="19">
        <f t="shared" si="35"/>
        <v>0</v>
      </c>
    </row>
    <row r="68" hidden="1">
      <c r="A68" s="20" t="s">
        <v>15</v>
      </c>
      <c r="B68" s="21">
        <f t="shared" ref="B68:D68" si="36">SUM(B63:B66)</f>
        <v>38000</v>
      </c>
      <c r="C68" s="21">
        <f t="shared" si="36"/>
        <v>31000</v>
      </c>
      <c r="D68" s="21">
        <f t="shared" si="36"/>
        <v>30000</v>
      </c>
      <c r="E68" s="21"/>
      <c r="F68" s="21">
        <f t="shared" ref="F68:I68" si="37">SUM(F63:F66)</f>
        <v>30000</v>
      </c>
      <c r="G68" s="21">
        <f t="shared" si="37"/>
        <v>28000</v>
      </c>
      <c r="H68" s="21">
        <f t="shared" si="37"/>
        <v>28000</v>
      </c>
      <c r="I68" s="21">
        <f t="shared" si="37"/>
        <v>0</v>
      </c>
      <c r="J68" s="20" t="s">
        <v>15</v>
      </c>
      <c r="K68" s="20"/>
      <c r="L68" s="20"/>
      <c r="M68" s="20"/>
      <c r="N68" s="20"/>
      <c r="O68" s="20"/>
      <c r="P68" s="20"/>
      <c r="Q68" s="21">
        <f>SUM(Q63:Q66)</f>
        <v>185000</v>
      </c>
    </row>
    <row r="69" hidden="1">
      <c r="A69" s="23" t="s">
        <v>16</v>
      </c>
      <c r="B69" s="24">
        <v>10800.0</v>
      </c>
      <c r="C69" s="24">
        <v>9770.0</v>
      </c>
      <c r="D69" s="24">
        <v>9400.0</v>
      </c>
      <c r="E69" s="24"/>
      <c r="F69" s="24">
        <v>9400.0</v>
      </c>
      <c r="G69" s="24">
        <v>10800.0</v>
      </c>
      <c r="H69" s="24">
        <v>10800.0</v>
      </c>
      <c r="I69" s="24"/>
      <c r="J69" s="21"/>
      <c r="K69" s="21"/>
      <c r="L69" s="21"/>
      <c r="M69" s="21"/>
      <c r="N69" s="21"/>
      <c r="O69" s="21"/>
      <c r="P69" s="21"/>
      <c r="Q69" s="22"/>
    </row>
    <row r="70" hidden="1">
      <c r="A70" s="57" t="s">
        <v>17</v>
      </c>
      <c r="B70" s="58">
        <f t="shared" ref="B70:D70" si="38">B68-(B69)</f>
        <v>27200</v>
      </c>
      <c r="C70" s="58">
        <f t="shared" si="38"/>
        <v>21230</v>
      </c>
      <c r="D70" s="58">
        <f t="shared" si="38"/>
        <v>20600</v>
      </c>
      <c r="E70" s="58"/>
      <c r="F70" s="58">
        <f t="shared" ref="F70:H70" si="39">F68-(F69)</f>
        <v>20600</v>
      </c>
      <c r="G70" s="58">
        <f t="shared" si="39"/>
        <v>17200</v>
      </c>
      <c r="H70" s="58">
        <f t="shared" si="39"/>
        <v>17200</v>
      </c>
      <c r="I70" s="58">
        <f>I67-(I69)</f>
        <v>0</v>
      </c>
      <c r="J70" s="25"/>
      <c r="K70" s="25"/>
      <c r="L70" s="25"/>
      <c r="M70" s="25"/>
      <c r="N70" s="25"/>
      <c r="O70" s="25"/>
      <c r="P70" s="25"/>
      <c r="Q70" s="26">
        <f t="shared" ref="Q70:Q72" si="40">SUM(B70:J70)</f>
        <v>124030</v>
      </c>
    </row>
    <row r="71" hidden="1">
      <c r="A71" s="27" t="s">
        <v>33</v>
      </c>
      <c r="B71" s="28"/>
      <c r="C71" s="28">
        <v>1000.0</v>
      </c>
      <c r="D71" s="28">
        <v>1000.0</v>
      </c>
      <c r="E71" s="28"/>
      <c r="F71" s="28">
        <v>1000.0</v>
      </c>
      <c r="G71" s="28">
        <v>1000.0</v>
      </c>
      <c r="H71" s="28">
        <v>1000.0</v>
      </c>
      <c r="I71" s="28"/>
      <c r="J71" s="28"/>
      <c r="K71" s="29"/>
      <c r="L71" s="29"/>
      <c r="M71" s="29"/>
      <c r="N71" s="29"/>
      <c r="O71" s="29"/>
      <c r="P71" s="29"/>
      <c r="Q71" s="30">
        <f t="shared" si="40"/>
        <v>5000</v>
      </c>
    </row>
    <row r="72" hidden="1">
      <c r="A72" s="23"/>
      <c r="B72" s="24"/>
      <c r="C72" s="24"/>
      <c r="D72" s="24"/>
      <c r="E72" s="24"/>
      <c r="F72" s="24"/>
      <c r="G72" s="24"/>
      <c r="H72" s="24"/>
      <c r="I72" s="24"/>
      <c r="J72" s="24"/>
      <c r="K72" s="25"/>
      <c r="L72" s="25"/>
      <c r="M72" s="25"/>
      <c r="N72" s="25"/>
      <c r="O72" s="25"/>
      <c r="P72" s="25"/>
      <c r="Q72" s="26">
        <f t="shared" si="40"/>
        <v>0</v>
      </c>
    </row>
    <row r="73" hidden="1">
      <c r="A73" s="37"/>
      <c r="B73" s="38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</row>
    <row r="74" hidden="1">
      <c r="A74" s="39" t="s">
        <v>22</v>
      </c>
      <c r="B74" s="40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</row>
    <row r="75" hidden="1">
      <c r="A75" s="59" t="s">
        <v>32</v>
      </c>
      <c r="B75" s="43">
        <v>2000.0</v>
      </c>
      <c r="C75" s="44"/>
      <c r="D75" s="44"/>
      <c r="E75" s="45"/>
      <c r="F75" s="45"/>
      <c r="G75" s="44"/>
      <c r="H75" s="45"/>
      <c r="I75" s="44"/>
      <c r="J75" s="44"/>
      <c r="K75" s="44"/>
      <c r="L75" s="44"/>
      <c r="M75" s="44"/>
      <c r="N75" s="44"/>
      <c r="O75" s="44"/>
      <c r="P75" s="44"/>
      <c r="Q75" s="44"/>
    </row>
    <row r="76" hidden="1">
      <c r="A76" s="60" t="s">
        <v>28</v>
      </c>
      <c r="B76" s="46"/>
      <c r="C76" s="45"/>
      <c r="D76" s="45"/>
      <c r="E76" s="45"/>
      <c r="F76" s="45"/>
      <c r="G76" s="45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7" hidden="1">
      <c r="A77" s="60" t="s">
        <v>29</v>
      </c>
      <c r="B77" s="43"/>
      <c r="C77" s="44"/>
      <c r="D77" s="44"/>
      <c r="E77" s="45"/>
      <c r="F77" s="45">
        <f>1150+200</f>
        <v>1350</v>
      </c>
      <c r="G77" s="44">
        <f>3230</f>
        <v>3230</v>
      </c>
      <c r="H77" s="44"/>
      <c r="I77" s="44"/>
      <c r="J77" s="44"/>
      <c r="K77" s="44"/>
      <c r="L77" s="44"/>
      <c r="M77" s="44"/>
      <c r="N77" s="44"/>
      <c r="O77" s="44"/>
      <c r="P77" s="44"/>
      <c r="Q77" s="44"/>
    </row>
    <row r="78" hidden="1">
      <c r="A78" s="60" t="s">
        <v>30</v>
      </c>
      <c r="B78" s="46"/>
      <c r="C78" s="45"/>
      <c r="D78" s="44"/>
      <c r="E78" s="45"/>
      <c r="F78" s="45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</row>
    <row r="79" hidden="1">
      <c r="A79" s="39"/>
      <c r="B79" s="46"/>
      <c r="C79" s="44"/>
      <c r="D79" s="44"/>
      <c r="E79" s="45"/>
      <c r="F79" s="45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</row>
    <row r="80" hidden="1">
      <c r="A80" s="37"/>
      <c r="B80" s="38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</row>
    <row r="81" hidden="1">
      <c r="A81" s="47" t="s">
        <v>23</v>
      </c>
      <c r="B81" s="48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7" t="s">
        <v>24</v>
      </c>
    </row>
    <row r="82" hidden="1">
      <c r="A82" s="61" t="s">
        <v>32</v>
      </c>
      <c r="B82" s="51">
        <f t="shared" ref="B82:D82" si="41">(B70/3)-B75</f>
        <v>7066.666667</v>
      </c>
      <c r="C82" s="52">
        <f t="shared" si="41"/>
        <v>7076.666667</v>
      </c>
      <c r="D82" s="62">
        <f t="shared" si="41"/>
        <v>6866.666667</v>
      </c>
      <c r="E82" s="52"/>
      <c r="F82" s="52">
        <f t="shared" ref="F82:H82" si="42">(F70/3)-F75</f>
        <v>6866.666667</v>
      </c>
      <c r="G82" s="52">
        <f t="shared" si="42"/>
        <v>5733.333333</v>
      </c>
      <c r="H82" s="62">
        <f t="shared" si="42"/>
        <v>5733.333333</v>
      </c>
      <c r="I82" s="52"/>
      <c r="J82" s="52"/>
      <c r="K82" s="52"/>
      <c r="L82" s="52"/>
      <c r="M82" s="52"/>
      <c r="N82" s="52"/>
      <c r="O82" s="52"/>
      <c r="P82" s="52"/>
      <c r="Q82" s="52">
        <f>SUM(C82:J82)</f>
        <v>32276.66667</v>
      </c>
    </row>
    <row r="83" hidden="1">
      <c r="A83" s="63" t="s">
        <v>28</v>
      </c>
      <c r="B83" s="51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3">
        <f t="shared" ref="Q83:Q84" si="44">SUM(B83:J83)</f>
        <v>0</v>
      </c>
    </row>
    <row r="84" hidden="1">
      <c r="A84" s="63" t="s">
        <v>29</v>
      </c>
      <c r="B84" s="51">
        <f t="shared" ref="B84:D84" si="43">B70/3</f>
        <v>9066.666667</v>
      </c>
      <c r="C84" s="52">
        <f t="shared" si="43"/>
        <v>7076.666667</v>
      </c>
      <c r="D84" s="52">
        <f t="shared" si="43"/>
        <v>6866.666667</v>
      </c>
      <c r="E84" s="52"/>
      <c r="F84" s="52">
        <f>(F70/3)-F77</f>
        <v>5516.666667</v>
      </c>
      <c r="G84" s="52">
        <f>(G70/3)+G77</f>
        <v>8963.333333</v>
      </c>
      <c r="H84" s="52">
        <f>H70/3</f>
        <v>5733.333333</v>
      </c>
      <c r="I84" s="52"/>
      <c r="J84" s="52"/>
      <c r="K84" s="52"/>
      <c r="L84" s="52"/>
      <c r="M84" s="52"/>
      <c r="N84" s="52"/>
      <c r="O84" s="52"/>
      <c r="P84" s="52"/>
      <c r="Q84" s="53">
        <f t="shared" si="44"/>
        <v>43223.33333</v>
      </c>
    </row>
    <row r="85" hidden="1">
      <c r="A85" s="63" t="s">
        <v>30</v>
      </c>
      <c r="B85" s="51">
        <f t="shared" ref="B85:D85" si="45">B70/3</f>
        <v>9066.666667</v>
      </c>
      <c r="C85" s="52">
        <f t="shared" si="45"/>
        <v>7076.666667</v>
      </c>
      <c r="D85" s="52">
        <f t="shared" si="45"/>
        <v>6866.666667</v>
      </c>
      <c r="E85" s="52"/>
      <c r="F85" s="52">
        <f t="shared" ref="F85:H85" si="46">F70/3</f>
        <v>6866.666667</v>
      </c>
      <c r="G85" s="52">
        <f t="shared" si="46"/>
        <v>5733.333333</v>
      </c>
      <c r="H85" s="52">
        <f t="shared" si="46"/>
        <v>5733.333333</v>
      </c>
      <c r="I85" s="52"/>
      <c r="J85" s="52"/>
      <c r="K85" s="52"/>
      <c r="L85" s="52"/>
      <c r="M85" s="52"/>
      <c r="N85" s="52"/>
      <c r="O85" s="52"/>
      <c r="P85" s="52"/>
      <c r="Q85" s="53">
        <f>SUM(B85:H85)</f>
        <v>41343.33333</v>
      </c>
    </row>
    <row r="86" hidden="1">
      <c r="A86" s="47"/>
      <c r="B86" s="54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</row>
    <row r="87" hidden="1"/>
    <row r="88" hidden="1">
      <c r="A88" s="1" t="s">
        <v>0</v>
      </c>
      <c r="B88" s="2" t="s">
        <v>1</v>
      </c>
      <c r="C88" s="3" t="s">
        <v>2</v>
      </c>
      <c r="D88" s="3" t="s">
        <v>3</v>
      </c>
      <c r="E88" s="3"/>
      <c r="F88" s="3" t="s">
        <v>4</v>
      </c>
      <c r="G88" s="3" t="s">
        <v>5</v>
      </c>
      <c r="H88" s="3" t="s">
        <v>6</v>
      </c>
      <c r="I88" s="4" t="s">
        <v>34</v>
      </c>
      <c r="J88" s="4"/>
      <c r="K88" s="4"/>
      <c r="L88" s="4"/>
      <c r="M88" s="4"/>
      <c r="N88" s="4"/>
      <c r="O88" s="4"/>
      <c r="P88" s="4"/>
      <c r="Q88" s="1" t="s">
        <v>0</v>
      </c>
    </row>
    <row r="89" hidden="1">
      <c r="A89" s="6" t="s">
        <v>35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8"/>
    </row>
    <row r="90" hidden="1">
      <c r="A90" s="55" t="s">
        <v>36</v>
      </c>
      <c r="B90" s="10">
        <v>9500.0</v>
      </c>
      <c r="C90" s="10">
        <v>7750.0</v>
      </c>
      <c r="D90" s="10">
        <v>7500.0</v>
      </c>
      <c r="E90" s="10"/>
      <c r="F90" s="10">
        <v>7500.0</v>
      </c>
      <c r="G90" s="10">
        <v>7000.0</v>
      </c>
      <c r="H90" s="10">
        <v>7000.0</v>
      </c>
      <c r="I90" s="11">
        <v>0.0</v>
      </c>
      <c r="J90" s="12"/>
      <c r="K90" s="12"/>
      <c r="L90" s="12"/>
      <c r="M90" s="12"/>
      <c r="N90" s="12"/>
      <c r="O90" s="12"/>
      <c r="P90" s="12"/>
      <c r="Q90" s="13">
        <f>SUM(B90:J90)</f>
        <v>46250</v>
      </c>
    </row>
    <row r="91" hidden="1">
      <c r="A91" s="14">
        <v>44474.0</v>
      </c>
      <c r="B91" s="10">
        <v>9500.0</v>
      </c>
      <c r="C91" s="10">
        <v>7750.0</v>
      </c>
      <c r="D91" s="10">
        <v>7500.0</v>
      </c>
      <c r="E91" s="10"/>
      <c r="F91" s="10">
        <v>7500.0</v>
      </c>
      <c r="G91" s="10">
        <v>7000.0</v>
      </c>
      <c r="H91" s="10">
        <v>7000.0</v>
      </c>
      <c r="I91" s="11">
        <v>0.0</v>
      </c>
      <c r="J91" s="12"/>
      <c r="K91" s="12"/>
      <c r="L91" s="12"/>
      <c r="M91" s="12"/>
      <c r="N91" s="12"/>
      <c r="O91" s="12"/>
      <c r="P91" s="12"/>
      <c r="Q91" s="13">
        <f t="shared" ref="Q91:Q94" si="47">SUM(B91:I91)</f>
        <v>46250</v>
      </c>
    </row>
    <row r="92" hidden="1">
      <c r="A92" s="15" t="s">
        <v>37</v>
      </c>
      <c r="B92" s="10">
        <v>9500.0</v>
      </c>
      <c r="C92" s="10">
        <v>7750.0</v>
      </c>
      <c r="D92" s="10">
        <v>7500.0</v>
      </c>
      <c r="E92" s="10"/>
      <c r="F92" s="10">
        <v>7500.0</v>
      </c>
      <c r="G92" s="10">
        <v>7000.0</v>
      </c>
      <c r="H92" s="10">
        <v>7000.0</v>
      </c>
      <c r="I92" s="11">
        <v>0.0</v>
      </c>
      <c r="J92" s="12"/>
      <c r="K92" s="12"/>
      <c r="L92" s="12"/>
      <c r="M92" s="12"/>
      <c r="N92" s="12"/>
      <c r="O92" s="12"/>
      <c r="P92" s="12"/>
      <c r="Q92" s="13">
        <f t="shared" si="47"/>
        <v>46250</v>
      </c>
    </row>
    <row r="93" hidden="1">
      <c r="A93" s="15" t="s">
        <v>38</v>
      </c>
      <c r="B93" s="16">
        <v>9500.0</v>
      </c>
      <c r="C93" s="16">
        <v>7750.0</v>
      </c>
      <c r="D93" s="16">
        <v>7500.0</v>
      </c>
      <c r="E93" s="16"/>
      <c r="F93" s="16">
        <v>7500.0</v>
      </c>
      <c r="G93" s="16">
        <v>7000.0</v>
      </c>
      <c r="H93" s="16">
        <v>7000.0</v>
      </c>
      <c r="I93" s="17">
        <v>0.0</v>
      </c>
      <c r="J93" s="18"/>
      <c r="K93" s="18"/>
      <c r="L93" s="18"/>
      <c r="M93" s="18"/>
      <c r="N93" s="18"/>
      <c r="O93" s="18"/>
      <c r="P93" s="18"/>
      <c r="Q93" s="19">
        <f t="shared" si="47"/>
        <v>46250</v>
      </c>
    </row>
    <row r="94" hidden="1">
      <c r="A94" s="15" t="s">
        <v>39</v>
      </c>
      <c r="B94" s="16"/>
      <c r="C94" s="16"/>
      <c r="D94" s="16"/>
      <c r="E94" s="16"/>
      <c r="F94" s="16"/>
      <c r="G94" s="16"/>
      <c r="H94" s="16"/>
      <c r="I94" s="17">
        <v>0.0</v>
      </c>
      <c r="J94" s="18"/>
      <c r="K94" s="18"/>
      <c r="L94" s="18"/>
      <c r="M94" s="18"/>
      <c r="N94" s="18"/>
      <c r="O94" s="18"/>
      <c r="P94" s="18"/>
      <c r="Q94" s="19">
        <f t="shared" si="47"/>
        <v>0</v>
      </c>
    </row>
    <row r="95" hidden="1">
      <c r="A95" s="20" t="s">
        <v>15</v>
      </c>
      <c r="B95" s="21">
        <f t="shared" ref="B95:D95" si="48">SUM(B90:B93)</f>
        <v>38000</v>
      </c>
      <c r="C95" s="21">
        <f t="shared" si="48"/>
        <v>31000</v>
      </c>
      <c r="D95" s="21">
        <f t="shared" si="48"/>
        <v>30000</v>
      </c>
      <c r="E95" s="21"/>
      <c r="F95" s="21">
        <f t="shared" ref="F95:I95" si="49">SUM(F90:F93)</f>
        <v>30000</v>
      </c>
      <c r="G95" s="21">
        <f t="shared" si="49"/>
        <v>28000</v>
      </c>
      <c r="H95" s="21">
        <f t="shared" si="49"/>
        <v>28000</v>
      </c>
      <c r="I95" s="21">
        <f t="shared" si="49"/>
        <v>0</v>
      </c>
      <c r="J95" s="20" t="s">
        <v>15</v>
      </c>
      <c r="K95" s="20"/>
      <c r="L95" s="20"/>
      <c r="M95" s="20"/>
      <c r="N95" s="20"/>
      <c r="O95" s="20"/>
      <c r="P95" s="20"/>
      <c r="Q95" s="21">
        <f>SUM(Q90:Q93)</f>
        <v>185000</v>
      </c>
    </row>
    <row r="96" hidden="1">
      <c r="A96" s="23" t="s">
        <v>16</v>
      </c>
      <c r="B96" s="24">
        <v>10800.0</v>
      </c>
      <c r="C96" s="24">
        <v>9770.0</v>
      </c>
      <c r="D96" s="24">
        <v>9400.0</v>
      </c>
      <c r="E96" s="24"/>
      <c r="F96" s="24">
        <v>9400.0</v>
      </c>
      <c r="G96" s="24">
        <v>10800.0</v>
      </c>
      <c r="H96" s="24">
        <v>10800.0</v>
      </c>
      <c r="I96" s="24"/>
      <c r="J96" s="21"/>
      <c r="K96" s="21"/>
      <c r="L96" s="21"/>
      <c r="M96" s="21"/>
      <c r="N96" s="21"/>
      <c r="O96" s="21"/>
      <c r="P96" s="21"/>
      <c r="Q96" s="22"/>
    </row>
    <row r="97" hidden="1">
      <c r="A97" s="57" t="s">
        <v>17</v>
      </c>
      <c r="B97" s="58">
        <f t="shared" ref="B97:D97" si="50">B95-(B96)</f>
        <v>27200</v>
      </c>
      <c r="C97" s="58">
        <f t="shared" si="50"/>
        <v>21230</v>
      </c>
      <c r="D97" s="58">
        <f t="shared" si="50"/>
        <v>20600</v>
      </c>
      <c r="E97" s="58"/>
      <c r="F97" s="58">
        <f t="shared" ref="F97:H97" si="51">F95-(F96)</f>
        <v>20600</v>
      </c>
      <c r="G97" s="58">
        <f t="shared" si="51"/>
        <v>17200</v>
      </c>
      <c r="H97" s="58">
        <f t="shared" si="51"/>
        <v>17200</v>
      </c>
      <c r="I97" s="58">
        <f>I94-(I96)</f>
        <v>0</v>
      </c>
      <c r="J97" s="25"/>
      <c r="K97" s="25"/>
      <c r="L97" s="25"/>
      <c r="M97" s="25"/>
      <c r="N97" s="25"/>
      <c r="O97" s="25"/>
      <c r="P97" s="25"/>
      <c r="Q97" s="26">
        <f t="shared" ref="Q97:Q100" si="52">SUM(B97:J97)</f>
        <v>124030</v>
      </c>
    </row>
    <row r="98" hidden="1">
      <c r="A98" s="27" t="s">
        <v>40</v>
      </c>
      <c r="B98" s="28"/>
      <c r="C98" s="28">
        <v>600.0</v>
      </c>
      <c r="D98" s="28">
        <v>1800.0</v>
      </c>
      <c r="E98" s="28"/>
      <c r="F98" s="28">
        <v>1000.0</v>
      </c>
      <c r="G98" s="28"/>
      <c r="H98" s="28">
        <f>600*6</f>
        <v>3600</v>
      </c>
      <c r="I98" s="28"/>
      <c r="J98" s="28"/>
      <c r="K98" s="29"/>
      <c r="L98" s="29"/>
      <c r="M98" s="29"/>
      <c r="N98" s="29"/>
      <c r="O98" s="29"/>
      <c r="P98" s="29"/>
      <c r="Q98" s="30">
        <f t="shared" si="52"/>
        <v>7000</v>
      </c>
    </row>
    <row r="99" hidden="1">
      <c r="A99" s="23" t="s">
        <v>41</v>
      </c>
      <c r="B99" s="24"/>
      <c r="C99" s="24">
        <v>1000.0</v>
      </c>
      <c r="D99" s="24">
        <v>1000.0</v>
      </c>
      <c r="E99" s="24"/>
      <c r="F99" s="24">
        <v>1000.0</v>
      </c>
      <c r="G99" s="24">
        <v>1000.0</v>
      </c>
      <c r="H99" s="24">
        <v>1000.0</v>
      </c>
      <c r="I99" s="24"/>
      <c r="J99" s="24"/>
      <c r="K99" s="25"/>
      <c r="L99" s="25"/>
      <c r="M99" s="25"/>
      <c r="N99" s="25"/>
      <c r="O99" s="25"/>
      <c r="P99" s="25"/>
      <c r="Q99" s="26">
        <f t="shared" si="52"/>
        <v>5000</v>
      </c>
    </row>
    <row r="100" hidden="1">
      <c r="A100" s="23" t="s">
        <v>42</v>
      </c>
      <c r="B100" s="24">
        <v>1000.0</v>
      </c>
      <c r="C100" s="24">
        <v>1000.0</v>
      </c>
      <c r="D100" s="24">
        <v>1000.0</v>
      </c>
      <c r="E100" s="24"/>
      <c r="F100" s="24">
        <v>1000.0</v>
      </c>
      <c r="G100" s="24">
        <v>1000.0</v>
      </c>
      <c r="H100" s="24">
        <v>1000.0</v>
      </c>
      <c r="I100" s="24">
        <v>1000.0</v>
      </c>
      <c r="J100" s="24"/>
      <c r="K100" s="25"/>
      <c r="L100" s="25"/>
      <c r="M100" s="25"/>
      <c r="N100" s="25"/>
      <c r="O100" s="25"/>
      <c r="P100" s="25"/>
      <c r="Q100" s="26">
        <f t="shared" si="52"/>
        <v>7000</v>
      </c>
    </row>
    <row r="101" hidden="1">
      <c r="A101" s="39" t="s">
        <v>22</v>
      </c>
      <c r="B101" s="40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</row>
    <row r="102" hidden="1">
      <c r="A102" s="59" t="s">
        <v>36</v>
      </c>
      <c r="B102" s="43"/>
      <c r="C102" s="44"/>
      <c r="D102" s="44"/>
      <c r="E102" s="45"/>
      <c r="F102" s="45"/>
      <c r="G102" s="44"/>
      <c r="H102" s="45"/>
      <c r="I102" s="44"/>
      <c r="J102" s="44"/>
      <c r="K102" s="44"/>
      <c r="L102" s="44"/>
      <c r="M102" s="44"/>
      <c r="N102" s="44"/>
      <c r="O102" s="44"/>
      <c r="P102" s="44"/>
      <c r="Q102" s="44"/>
    </row>
    <row r="103" hidden="1">
      <c r="A103" s="64">
        <v>44474.0</v>
      </c>
      <c r="B103" s="46"/>
      <c r="C103" s="45"/>
      <c r="D103" s="45"/>
      <c r="E103" s="45"/>
      <c r="F103" s="45">
        <v>500.0</v>
      </c>
      <c r="G103" s="45"/>
      <c r="H103" s="44"/>
      <c r="I103" s="44"/>
      <c r="J103" s="44"/>
      <c r="K103" s="44"/>
      <c r="L103" s="44"/>
      <c r="M103" s="44"/>
      <c r="N103" s="44"/>
      <c r="O103" s="44"/>
      <c r="P103" s="44"/>
      <c r="Q103" s="44"/>
    </row>
    <row r="104" hidden="1">
      <c r="A104" s="60" t="s">
        <v>37</v>
      </c>
      <c r="B104" s="43"/>
      <c r="C104" s="45">
        <v>1000.0</v>
      </c>
      <c r="D104" s="44"/>
      <c r="E104" s="45"/>
      <c r="F104" s="45">
        <v>300.0</v>
      </c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</row>
    <row r="105" hidden="1">
      <c r="A105" s="60" t="s">
        <v>38</v>
      </c>
      <c r="B105" s="46"/>
      <c r="C105" s="45"/>
      <c r="D105" s="44"/>
      <c r="E105" s="45"/>
      <c r="F105" s="45">
        <v>300.0</v>
      </c>
      <c r="G105" s="44"/>
      <c r="H105" s="45">
        <v>340.0</v>
      </c>
      <c r="I105" s="44"/>
      <c r="J105" s="44"/>
      <c r="K105" s="44"/>
      <c r="L105" s="44"/>
      <c r="M105" s="44"/>
      <c r="N105" s="44"/>
      <c r="O105" s="44"/>
      <c r="P105" s="44"/>
      <c r="Q105" s="44"/>
    </row>
    <row r="106" hidden="1">
      <c r="A106" s="64">
        <v>44222.0</v>
      </c>
      <c r="B106" s="46"/>
      <c r="C106" s="44"/>
      <c r="D106" s="44"/>
      <c r="E106" s="45"/>
      <c r="F106" s="45"/>
      <c r="G106" s="44"/>
      <c r="H106" s="45"/>
      <c r="I106" s="44"/>
      <c r="J106" s="44"/>
      <c r="K106" s="44"/>
      <c r="L106" s="44"/>
      <c r="M106" s="44"/>
      <c r="N106" s="44"/>
      <c r="O106" s="44"/>
      <c r="P106" s="44"/>
      <c r="Q106" s="44"/>
    </row>
    <row r="107" hidden="1">
      <c r="A107" s="37"/>
      <c r="B107" s="38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</row>
    <row r="108" hidden="1">
      <c r="A108" s="47" t="s">
        <v>23</v>
      </c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7" t="s">
        <v>24</v>
      </c>
    </row>
    <row r="109" hidden="1">
      <c r="A109" s="61" t="s">
        <v>36</v>
      </c>
      <c r="B109" s="51">
        <f>(B97/3)-B102</f>
        <v>9066.666667</v>
      </c>
      <c r="C109" s="52">
        <f t="shared" ref="C109:D109" si="53">(C97/3)-C102+C99</f>
        <v>8076.666667</v>
      </c>
      <c r="D109" s="62">
        <f t="shared" si="53"/>
        <v>7866.666667</v>
      </c>
      <c r="E109" s="52"/>
      <c r="F109" s="52">
        <f>(F97/3)-F102+F98+F99</f>
        <v>8866.666667</v>
      </c>
      <c r="G109" s="52">
        <f t="shared" ref="G109:H109" si="54">(G97/3)-G102+G99</f>
        <v>6733.333333</v>
      </c>
      <c r="H109" s="62">
        <f t="shared" si="54"/>
        <v>6733.333333</v>
      </c>
      <c r="I109" s="52"/>
      <c r="J109" s="52"/>
      <c r="K109" s="52"/>
      <c r="L109" s="52"/>
      <c r="M109" s="52"/>
      <c r="N109" s="52"/>
      <c r="O109" s="52"/>
      <c r="P109" s="52"/>
      <c r="Q109" s="53">
        <f t="shared" ref="Q109:Q111" si="56">SUM(B109:J109)</f>
        <v>47343.33333</v>
      </c>
    </row>
    <row r="110" hidden="1">
      <c r="A110" s="65">
        <v>44474.0</v>
      </c>
      <c r="B110" s="51">
        <f t="shared" ref="B110:C110" si="55">B97/3</f>
        <v>9066.666667</v>
      </c>
      <c r="C110" s="52">
        <f t="shared" si="55"/>
        <v>7076.666667</v>
      </c>
      <c r="D110" s="52">
        <f>D97/3+D98</f>
        <v>8666.666667</v>
      </c>
      <c r="E110" s="52"/>
      <c r="F110" s="52">
        <f>(F97/3)-F103</f>
        <v>6366.666667</v>
      </c>
      <c r="G110" s="52">
        <f>(G97/3)+G104</f>
        <v>5733.333333</v>
      </c>
      <c r="H110" s="52">
        <f>H97/3</f>
        <v>5733.333333</v>
      </c>
      <c r="I110" s="52"/>
      <c r="J110" s="52"/>
      <c r="K110" s="52"/>
      <c r="L110" s="52"/>
      <c r="M110" s="52"/>
      <c r="N110" s="52"/>
      <c r="O110" s="52"/>
      <c r="P110" s="52"/>
      <c r="Q110" s="53">
        <f t="shared" si="56"/>
        <v>42643.33333</v>
      </c>
    </row>
    <row r="111" hidden="1">
      <c r="A111" s="63" t="s">
        <v>37</v>
      </c>
      <c r="B111" s="66">
        <f>(B95-B109-B110)/2</f>
        <v>9933.333333</v>
      </c>
      <c r="C111" s="67">
        <f>(C95-7076-7076)/2-C104</f>
        <v>7424</v>
      </c>
      <c r="D111" s="67">
        <f>(D95-6866-6866)/2</f>
        <v>8134</v>
      </c>
      <c r="E111" s="67"/>
      <c r="F111" s="67">
        <f>(F95-6866-6866)/2-F104</f>
        <v>7834</v>
      </c>
      <c r="G111" s="67">
        <f t="shared" ref="G111:H111" si="57">(G95-5733-5733)/2</f>
        <v>8267</v>
      </c>
      <c r="H111" s="67">
        <f t="shared" si="57"/>
        <v>8267</v>
      </c>
      <c r="I111" s="52"/>
      <c r="J111" s="52"/>
      <c r="K111" s="52"/>
      <c r="L111" s="52"/>
      <c r="M111" s="52"/>
      <c r="N111" s="52"/>
      <c r="O111" s="52"/>
      <c r="P111" s="52"/>
      <c r="Q111" s="53">
        <f t="shared" si="56"/>
        <v>49859.33333</v>
      </c>
    </row>
    <row r="112" hidden="1">
      <c r="A112" s="63" t="s">
        <v>38</v>
      </c>
      <c r="B112" s="68">
        <f>B111-B105</f>
        <v>9933.333333</v>
      </c>
      <c r="C112" s="62">
        <f>8424-C105</f>
        <v>8424</v>
      </c>
      <c r="D112" s="52">
        <f>8134-D105</f>
        <v>8134</v>
      </c>
      <c r="E112" s="52"/>
      <c r="F112" s="52">
        <f>8134-F105</f>
        <v>7834</v>
      </c>
      <c r="G112" s="52">
        <f t="shared" ref="G112:H112" si="58">8267-G105</f>
        <v>8267</v>
      </c>
      <c r="H112" s="52">
        <f t="shared" si="58"/>
        <v>7927</v>
      </c>
      <c r="I112" s="52"/>
      <c r="J112" s="52"/>
      <c r="K112" s="52"/>
      <c r="L112" s="52"/>
      <c r="M112" s="52"/>
      <c r="N112" s="52"/>
      <c r="O112" s="52"/>
      <c r="P112" s="52"/>
      <c r="Q112" s="53">
        <f>SUM(B112:H112)</f>
        <v>50519.33333</v>
      </c>
    </row>
    <row r="113" hidden="1">
      <c r="A113" s="65">
        <v>44222.0</v>
      </c>
      <c r="B113" s="54">
        <f>B93+B100</f>
        <v>10500</v>
      </c>
      <c r="C113" s="52">
        <f>C93+C100+C98</f>
        <v>9350</v>
      </c>
      <c r="D113" s="52">
        <f>D93+D100</f>
        <v>8500</v>
      </c>
      <c r="E113" s="52"/>
      <c r="F113" s="52">
        <f>F93</f>
        <v>7500</v>
      </c>
      <c r="G113" s="62" t="s">
        <v>43</v>
      </c>
      <c r="H113" s="52">
        <f>H93+H98+H100</f>
        <v>11600</v>
      </c>
      <c r="I113" s="52">
        <f>(1000*4)+I100</f>
        <v>5000</v>
      </c>
      <c r="J113" s="52"/>
      <c r="K113" s="52"/>
      <c r="L113" s="52"/>
      <c r="M113" s="52"/>
      <c r="N113" s="52"/>
      <c r="O113" s="52"/>
      <c r="P113" s="52"/>
      <c r="Q113" s="53">
        <f>SUM(B113:J113)</f>
        <v>52450</v>
      </c>
    </row>
    <row r="114" hidden="1"/>
    <row r="115" hidden="1"/>
    <row r="116" hidden="1">
      <c r="A116" s="1" t="s">
        <v>0</v>
      </c>
      <c r="B116" s="2" t="s">
        <v>1</v>
      </c>
      <c r="C116" s="3" t="s">
        <v>2</v>
      </c>
      <c r="D116" s="3" t="s">
        <v>3</v>
      </c>
      <c r="E116" s="3"/>
      <c r="F116" s="3" t="s">
        <v>4</v>
      </c>
      <c r="G116" s="3" t="s">
        <v>34</v>
      </c>
      <c r="H116" s="3" t="s">
        <v>6</v>
      </c>
      <c r="I116" s="4"/>
      <c r="J116" s="4"/>
      <c r="K116" s="4"/>
      <c r="L116" s="4"/>
      <c r="M116" s="4"/>
      <c r="N116" s="4"/>
      <c r="O116" s="4"/>
      <c r="P116" s="4"/>
      <c r="Q116" s="1" t="s">
        <v>0</v>
      </c>
    </row>
    <row r="117" hidden="1">
      <c r="A117" s="6" t="s">
        <v>44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8"/>
    </row>
    <row r="118" hidden="1">
      <c r="A118" s="55" t="s">
        <v>45</v>
      </c>
      <c r="B118" s="10">
        <v>9500.0</v>
      </c>
      <c r="C118" s="10">
        <v>7750.0</v>
      </c>
      <c r="D118" s="10">
        <v>7500.0</v>
      </c>
      <c r="E118" s="10"/>
      <c r="F118" s="10">
        <v>7500.0</v>
      </c>
      <c r="G118" s="10">
        <v>7000.0</v>
      </c>
      <c r="H118" s="10">
        <v>7000.0</v>
      </c>
      <c r="I118" s="11">
        <v>0.0</v>
      </c>
      <c r="J118" s="12"/>
      <c r="K118" s="12"/>
      <c r="L118" s="12"/>
      <c r="M118" s="12"/>
      <c r="N118" s="12"/>
      <c r="O118" s="12"/>
      <c r="P118" s="12"/>
      <c r="Q118" s="13">
        <f>SUM(B118:J118)</f>
        <v>46250</v>
      </c>
    </row>
    <row r="119" hidden="1">
      <c r="A119" s="15" t="s">
        <v>46</v>
      </c>
      <c r="B119" s="10">
        <v>9500.0</v>
      </c>
      <c r="C119" s="10">
        <v>7750.0</v>
      </c>
      <c r="D119" s="10">
        <v>7500.0</v>
      </c>
      <c r="E119" s="10"/>
      <c r="F119" s="10">
        <v>7500.0</v>
      </c>
      <c r="G119" s="10">
        <v>7000.0</v>
      </c>
      <c r="H119" s="10">
        <v>7000.0</v>
      </c>
      <c r="I119" s="11">
        <v>0.0</v>
      </c>
      <c r="J119" s="12"/>
      <c r="K119" s="12"/>
      <c r="L119" s="12"/>
      <c r="M119" s="12"/>
      <c r="N119" s="12"/>
      <c r="O119" s="12"/>
      <c r="P119" s="12"/>
      <c r="Q119" s="13">
        <f t="shared" ref="Q119:Q122" si="59">SUM(B119:I119)</f>
        <v>46250</v>
      </c>
    </row>
    <row r="120" hidden="1">
      <c r="A120" s="15" t="s">
        <v>47</v>
      </c>
      <c r="B120" s="10">
        <v>9500.0</v>
      </c>
      <c r="C120" s="10">
        <v>7750.0</v>
      </c>
      <c r="D120" s="10">
        <v>7500.0</v>
      </c>
      <c r="E120" s="10"/>
      <c r="F120" s="10">
        <v>7500.0</v>
      </c>
      <c r="G120" s="10">
        <v>7000.0</v>
      </c>
      <c r="H120" s="10">
        <v>7000.0</v>
      </c>
      <c r="I120" s="11">
        <v>0.0</v>
      </c>
      <c r="J120" s="12"/>
      <c r="K120" s="12"/>
      <c r="L120" s="12"/>
      <c r="M120" s="12"/>
      <c r="N120" s="12"/>
      <c r="O120" s="12"/>
      <c r="P120" s="12"/>
      <c r="Q120" s="13">
        <f t="shared" si="59"/>
        <v>46250</v>
      </c>
    </row>
    <row r="121" hidden="1">
      <c r="A121" s="15" t="s">
        <v>48</v>
      </c>
      <c r="B121" s="16">
        <v>9500.0</v>
      </c>
      <c r="C121" s="16">
        <v>7750.0</v>
      </c>
      <c r="D121" s="16">
        <v>7500.0</v>
      </c>
      <c r="E121" s="16"/>
      <c r="F121" s="16">
        <v>7500.0</v>
      </c>
      <c r="G121" s="16">
        <v>7000.0</v>
      </c>
      <c r="H121" s="16">
        <v>7000.0</v>
      </c>
      <c r="I121" s="17">
        <v>0.0</v>
      </c>
      <c r="J121" s="18"/>
      <c r="K121" s="18"/>
      <c r="L121" s="18"/>
      <c r="M121" s="18"/>
      <c r="N121" s="18"/>
      <c r="O121" s="18"/>
      <c r="P121" s="18"/>
      <c r="Q121" s="19">
        <f t="shared" si="59"/>
        <v>46250</v>
      </c>
    </row>
    <row r="122" hidden="1">
      <c r="A122" s="15"/>
      <c r="B122" s="16"/>
      <c r="C122" s="16"/>
      <c r="D122" s="16"/>
      <c r="E122" s="16"/>
      <c r="F122" s="16"/>
      <c r="G122" s="16"/>
      <c r="H122" s="16"/>
      <c r="I122" s="17">
        <v>0.0</v>
      </c>
      <c r="J122" s="18"/>
      <c r="K122" s="18"/>
      <c r="L122" s="18"/>
      <c r="M122" s="18"/>
      <c r="N122" s="18"/>
      <c r="O122" s="18"/>
      <c r="P122" s="18"/>
      <c r="Q122" s="19">
        <f t="shared" si="59"/>
        <v>0</v>
      </c>
    </row>
    <row r="123" hidden="1">
      <c r="A123" s="20" t="s">
        <v>15</v>
      </c>
      <c r="B123" s="21">
        <v>48800.0</v>
      </c>
      <c r="C123" s="21">
        <f t="shared" ref="C123:D123" si="60">SUM(C118:C121)</f>
        <v>31000</v>
      </c>
      <c r="D123" s="21">
        <f t="shared" si="60"/>
        <v>30000</v>
      </c>
      <c r="E123" s="21"/>
      <c r="F123" s="21">
        <f t="shared" ref="F123:I123" si="61">SUM(F118:F121)</f>
        <v>30000</v>
      </c>
      <c r="G123" s="21">
        <f t="shared" si="61"/>
        <v>28000</v>
      </c>
      <c r="H123" s="21">
        <f t="shared" si="61"/>
        <v>28000</v>
      </c>
      <c r="I123" s="21">
        <f t="shared" si="61"/>
        <v>0</v>
      </c>
      <c r="J123" s="20" t="s">
        <v>15</v>
      </c>
      <c r="K123" s="20"/>
      <c r="L123" s="20"/>
      <c r="M123" s="20"/>
      <c r="N123" s="20"/>
      <c r="O123" s="20"/>
      <c r="P123" s="20"/>
      <c r="Q123" s="21">
        <f>SUM(Q118:Q121)</f>
        <v>185000</v>
      </c>
    </row>
    <row r="124" hidden="1">
      <c r="A124" s="23" t="s">
        <v>16</v>
      </c>
      <c r="B124" s="24">
        <v>10800.0</v>
      </c>
      <c r="C124" s="24">
        <v>9770.0</v>
      </c>
      <c r="D124" s="24">
        <v>9400.0</v>
      </c>
      <c r="E124" s="24"/>
      <c r="F124" s="24">
        <v>9400.0</v>
      </c>
      <c r="G124" s="24">
        <v>10800.0</v>
      </c>
      <c r="H124" s="24">
        <v>10800.0</v>
      </c>
      <c r="I124" s="24"/>
      <c r="J124" s="21"/>
      <c r="K124" s="21"/>
      <c r="L124" s="21"/>
      <c r="M124" s="21"/>
      <c r="N124" s="21"/>
      <c r="O124" s="21"/>
      <c r="P124" s="21"/>
      <c r="Q124" s="22"/>
    </row>
    <row r="125" hidden="1">
      <c r="A125" s="57" t="s">
        <v>17</v>
      </c>
      <c r="B125" s="58">
        <f t="shared" ref="B125:D125" si="62">B123-(B124)</f>
        <v>38000</v>
      </c>
      <c r="C125" s="58">
        <f t="shared" si="62"/>
        <v>21230</v>
      </c>
      <c r="D125" s="58">
        <f t="shared" si="62"/>
        <v>20600</v>
      </c>
      <c r="E125" s="58"/>
      <c r="F125" s="58">
        <f>F123-(F124)</f>
        <v>20600</v>
      </c>
      <c r="G125" s="58"/>
      <c r="H125" s="58">
        <f>H123-(H124)</f>
        <v>17200</v>
      </c>
      <c r="I125" s="58">
        <f>I122-(I124)</f>
        <v>0</v>
      </c>
      <c r="J125" s="25"/>
      <c r="K125" s="25"/>
      <c r="L125" s="25"/>
      <c r="M125" s="25"/>
      <c r="N125" s="25"/>
      <c r="O125" s="25"/>
      <c r="P125" s="25"/>
      <c r="Q125" s="26">
        <f t="shared" ref="Q125:Q128" si="63">SUM(B125:J125)</f>
        <v>117630</v>
      </c>
    </row>
    <row r="126" hidden="1">
      <c r="A126" s="27" t="s">
        <v>40</v>
      </c>
      <c r="B126" s="28"/>
      <c r="C126" s="28"/>
      <c r="D126" s="28"/>
      <c r="E126" s="28"/>
      <c r="F126" s="28"/>
      <c r="G126" s="28"/>
      <c r="H126" s="28"/>
      <c r="I126" s="28"/>
      <c r="J126" s="28"/>
      <c r="K126" s="29"/>
      <c r="L126" s="29"/>
      <c r="M126" s="29"/>
      <c r="N126" s="29"/>
      <c r="O126" s="29"/>
      <c r="P126" s="29"/>
      <c r="Q126" s="30">
        <f t="shared" si="63"/>
        <v>0</v>
      </c>
    </row>
    <row r="127" hidden="1">
      <c r="A127" s="23" t="s">
        <v>49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5"/>
      <c r="L127" s="25"/>
      <c r="M127" s="25"/>
      <c r="N127" s="25"/>
      <c r="O127" s="25"/>
      <c r="P127" s="25"/>
      <c r="Q127" s="26">
        <f t="shared" si="63"/>
        <v>0</v>
      </c>
    </row>
    <row r="128" hidden="1">
      <c r="A128" s="23"/>
      <c r="B128" s="24"/>
      <c r="C128" s="24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6">
        <f t="shared" si="63"/>
        <v>0</v>
      </c>
    </row>
    <row r="129" hidden="1">
      <c r="A129" s="39" t="s">
        <v>22</v>
      </c>
      <c r="B129" s="40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</row>
    <row r="130" hidden="1">
      <c r="A130" s="59" t="s">
        <v>45</v>
      </c>
      <c r="B130" s="43"/>
      <c r="C130" s="44"/>
      <c r="D130" s="44"/>
      <c r="E130" s="45"/>
      <c r="F130" s="45"/>
      <c r="G130" s="44"/>
      <c r="H130" s="45"/>
      <c r="I130" s="44"/>
      <c r="J130" s="44"/>
      <c r="K130" s="44"/>
      <c r="L130" s="44"/>
      <c r="M130" s="44"/>
      <c r="N130" s="44"/>
      <c r="O130" s="44"/>
      <c r="P130" s="44"/>
      <c r="Q130" s="44"/>
    </row>
    <row r="131" hidden="1">
      <c r="A131" s="60" t="s">
        <v>46</v>
      </c>
      <c r="B131" s="46"/>
      <c r="C131" s="45"/>
      <c r="D131" s="45"/>
      <c r="E131" s="45"/>
      <c r="F131" s="45"/>
      <c r="G131" s="45"/>
      <c r="H131" s="44"/>
      <c r="I131" s="44"/>
      <c r="J131" s="44"/>
      <c r="K131" s="44"/>
      <c r="L131" s="44"/>
      <c r="M131" s="44"/>
      <c r="N131" s="44"/>
      <c r="O131" s="44"/>
      <c r="P131" s="44"/>
      <c r="Q131" s="44"/>
    </row>
    <row r="132" hidden="1">
      <c r="A132" s="60" t="s">
        <v>47</v>
      </c>
      <c r="B132" s="43"/>
      <c r="C132" s="45"/>
      <c r="D132" s="44"/>
      <c r="E132" s="45"/>
      <c r="F132" s="45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</row>
    <row r="133" hidden="1">
      <c r="A133" s="60" t="s">
        <v>48</v>
      </c>
      <c r="B133" s="46"/>
      <c r="C133" s="45"/>
      <c r="D133" s="44"/>
      <c r="E133" s="45"/>
      <c r="F133" s="45"/>
      <c r="G133" s="44"/>
      <c r="H133" s="45"/>
      <c r="I133" s="44"/>
      <c r="J133" s="44"/>
      <c r="K133" s="44"/>
      <c r="L133" s="44"/>
      <c r="M133" s="44"/>
      <c r="N133" s="44"/>
      <c r="O133" s="44"/>
      <c r="P133" s="44"/>
      <c r="Q133" s="44"/>
    </row>
    <row r="134" hidden="1">
      <c r="A134" s="47" t="s">
        <v>23</v>
      </c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7" t="s">
        <v>24</v>
      </c>
    </row>
    <row r="135" hidden="1">
      <c r="A135" s="61" t="s">
        <v>45</v>
      </c>
      <c r="B135" s="54">
        <v>9500.0</v>
      </c>
      <c r="C135" s="52"/>
      <c r="D135" s="62"/>
      <c r="E135" s="52"/>
      <c r="F135" s="52"/>
      <c r="G135" s="52"/>
      <c r="H135" s="62"/>
      <c r="I135" s="52"/>
      <c r="J135" s="52"/>
      <c r="K135" s="52"/>
      <c r="L135" s="52"/>
      <c r="M135" s="52"/>
      <c r="N135" s="52"/>
      <c r="O135" s="52"/>
      <c r="P135" s="52"/>
      <c r="Q135" s="53">
        <f t="shared" ref="Q135:Q137" si="64">SUM(B135:J135)</f>
        <v>9500</v>
      </c>
    </row>
    <row r="136" hidden="1">
      <c r="A136" s="63" t="s">
        <v>46</v>
      </c>
      <c r="B136" s="51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3">
        <f t="shared" si="64"/>
        <v>0</v>
      </c>
    </row>
    <row r="137" hidden="1">
      <c r="A137" s="63" t="s">
        <v>47</v>
      </c>
      <c r="B137" s="67">
        <f>(B125-B118)/2</f>
        <v>14250</v>
      </c>
      <c r="C137" s="67">
        <f t="shared" ref="C137:D137" si="65">(C125-C118)/2+1000</f>
        <v>7740</v>
      </c>
      <c r="D137" s="67">
        <f t="shared" si="65"/>
        <v>7550</v>
      </c>
      <c r="E137" s="67"/>
      <c r="F137" s="67">
        <f>(F125-F119)/2+1000</f>
        <v>7550</v>
      </c>
      <c r="G137" s="67">
        <f>G119</f>
        <v>7000</v>
      </c>
      <c r="H137" s="67">
        <f>(H125-H118)/2+2900</f>
        <v>8000</v>
      </c>
      <c r="I137" s="52"/>
      <c r="J137" s="52"/>
      <c r="K137" s="52"/>
      <c r="L137" s="52"/>
      <c r="M137" s="52"/>
      <c r="N137" s="52"/>
      <c r="O137" s="52"/>
      <c r="P137" s="52"/>
      <c r="Q137" s="52">
        <f t="shared" si="64"/>
        <v>52090</v>
      </c>
    </row>
    <row r="138" hidden="1">
      <c r="A138" s="63" t="s">
        <v>48</v>
      </c>
      <c r="B138" s="69">
        <v>14250.0</v>
      </c>
      <c r="C138" s="62">
        <v>7740.0</v>
      </c>
      <c r="D138" s="62">
        <v>7550.0</v>
      </c>
      <c r="E138" s="62"/>
      <c r="F138" s="62">
        <v>7550.0</v>
      </c>
      <c r="G138" s="62">
        <v>7000.0</v>
      </c>
      <c r="H138" s="62">
        <v>8000.0</v>
      </c>
      <c r="I138" s="52"/>
      <c r="J138" s="52"/>
      <c r="K138" s="52"/>
      <c r="L138" s="52"/>
      <c r="M138" s="52"/>
      <c r="N138" s="52"/>
      <c r="O138" s="52"/>
      <c r="P138" s="52"/>
      <c r="Q138" s="52">
        <f>SUM(B138:H138)</f>
        <v>52090</v>
      </c>
    </row>
    <row r="139" hidden="1">
      <c r="A139" s="65"/>
      <c r="B139" s="54"/>
      <c r="C139" s="52"/>
      <c r="D139" s="52"/>
      <c r="E139" s="52"/>
      <c r="F139" s="52"/>
      <c r="G139" s="62"/>
      <c r="H139" s="52"/>
      <c r="I139" s="52"/>
      <c r="J139" s="52"/>
      <c r="K139" s="52"/>
      <c r="L139" s="52"/>
      <c r="M139" s="52"/>
      <c r="N139" s="52"/>
      <c r="O139" s="52"/>
      <c r="P139" s="52"/>
      <c r="Q139" s="53">
        <f>SUM(B139:J139)</f>
        <v>0</v>
      </c>
    </row>
    <row r="140" hidden="1"/>
    <row r="141" hidden="1"/>
    <row r="142" hidden="1">
      <c r="A142" s="1" t="s">
        <v>0</v>
      </c>
      <c r="B142" s="2" t="s">
        <v>1</v>
      </c>
      <c r="C142" s="3" t="s">
        <v>2</v>
      </c>
      <c r="D142" s="3" t="s">
        <v>3</v>
      </c>
      <c r="E142" s="3"/>
      <c r="F142" s="3" t="s">
        <v>4</v>
      </c>
      <c r="G142" s="3" t="s">
        <v>34</v>
      </c>
      <c r="H142" s="3" t="s">
        <v>6</v>
      </c>
      <c r="I142" s="4" t="s">
        <v>50</v>
      </c>
      <c r="J142" s="4" t="s">
        <v>51</v>
      </c>
      <c r="K142" s="4"/>
      <c r="L142" s="4"/>
      <c r="M142" s="4"/>
      <c r="N142" s="4"/>
      <c r="O142" s="4"/>
      <c r="P142" s="4"/>
      <c r="Q142" s="1" t="s">
        <v>0</v>
      </c>
    </row>
    <row r="143" hidden="1">
      <c r="A143" s="6" t="s">
        <v>52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8"/>
    </row>
    <row r="144" hidden="1">
      <c r="A144" s="55" t="s">
        <v>53</v>
      </c>
      <c r="B144" s="10">
        <v>9500.0</v>
      </c>
      <c r="C144" s="10">
        <f t="shared" ref="C144:D144" si="66">C151/4</f>
        <v>6144.25</v>
      </c>
      <c r="D144" s="10">
        <f t="shared" si="66"/>
        <v>6000</v>
      </c>
      <c r="E144" s="10"/>
      <c r="F144" s="10">
        <f>F151/4</f>
        <v>6000</v>
      </c>
      <c r="G144" s="10">
        <v>7000.0</v>
      </c>
      <c r="H144" s="10">
        <f>H151/4</f>
        <v>5085</v>
      </c>
      <c r="I144" s="11"/>
      <c r="J144" s="12"/>
      <c r="K144" s="12"/>
      <c r="L144" s="12"/>
      <c r="M144" s="12"/>
      <c r="N144" s="12"/>
      <c r="O144" s="12"/>
      <c r="P144" s="12"/>
      <c r="Q144" s="13">
        <f>SUM(B144:J144)</f>
        <v>39729.25</v>
      </c>
    </row>
    <row r="145" hidden="1">
      <c r="A145" s="15" t="s">
        <v>54</v>
      </c>
      <c r="B145" s="10">
        <v>9500.0</v>
      </c>
      <c r="C145" s="10">
        <f t="shared" ref="C145:D145" si="67">C151/4</f>
        <v>6144.25</v>
      </c>
      <c r="D145" s="10">
        <f t="shared" si="67"/>
        <v>6000</v>
      </c>
      <c r="E145" s="10"/>
      <c r="F145" s="10">
        <f>F151/4</f>
        <v>6000</v>
      </c>
      <c r="G145" s="10">
        <v>7000.0</v>
      </c>
      <c r="H145" s="10">
        <f>H151/4</f>
        <v>5085</v>
      </c>
      <c r="I145" s="11">
        <v>0.0</v>
      </c>
      <c r="J145" s="12"/>
      <c r="K145" s="12"/>
      <c r="L145" s="12"/>
      <c r="M145" s="12"/>
      <c r="N145" s="12"/>
      <c r="O145" s="12"/>
      <c r="P145" s="12"/>
      <c r="Q145" s="13">
        <f t="shared" ref="Q145:Q148" si="69">SUM(B145:I145)</f>
        <v>39729.25</v>
      </c>
    </row>
    <row r="146" hidden="1">
      <c r="A146" s="15" t="s">
        <v>55</v>
      </c>
      <c r="B146" s="10">
        <v>9500.0</v>
      </c>
      <c r="C146" s="10">
        <f t="shared" ref="C146:D146" si="68">C151/4</f>
        <v>6144.25</v>
      </c>
      <c r="D146" s="10">
        <f t="shared" si="68"/>
        <v>6000</v>
      </c>
      <c r="E146" s="10"/>
      <c r="F146" s="10">
        <f>F151/4</f>
        <v>6000</v>
      </c>
      <c r="G146" s="10">
        <v>7000.0</v>
      </c>
      <c r="H146" s="10">
        <f>H151/4</f>
        <v>5085</v>
      </c>
      <c r="I146" s="11">
        <v>0.0</v>
      </c>
      <c r="J146" s="12"/>
      <c r="K146" s="12"/>
      <c r="L146" s="12"/>
      <c r="M146" s="12"/>
      <c r="N146" s="12"/>
      <c r="O146" s="12"/>
      <c r="P146" s="12"/>
      <c r="Q146" s="13">
        <f t="shared" si="69"/>
        <v>39729.25</v>
      </c>
    </row>
    <row r="147" hidden="1">
      <c r="A147" s="15" t="s">
        <v>56</v>
      </c>
      <c r="B147" s="16">
        <v>9500.0</v>
      </c>
      <c r="C147" s="16">
        <f t="shared" ref="C147:D147" si="70">C151/4</f>
        <v>6144.25</v>
      </c>
      <c r="D147" s="16">
        <f t="shared" si="70"/>
        <v>6000</v>
      </c>
      <c r="E147" s="16"/>
      <c r="F147" s="16">
        <f>F151/4</f>
        <v>6000</v>
      </c>
      <c r="G147" s="16">
        <v>7000.0</v>
      </c>
      <c r="H147" s="16">
        <f>H151/4</f>
        <v>5085</v>
      </c>
      <c r="I147" s="17">
        <v>0.0</v>
      </c>
      <c r="J147" s="18"/>
      <c r="K147" s="18"/>
      <c r="L147" s="18"/>
      <c r="M147" s="18"/>
      <c r="N147" s="18"/>
      <c r="O147" s="18"/>
      <c r="P147" s="18"/>
      <c r="Q147" s="19">
        <f t="shared" si="69"/>
        <v>39729.25</v>
      </c>
    </row>
    <row r="148" hidden="1">
      <c r="A148" s="15"/>
      <c r="B148" s="16"/>
      <c r="C148" s="16"/>
      <c r="D148" s="16"/>
      <c r="E148" s="16"/>
      <c r="F148" s="16"/>
      <c r="G148" s="16"/>
      <c r="H148" s="16"/>
      <c r="I148" s="17">
        <v>0.0</v>
      </c>
      <c r="J148" s="18"/>
      <c r="K148" s="18"/>
      <c r="L148" s="18"/>
      <c r="M148" s="18"/>
      <c r="N148" s="18"/>
      <c r="O148" s="18"/>
      <c r="P148" s="18"/>
      <c r="Q148" s="19">
        <f t="shared" si="69"/>
        <v>0</v>
      </c>
    </row>
    <row r="149" hidden="1">
      <c r="A149" s="20" t="s">
        <v>15</v>
      </c>
      <c r="B149" s="21">
        <v>48800.0</v>
      </c>
      <c r="C149" s="21">
        <v>35000.0</v>
      </c>
      <c r="D149" s="21">
        <v>34000.0</v>
      </c>
      <c r="E149" s="21"/>
      <c r="F149" s="21">
        <v>34000.0</v>
      </c>
      <c r="G149" s="21">
        <f>SUM(G144:G147)</f>
        <v>28000</v>
      </c>
      <c r="H149" s="21">
        <v>32000.0</v>
      </c>
      <c r="I149" s="21">
        <f>SUM(I144:I147)</f>
        <v>0</v>
      </c>
      <c r="J149" s="20" t="s">
        <v>15</v>
      </c>
      <c r="K149" s="20"/>
      <c r="L149" s="20"/>
      <c r="M149" s="20"/>
      <c r="N149" s="20"/>
      <c r="O149" s="20"/>
      <c r="P149" s="20"/>
      <c r="Q149" s="21">
        <f>SUM(Q144:Q147)</f>
        <v>158917</v>
      </c>
    </row>
    <row r="150" hidden="1">
      <c r="A150" s="23" t="s">
        <v>16</v>
      </c>
      <c r="B150" s="24">
        <v>11660.0</v>
      </c>
      <c r="C150" s="24">
        <v>10423.0</v>
      </c>
      <c r="D150" s="24">
        <v>10000.0</v>
      </c>
      <c r="E150" s="24"/>
      <c r="F150" s="24">
        <v>10000.0</v>
      </c>
      <c r="G150" s="24"/>
      <c r="H150" s="24">
        <v>11660.0</v>
      </c>
      <c r="I150" s="24"/>
      <c r="J150" s="21"/>
      <c r="K150" s="21"/>
      <c r="L150" s="21"/>
      <c r="M150" s="21"/>
      <c r="N150" s="21"/>
      <c r="O150" s="21"/>
      <c r="P150" s="21"/>
      <c r="Q150" s="22"/>
    </row>
    <row r="151" hidden="1">
      <c r="A151" s="57" t="s">
        <v>17</v>
      </c>
      <c r="B151" s="58">
        <f t="shared" ref="B151:D151" si="71">B149-(B150)</f>
        <v>37140</v>
      </c>
      <c r="C151" s="58">
        <f t="shared" si="71"/>
        <v>24577</v>
      </c>
      <c r="D151" s="58">
        <f t="shared" si="71"/>
        <v>24000</v>
      </c>
      <c r="E151" s="58"/>
      <c r="F151" s="58">
        <f>F149-(F150)</f>
        <v>24000</v>
      </c>
      <c r="G151" s="58"/>
      <c r="H151" s="58">
        <f>H149-(H150)</f>
        <v>20340</v>
      </c>
      <c r="I151" s="58">
        <f>I148-(I150)</f>
        <v>0</v>
      </c>
      <c r="J151" s="25"/>
      <c r="K151" s="25"/>
      <c r="L151" s="25"/>
      <c r="M151" s="25"/>
      <c r="N151" s="25"/>
      <c r="O151" s="25"/>
      <c r="P151" s="25"/>
      <c r="Q151" s="26">
        <f t="shared" ref="Q151:Q154" si="72">SUM(B151:J151)</f>
        <v>130057</v>
      </c>
    </row>
    <row r="152" hidden="1">
      <c r="A152" s="27" t="s">
        <v>40</v>
      </c>
      <c r="B152" s="28">
        <v>3000.0</v>
      </c>
      <c r="C152" s="28"/>
      <c r="D152" s="28">
        <v>3000.0</v>
      </c>
      <c r="E152" s="28"/>
      <c r="F152" s="28"/>
      <c r="G152" s="28"/>
      <c r="H152" s="28"/>
      <c r="I152" s="28"/>
      <c r="J152" s="28"/>
      <c r="K152" s="29"/>
      <c r="L152" s="29"/>
      <c r="M152" s="29"/>
      <c r="N152" s="29"/>
      <c r="O152" s="29"/>
      <c r="P152" s="29"/>
      <c r="Q152" s="30">
        <f t="shared" si="72"/>
        <v>6000</v>
      </c>
    </row>
    <row r="153" hidden="1">
      <c r="A153" s="23" t="s">
        <v>57</v>
      </c>
      <c r="B153" s="24"/>
      <c r="C153" s="24"/>
      <c r="D153" s="24"/>
      <c r="E153" s="24"/>
      <c r="F153" s="24"/>
      <c r="G153" s="24"/>
      <c r="H153" s="24"/>
      <c r="I153" s="24"/>
      <c r="J153" s="24"/>
      <c r="K153" s="25"/>
      <c r="L153" s="25"/>
      <c r="M153" s="25"/>
      <c r="N153" s="25"/>
      <c r="O153" s="25"/>
      <c r="P153" s="25"/>
      <c r="Q153" s="26">
        <f t="shared" si="72"/>
        <v>0</v>
      </c>
    </row>
    <row r="154" hidden="1">
      <c r="A154" s="23"/>
      <c r="B154" s="24"/>
      <c r="C154" s="24"/>
      <c r="D154" s="24"/>
      <c r="E154" s="24"/>
      <c r="F154" s="24"/>
      <c r="G154" s="24"/>
      <c r="H154" s="24"/>
      <c r="I154" s="24"/>
      <c r="J154" s="24"/>
      <c r="K154" s="25"/>
      <c r="L154" s="25"/>
      <c r="M154" s="25"/>
      <c r="N154" s="25"/>
      <c r="O154" s="25"/>
      <c r="P154" s="25"/>
      <c r="Q154" s="26">
        <f t="shared" si="72"/>
        <v>0</v>
      </c>
    </row>
    <row r="155" hidden="1">
      <c r="A155" s="39" t="s">
        <v>22</v>
      </c>
      <c r="B155" s="40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</row>
    <row r="156" hidden="1">
      <c r="A156" s="59" t="s">
        <v>53</v>
      </c>
      <c r="B156" s="43"/>
      <c r="C156" s="44"/>
      <c r="D156" s="44"/>
      <c r="E156" s="45"/>
      <c r="F156" s="45"/>
      <c r="G156" s="45">
        <v>360.0</v>
      </c>
      <c r="H156" s="45"/>
      <c r="I156" s="44"/>
      <c r="J156" s="44"/>
      <c r="K156" s="44"/>
      <c r="L156" s="44"/>
      <c r="M156" s="44"/>
      <c r="N156" s="44"/>
      <c r="O156" s="44"/>
      <c r="P156" s="44"/>
      <c r="Q156" s="44"/>
    </row>
    <row r="157" hidden="1">
      <c r="A157" s="60" t="s">
        <v>54</v>
      </c>
      <c r="B157" s="46"/>
      <c r="C157" s="45"/>
      <c r="D157" s="45"/>
      <c r="E157" s="45"/>
      <c r="F157" s="45"/>
      <c r="G157" s="45"/>
      <c r="H157" s="44"/>
      <c r="I157" s="44"/>
      <c r="J157" s="44"/>
      <c r="K157" s="44"/>
      <c r="L157" s="44"/>
      <c r="M157" s="44"/>
      <c r="N157" s="44"/>
      <c r="O157" s="44"/>
      <c r="P157" s="44"/>
      <c r="Q157" s="44"/>
    </row>
    <row r="158" hidden="1">
      <c r="A158" s="60" t="s">
        <v>55</v>
      </c>
      <c r="B158" s="43"/>
      <c r="C158" s="45"/>
      <c r="D158" s="44"/>
      <c r="E158" s="45"/>
      <c r="F158" s="45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</row>
    <row r="159" hidden="1">
      <c r="A159" s="60" t="s">
        <v>56</v>
      </c>
      <c r="B159" s="46"/>
      <c r="C159" s="45"/>
      <c r="D159" s="44"/>
      <c r="E159" s="45"/>
      <c r="F159" s="45"/>
      <c r="G159" s="44"/>
      <c r="H159" s="45"/>
      <c r="I159" s="44"/>
      <c r="J159" s="44"/>
      <c r="K159" s="44"/>
      <c r="L159" s="44"/>
      <c r="M159" s="44"/>
      <c r="N159" s="44"/>
      <c r="O159" s="44"/>
      <c r="P159" s="44"/>
      <c r="Q159" s="44"/>
    </row>
    <row r="160" hidden="1">
      <c r="A160" s="47" t="s">
        <v>23</v>
      </c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7" t="s">
        <v>24</v>
      </c>
    </row>
    <row r="161" hidden="1">
      <c r="A161" s="61" t="s">
        <v>53</v>
      </c>
      <c r="B161" s="54">
        <f t="shared" ref="B161:D161" si="73">B151/3</f>
        <v>12380</v>
      </c>
      <c r="C161" s="52">
        <f t="shared" si="73"/>
        <v>8192.333333</v>
      </c>
      <c r="D161" s="62">
        <f t="shared" si="73"/>
        <v>8000</v>
      </c>
      <c r="E161" s="52"/>
      <c r="F161" s="52">
        <f>F151/3-(2*1300)+500</f>
        <v>5900</v>
      </c>
      <c r="G161" s="62">
        <f>G144-G156</f>
        <v>6640</v>
      </c>
      <c r="H161" s="62">
        <f>H151/3</f>
        <v>6780</v>
      </c>
      <c r="I161" s="52"/>
      <c r="J161" s="52"/>
      <c r="K161" s="52"/>
      <c r="L161" s="52"/>
      <c r="M161" s="52"/>
      <c r="N161" s="52"/>
      <c r="O161" s="52"/>
      <c r="P161" s="52"/>
      <c r="Q161" s="53">
        <f t="shared" ref="Q161:Q165" si="74">SUM(B161:J161)</f>
        <v>47892.33333</v>
      </c>
    </row>
    <row r="162" hidden="1">
      <c r="A162" s="63" t="s">
        <v>54</v>
      </c>
      <c r="B162" s="51"/>
      <c r="C162" s="52"/>
      <c r="D162" s="52"/>
      <c r="E162" s="52"/>
      <c r="F162" s="52"/>
      <c r="G162" s="62">
        <v>7000.0</v>
      </c>
      <c r="H162" s="52"/>
      <c r="I162" s="62">
        <v>20200.0</v>
      </c>
      <c r="J162" s="62">
        <v>11000.0</v>
      </c>
      <c r="K162" s="62"/>
      <c r="L162" s="62"/>
      <c r="M162" s="62"/>
      <c r="N162" s="62"/>
      <c r="O162" s="62"/>
      <c r="P162" s="62"/>
      <c r="Q162" s="53">
        <f t="shared" si="74"/>
        <v>38200</v>
      </c>
    </row>
    <row r="163" hidden="1">
      <c r="A163" s="63" t="s">
        <v>55</v>
      </c>
      <c r="B163" s="67">
        <f>B151/3</f>
        <v>12380</v>
      </c>
      <c r="C163" s="67"/>
      <c r="D163" s="67">
        <f>D151/3+3200</f>
        <v>11200</v>
      </c>
      <c r="E163" s="67"/>
      <c r="F163" s="67"/>
      <c r="G163" s="69">
        <f>7000+600</f>
        <v>7600</v>
      </c>
      <c r="H163" s="67">
        <f>H151/3+1000</f>
        <v>7780</v>
      </c>
      <c r="I163" s="62">
        <v>16400.0</v>
      </c>
      <c r="J163" s="62">
        <v>11400.0</v>
      </c>
      <c r="K163" s="62"/>
      <c r="L163" s="62"/>
      <c r="M163" s="62"/>
      <c r="N163" s="62"/>
      <c r="O163" s="62"/>
      <c r="P163" s="62"/>
      <c r="Q163" s="52">
        <f t="shared" si="74"/>
        <v>66760</v>
      </c>
    </row>
    <row r="164" hidden="1">
      <c r="A164" s="63" t="s">
        <v>56</v>
      </c>
      <c r="B164" s="69">
        <f>B151/3</f>
        <v>12380</v>
      </c>
      <c r="C164" s="62"/>
      <c r="D164" s="62">
        <f>D151/3+3200</f>
        <v>11200</v>
      </c>
      <c r="E164" s="62"/>
      <c r="F164" s="62"/>
      <c r="G164" s="62">
        <f>7000+1000</f>
        <v>8000</v>
      </c>
      <c r="H164" s="62">
        <f>H151/3+1000</f>
        <v>7780</v>
      </c>
      <c r="I164" s="52"/>
      <c r="J164" s="62">
        <v>7000.0</v>
      </c>
      <c r="K164" s="62"/>
      <c r="L164" s="62"/>
      <c r="M164" s="62"/>
      <c r="N164" s="62"/>
      <c r="O164" s="62"/>
      <c r="P164" s="62"/>
      <c r="Q164" s="52">
        <f t="shared" si="74"/>
        <v>46360</v>
      </c>
    </row>
    <row r="165" hidden="1">
      <c r="A165" s="65"/>
      <c r="B165" s="54"/>
      <c r="C165" s="52"/>
      <c r="D165" s="52"/>
      <c r="E165" s="52"/>
      <c r="F165" s="52"/>
      <c r="G165" s="62"/>
      <c r="H165" s="52"/>
      <c r="I165" s="52"/>
      <c r="J165" s="52"/>
      <c r="K165" s="52"/>
      <c r="L165" s="52"/>
      <c r="M165" s="52"/>
      <c r="N165" s="52"/>
      <c r="O165" s="52"/>
      <c r="P165" s="52"/>
      <c r="Q165" s="53">
        <f t="shared" si="74"/>
        <v>0</v>
      </c>
    </row>
    <row r="166" hidden="1"/>
    <row r="167" hidden="1"/>
    <row r="168" hidden="1">
      <c r="A168" s="1" t="s">
        <v>0</v>
      </c>
      <c r="B168" s="2" t="s">
        <v>1</v>
      </c>
      <c r="C168" s="3"/>
      <c r="D168" s="3" t="s">
        <v>3</v>
      </c>
      <c r="E168" s="3"/>
      <c r="F168" s="3" t="s">
        <v>58</v>
      </c>
      <c r="G168" s="3" t="s">
        <v>34</v>
      </c>
      <c r="H168" s="3" t="s">
        <v>6</v>
      </c>
      <c r="I168" s="4" t="s">
        <v>50</v>
      </c>
      <c r="J168" s="4" t="s">
        <v>51</v>
      </c>
      <c r="K168" s="4"/>
      <c r="L168" s="4"/>
      <c r="M168" s="4"/>
      <c r="N168" s="4"/>
      <c r="O168" s="4"/>
      <c r="P168" s="4"/>
      <c r="Q168" s="1" t="s">
        <v>0</v>
      </c>
    </row>
    <row r="169" hidden="1">
      <c r="A169" s="6" t="s">
        <v>59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8"/>
    </row>
    <row r="170" hidden="1">
      <c r="A170" s="55" t="s">
        <v>60</v>
      </c>
      <c r="B170" s="10">
        <v>9500.0</v>
      </c>
      <c r="C170" s="10"/>
      <c r="D170" s="10">
        <f>D177/4</f>
        <v>6000</v>
      </c>
      <c r="E170" s="10"/>
      <c r="F170" s="10"/>
      <c r="G170" s="10">
        <v>7000.0</v>
      </c>
      <c r="H170" s="10">
        <f>H177/4</f>
        <v>5085</v>
      </c>
      <c r="I170" s="11"/>
      <c r="J170" s="12"/>
      <c r="K170" s="12"/>
      <c r="L170" s="12"/>
      <c r="M170" s="12"/>
      <c r="N170" s="12"/>
      <c r="O170" s="12"/>
      <c r="P170" s="12"/>
      <c r="Q170" s="13">
        <f>SUM(B170:J170)</f>
        <v>27585</v>
      </c>
    </row>
    <row r="171" hidden="1">
      <c r="A171" s="15" t="s">
        <v>61</v>
      </c>
      <c r="B171" s="10">
        <v>9500.0</v>
      </c>
      <c r="C171" s="10"/>
      <c r="D171" s="10">
        <f>D177/4</f>
        <v>6000</v>
      </c>
      <c r="E171" s="10"/>
      <c r="F171" s="10"/>
      <c r="G171" s="10">
        <v>7000.0</v>
      </c>
      <c r="H171" s="10">
        <f>H177/4</f>
        <v>5085</v>
      </c>
      <c r="I171" s="11">
        <v>0.0</v>
      </c>
      <c r="J171" s="12"/>
      <c r="K171" s="12"/>
      <c r="L171" s="12"/>
      <c r="M171" s="12"/>
      <c r="N171" s="12"/>
      <c r="O171" s="12"/>
      <c r="P171" s="12"/>
      <c r="Q171" s="13">
        <f t="shared" ref="Q171:Q174" si="75">SUM(B171:I171)</f>
        <v>27585</v>
      </c>
    </row>
    <row r="172" hidden="1">
      <c r="A172" s="15"/>
      <c r="B172" s="10">
        <v>9500.0</v>
      </c>
      <c r="C172" s="10"/>
      <c r="D172" s="10">
        <f>D177/4</f>
        <v>6000</v>
      </c>
      <c r="E172" s="10"/>
      <c r="F172" s="10"/>
      <c r="G172" s="10">
        <v>7000.0</v>
      </c>
      <c r="H172" s="10">
        <f>H177/4</f>
        <v>5085</v>
      </c>
      <c r="I172" s="11">
        <v>0.0</v>
      </c>
      <c r="J172" s="12"/>
      <c r="K172" s="12"/>
      <c r="L172" s="12"/>
      <c r="M172" s="12"/>
      <c r="N172" s="12"/>
      <c r="O172" s="12"/>
      <c r="P172" s="12"/>
      <c r="Q172" s="13">
        <f t="shared" si="75"/>
        <v>27585</v>
      </c>
    </row>
    <row r="173" hidden="1">
      <c r="A173" s="15"/>
      <c r="B173" s="16">
        <v>9500.0</v>
      </c>
      <c r="C173" s="16"/>
      <c r="D173" s="16">
        <f>D177/4</f>
        <v>6000</v>
      </c>
      <c r="E173" s="16"/>
      <c r="F173" s="16"/>
      <c r="G173" s="16">
        <v>7000.0</v>
      </c>
      <c r="H173" s="16">
        <f>H177/4</f>
        <v>5085</v>
      </c>
      <c r="I173" s="17">
        <v>0.0</v>
      </c>
      <c r="J173" s="18"/>
      <c r="K173" s="18"/>
      <c r="L173" s="18"/>
      <c r="M173" s="18"/>
      <c r="N173" s="18"/>
      <c r="O173" s="18"/>
      <c r="P173" s="18"/>
      <c r="Q173" s="19">
        <f t="shared" si="75"/>
        <v>27585</v>
      </c>
    </row>
    <row r="174" hidden="1">
      <c r="A174" s="15"/>
      <c r="B174" s="16"/>
      <c r="C174" s="16"/>
      <c r="D174" s="16"/>
      <c r="E174" s="16"/>
      <c r="F174" s="16"/>
      <c r="G174" s="16"/>
      <c r="H174" s="16"/>
      <c r="I174" s="17">
        <v>0.0</v>
      </c>
      <c r="J174" s="18"/>
      <c r="K174" s="18"/>
      <c r="L174" s="18"/>
      <c r="M174" s="18"/>
      <c r="N174" s="18"/>
      <c r="O174" s="18"/>
      <c r="P174" s="18"/>
      <c r="Q174" s="19">
        <f t="shared" si="75"/>
        <v>0</v>
      </c>
    </row>
    <row r="175" hidden="1">
      <c r="A175" s="20" t="s">
        <v>15</v>
      </c>
      <c r="B175" s="21">
        <v>48800.0</v>
      </c>
      <c r="C175" s="21"/>
      <c r="D175" s="21">
        <v>34000.0</v>
      </c>
      <c r="E175" s="21"/>
      <c r="F175" s="21">
        <v>32000.0</v>
      </c>
      <c r="G175" s="21">
        <f>SUM(G170:G173)</f>
        <v>28000</v>
      </c>
      <c r="H175" s="21">
        <v>32000.0</v>
      </c>
      <c r="I175" s="21">
        <f>SUM(I170:I173)</f>
        <v>0</v>
      </c>
      <c r="J175" s="20" t="s">
        <v>15</v>
      </c>
      <c r="K175" s="20"/>
      <c r="L175" s="20"/>
      <c r="M175" s="20"/>
      <c r="N175" s="20"/>
      <c r="O175" s="20"/>
      <c r="P175" s="20"/>
      <c r="Q175" s="21">
        <f>SUM(Q170:Q173)</f>
        <v>110340</v>
      </c>
    </row>
    <row r="176" hidden="1">
      <c r="A176" s="23" t="s">
        <v>16</v>
      </c>
      <c r="B176" s="24">
        <v>11660.0</v>
      </c>
      <c r="C176" s="24"/>
      <c r="D176" s="24">
        <v>10000.0</v>
      </c>
      <c r="E176" s="24"/>
      <c r="F176" s="24"/>
      <c r="G176" s="24"/>
      <c r="H176" s="24">
        <v>11660.0</v>
      </c>
      <c r="I176" s="24"/>
      <c r="J176" s="21"/>
      <c r="K176" s="21"/>
      <c r="L176" s="21"/>
      <c r="M176" s="21"/>
      <c r="N176" s="21"/>
      <c r="O176" s="21"/>
      <c r="P176" s="21"/>
      <c r="Q176" s="22"/>
    </row>
    <row r="177" hidden="1">
      <c r="A177" s="57" t="s">
        <v>17</v>
      </c>
      <c r="B177" s="58">
        <f>B175-(B176)</f>
        <v>37140</v>
      </c>
      <c r="C177" s="58"/>
      <c r="D177" s="58">
        <f>D175-(D176)</f>
        <v>24000</v>
      </c>
      <c r="E177" s="58"/>
      <c r="F177" s="58">
        <v>32000.0</v>
      </c>
      <c r="G177" s="58"/>
      <c r="H177" s="58">
        <f>H175-(H176)</f>
        <v>20340</v>
      </c>
      <c r="I177" s="58">
        <f>I174-(I176)</f>
        <v>0</v>
      </c>
      <c r="J177" s="25"/>
      <c r="K177" s="25"/>
      <c r="L177" s="25"/>
      <c r="M177" s="25"/>
      <c r="N177" s="25"/>
      <c r="O177" s="25"/>
      <c r="P177" s="25"/>
      <c r="Q177" s="26">
        <f t="shared" ref="Q177:Q180" si="76">SUM(B177:J177)</f>
        <v>113480</v>
      </c>
    </row>
    <row r="178" hidden="1">
      <c r="A178" s="27" t="s">
        <v>40</v>
      </c>
      <c r="B178" s="28"/>
      <c r="C178" s="28"/>
      <c r="D178" s="28"/>
      <c r="E178" s="28"/>
      <c r="F178" s="28"/>
      <c r="G178" s="28"/>
      <c r="H178" s="28"/>
      <c r="I178" s="28"/>
      <c r="J178" s="28"/>
      <c r="K178" s="29"/>
      <c r="L178" s="29"/>
      <c r="M178" s="29"/>
      <c r="N178" s="29"/>
      <c r="O178" s="29"/>
      <c r="P178" s="29"/>
      <c r="Q178" s="30">
        <f t="shared" si="76"/>
        <v>0</v>
      </c>
    </row>
    <row r="179" hidden="1">
      <c r="A179" s="23" t="s">
        <v>62</v>
      </c>
      <c r="B179" s="24">
        <f>(B175/2)-14000</f>
        <v>10400</v>
      </c>
      <c r="C179" s="24"/>
      <c r="D179" s="24">
        <f>(D175/2)-12000</f>
        <v>5000</v>
      </c>
      <c r="E179" s="24"/>
      <c r="F179" s="24"/>
      <c r="G179" s="24"/>
      <c r="H179" s="24">
        <f>(H175/2)-10000</f>
        <v>6000</v>
      </c>
      <c r="I179" s="24"/>
      <c r="J179" s="24"/>
      <c r="K179" s="25"/>
      <c r="L179" s="25"/>
      <c r="M179" s="25"/>
      <c r="N179" s="25"/>
      <c r="O179" s="25"/>
      <c r="P179" s="25"/>
      <c r="Q179" s="26">
        <f t="shared" si="76"/>
        <v>21400</v>
      </c>
    </row>
    <row r="180" hidden="1">
      <c r="A180" s="23" t="s">
        <v>63</v>
      </c>
      <c r="B180" s="24"/>
      <c r="C180" s="24"/>
      <c r="D180" s="24">
        <v>1000.0</v>
      </c>
      <c r="E180" s="24"/>
      <c r="F180" s="24"/>
      <c r="G180" s="24">
        <v>1000.0</v>
      </c>
      <c r="H180" s="24"/>
      <c r="I180" s="24"/>
      <c r="J180" s="24"/>
      <c r="K180" s="25"/>
      <c r="L180" s="25"/>
      <c r="M180" s="25"/>
      <c r="N180" s="25"/>
      <c r="O180" s="25"/>
      <c r="P180" s="25"/>
      <c r="Q180" s="26">
        <f t="shared" si="76"/>
        <v>2000</v>
      </c>
    </row>
    <row r="181" hidden="1">
      <c r="A181" s="39" t="s">
        <v>22</v>
      </c>
      <c r="B181" s="40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</row>
    <row r="182" hidden="1">
      <c r="A182" s="59" t="s">
        <v>60</v>
      </c>
      <c r="B182" s="43"/>
      <c r="C182" s="44"/>
      <c r="D182" s="44"/>
      <c r="E182" s="45"/>
      <c r="F182" s="45"/>
      <c r="G182" s="45"/>
      <c r="H182" s="45"/>
      <c r="I182" s="44"/>
      <c r="J182" s="44"/>
      <c r="K182" s="44"/>
      <c r="L182" s="44"/>
      <c r="M182" s="44"/>
      <c r="N182" s="44"/>
      <c r="O182" s="44"/>
      <c r="P182" s="44"/>
      <c r="Q182" s="44"/>
    </row>
    <row r="183" hidden="1">
      <c r="A183" s="60" t="s">
        <v>61</v>
      </c>
      <c r="B183" s="46"/>
      <c r="C183" s="45"/>
      <c r="D183" s="45"/>
      <c r="E183" s="45"/>
      <c r="F183" s="45"/>
      <c r="G183" s="45"/>
      <c r="H183" s="44"/>
      <c r="I183" s="44"/>
      <c r="J183" s="44"/>
      <c r="K183" s="44"/>
      <c r="L183" s="44"/>
      <c r="M183" s="44"/>
      <c r="N183" s="44"/>
      <c r="O183" s="44"/>
      <c r="P183" s="44"/>
      <c r="Q183" s="44"/>
    </row>
    <row r="184" hidden="1">
      <c r="A184" s="60" t="s">
        <v>64</v>
      </c>
      <c r="B184" s="43"/>
      <c r="C184" s="45"/>
      <c r="D184" s="45">
        <v>500.0</v>
      </c>
      <c r="E184" s="45"/>
      <c r="F184" s="45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</row>
    <row r="185" hidden="1">
      <c r="A185" s="60"/>
      <c r="B185" s="46"/>
      <c r="C185" s="45"/>
      <c r="D185" s="44"/>
      <c r="E185" s="45"/>
      <c r="F185" s="45"/>
      <c r="G185" s="44"/>
      <c r="H185" s="45"/>
      <c r="I185" s="44"/>
      <c r="J185" s="44"/>
      <c r="K185" s="44"/>
      <c r="L185" s="44"/>
      <c r="M185" s="44"/>
      <c r="N185" s="44"/>
      <c r="O185" s="44"/>
      <c r="P185" s="44"/>
      <c r="Q185" s="44"/>
    </row>
    <row r="186" hidden="1">
      <c r="A186" s="47" t="s">
        <v>23</v>
      </c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7" t="s">
        <v>24</v>
      </c>
    </row>
    <row r="187" hidden="1">
      <c r="A187" s="61" t="s">
        <v>60</v>
      </c>
      <c r="B187" s="54">
        <f>B177/3</f>
        <v>12380</v>
      </c>
      <c r="C187" s="52"/>
      <c r="D187" s="62">
        <f>D177/3+4000</f>
        <v>12000</v>
      </c>
      <c r="E187" s="52"/>
      <c r="F187" s="52"/>
      <c r="G187" s="62">
        <f>G170-G182</f>
        <v>7000</v>
      </c>
      <c r="H187" s="62">
        <f>H177/3+1000+220</f>
        <v>8000</v>
      </c>
      <c r="I187" s="52"/>
      <c r="J187" s="62">
        <v>10000.0</v>
      </c>
      <c r="K187" s="62"/>
      <c r="L187" s="62"/>
      <c r="M187" s="62"/>
      <c r="N187" s="62"/>
      <c r="O187" s="62"/>
      <c r="P187" s="62"/>
      <c r="Q187" s="53">
        <f t="shared" ref="Q187:Q192" si="77">SUM(B187:J187)</f>
        <v>49380</v>
      </c>
    </row>
    <row r="188" hidden="1">
      <c r="A188" s="63" t="s">
        <v>61</v>
      </c>
      <c r="B188" s="54">
        <v>17000.0</v>
      </c>
      <c r="C188" s="52"/>
      <c r="D188" s="62">
        <f>(12000+1500)</f>
        <v>13500</v>
      </c>
      <c r="E188" s="52"/>
      <c r="F188" s="52"/>
      <c r="G188" s="62">
        <f>7000+1000</f>
        <v>8000</v>
      </c>
      <c r="H188" s="52">
        <f>(10000+1000+500)</f>
        <v>11500</v>
      </c>
      <c r="I188" s="62"/>
      <c r="J188" s="62">
        <v>8250.0</v>
      </c>
      <c r="K188" s="62"/>
      <c r="L188" s="62"/>
      <c r="M188" s="62"/>
      <c r="N188" s="62"/>
      <c r="O188" s="62"/>
      <c r="P188" s="62"/>
      <c r="Q188" s="53">
        <f t="shared" si="77"/>
        <v>58250</v>
      </c>
    </row>
    <row r="189" hidden="1">
      <c r="A189" s="63" t="s">
        <v>65</v>
      </c>
      <c r="B189" s="70">
        <f>B177/3</f>
        <v>12380</v>
      </c>
      <c r="C189" s="67"/>
      <c r="D189" s="69">
        <v>12000.0</v>
      </c>
      <c r="E189" s="67"/>
      <c r="F189" s="67"/>
      <c r="G189" s="69">
        <v>7000.0</v>
      </c>
      <c r="H189" s="67">
        <f>H177/3+1220</f>
        <v>8000</v>
      </c>
      <c r="I189" s="62"/>
      <c r="J189" s="62">
        <v>8550.0</v>
      </c>
      <c r="K189" s="62"/>
      <c r="L189" s="62"/>
      <c r="M189" s="62"/>
      <c r="N189" s="62"/>
      <c r="O189" s="62"/>
      <c r="P189" s="62"/>
      <c r="Q189" s="52">
        <f t="shared" si="77"/>
        <v>47930</v>
      </c>
    </row>
    <row r="190" hidden="1">
      <c r="A190" s="63" t="s">
        <v>66</v>
      </c>
      <c r="B190" s="71">
        <f>SUM(B189+B179)</f>
        <v>22780</v>
      </c>
      <c r="C190" s="62"/>
      <c r="D190" s="62">
        <f>(D177/3)+1000+5000</f>
        <v>14000</v>
      </c>
      <c r="E190" s="62"/>
      <c r="F190" s="62"/>
      <c r="G190" s="62">
        <v>7000.0</v>
      </c>
      <c r="H190" s="62">
        <f>8000+6000</f>
        <v>14000</v>
      </c>
      <c r="I190" s="52"/>
      <c r="J190" s="62"/>
      <c r="K190" s="62"/>
      <c r="L190" s="62"/>
      <c r="M190" s="62"/>
      <c r="N190" s="62"/>
      <c r="O190" s="62"/>
      <c r="P190" s="62"/>
      <c r="Q190" s="52">
        <f t="shared" si="77"/>
        <v>57780</v>
      </c>
    </row>
    <row r="191" hidden="1">
      <c r="A191" s="63" t="s">
        <v>67</v>
      </c>
      <c r="B191" s="54">
        <v>14000.0</v>
      </c>
      <c r="C191" s="52"/>
      <c r="D191" s="62">
        <f t="shared" ref="D191:D192" si="78">8000+2000</f>
        <v>10000</v>
      </c>
      <c r="E191" s="62"/>
      <c r="F191" s="62">
        <v>8000.0</v>
      </c>
      <c r="G191" s="62">
        <v>7000.0</v>
      </c>
      <c r="H191" s="62">
        <f t="shared" ref="H191:H192" si="79">8000+1000</f>
        <v>9000</v>
      </c>
      <c r="I191" s="52"/>
      <c r="J191" s="62">
        <v>8550.0</v>
      </c>
      <c r="K191" s="62"/>
      <c r="L191" s="62"/>
      <c r="M191" s="62"/>
      <c r="N191" s="62"/>
      <c r="O191" s="62"/>
      <c r="P191" s="62"/>
      <c r="Q191" s="53">
        <f t="shared" si="77"/>
        <v>56550</v>
      </c>
    </row>
    <row r="192" hidden="1">
      <c r="A192" s="63" t="s">
        <v>68</v>
      </c>
      <c r="B192" s="54">
        <v>14000.0</v>
      </c>
      <c r="C192" s="52"/>
      <c r="D192" s="62">
        <f t="shared" si="78"/>
        <v>10000</v>
      </c>
      <c r="E192" s="62"/>
      <c r="F192" s="62">
        <f>8000+2000</f>
        <v>10000</v>
      </c>
      <c r="G192" s="62">
        <v>7000.0</v>
      </c>
      <c r="H192" s="62">
        <f t="shared" si="79"/>
        <v>9000</v>
      </c>
      <c r="I192" s="52"/>
      <c r="J192" s="62">
        <v>8550.0</v>
      </c>
      <c r="K192" s="62"/>
      <c r="L192" s="62"/>
      <c r="M192" s="62"/>
      <c r="N192" s="62"/>
      <c r="O192" s="62"/>
      <c r="P192" s="62"/>
      <c r="Q192" s="53">
        <f t="shared" si="77"/>
        <v>58550</v>
      </c>
    </row>
    <row r="193" hidden="1">
      <c r="B193" s="72" t="s">
        <v>69</v>
      </c>
      <c r="D193" s="72" t="s">
        <v>70</v>
      </c>
      <c r="E193" s="72"/>
      <c r="F193" s="72" t="s">
        <v>71</v>
      </c>
      <c r="H193" s="72" t="s">
        <v>72</v>
      </c>
      <c r="I193" s="73">
        <v>44318.0</v>
      </c>
    </row>
    <row r="194" hidden="1">
      <c r="B194" s="72" t="s">
        <v>73</v>
      </c>
      <c r="D194" s="72" t="s">
        <v>74</v>
      </c>
      <c r="H194" s="72" t="s">
        <v>75</v>
      </c>
      <c r="I194" s="72">
        <v>1.0</v>
      </c>
    </row>
    <row r="195" hidden="1">
      <c r="B195" s="72" t="s">
        <v>76</v>
      </c>
      <c r="D195" s="72" t="s">
        <v>77</v>
      </c>
      <c r="I195" s="72">
        <v>1.0</v>
      </c>
    </row>
    <row r="196" hidden="1">
      <c r="I196" s="72">
        <v>3.0</v>
      </c>
    </row>
    <row r="197" hidden="1"/>
    <row r="198" hidden="1">
      <c r="A198" s="1" t="s">
        <v>0</v>
      </c>
      <c r="B198" s="2" t="s">
        <v>1</v>
      </c>
      <c r="C198" s="3"/>
      <c r="D198" s="3" t="s">
        <v>3</v>
      </c>
      <c r="E198" s="3"/>
      <c r="F198" s="3" t="s">
        <v>58</v>
      </c>
      <c r="G198" s="3" t="s">
        <v>34</v>
      </c>
      <c r="H198" s="3" t="s">
        <v>6</v>
      </c>
      <c r="I198" s="4" t="s">
        <v>78</v>
      </c>
      <c r="J198" s="4" t="s">
        <v>79</v>
      </c>
      <c r="K198" s="4"/>
      <c r="L198" s="4"/>
      <c r="M198" s="4"/>
      <c r="N198" s="4"/>
      <c r="O198" s="4"/>
      <c r="P198" s="4"/>
      <c r="Q198" s="1" t="s">
        <v>0</v>
      </c>
    </row>
    <row r="199" hidden="1">
      <c r="A199" s="6" t="s">
        <v>80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8"/>
    </row>
    <row r="200" hidden="1">
      <c r="A200" s="55" t="s">
        <v>81</v>
      </c>
      <c r="B200" s="10">
        <f>B205/4</f>
        <v>12200</v>
      </c>
      <c r="C200" s="10"/>
      <c r="D200" s="10">
        <f>D205/4</f>
        <v>10000</v>
      </c>
      <c r="E200" s="10"/>
      <c r="F200" s="10">
        <v>8000.0</v>
      </c>
      <c r="G200" s="10">
        <v>7000.0</v>
      </c>
      <c r="H200" s="10">
        <f t="shared" ref="H200:I200" si="80">H205/4</f>
        <v>10000</v>
      </c>
      <c r="I200" s="10">
        <f t="shared" si="80"/>
        <v>12000</v>
      </c>
      <c r="J200" s="12"/>
      <c r="K200" s="12"/>
      <c r="L200" s="12"/>
      <c r="M200" s="12"/>
      <c r="N200" s="12"/>
      <c r="O200" s="12"/>
      <c r="P200" s="12"/>
      <c r="Q200" s="13">
        <f>SUM(B200:J200)</f>
        <v>59200</v>
      </c>
    </row>
    <row r="201" hidden="1">
      <c r="A201" s="15" t="s">
        <v>82</v>
      </c>
      <c r="B201" s="10">
        <f>B205/4</f>
        <v>12200</v>
      </c>
      <c r="C201" s="10"/>
      <c r="D201" s="10">
        <f>D205/4</f>
        <v>10000</v>
      </c>
      <c r="E201" s="10"/>
      <c r="F201" s="10">
        <v>8000.0</v>
      </c>
      <c r="G201" s="10">
        <v>7000.0</v>
      </c>
      <c r="H201" s="10">
        <f t="shared" ref="H201:I201" si="81">H205/4</f>
        <v>10000</v>
      </c>
      <c r="I201" s="10">
        <f t="shared" si="81"/>
        <v>12000</v>
      </c>
      <c r="J201" s="12"/>
      <c r="K201" s="12"/>
      <c r="L201" s="12"/>
      <c r="M201" s="12"/>
      <c r="N201" s="12"/>
      <c r="O201" s="12"/>
      <c r="P201" s="12"/>
      <c r="Q201" s="13">
        <f t="shared" ref="Q201:Q204" si="83">SUM(B201:I201)</f>
        <v>59200</v>
      </c>
    </row>
    <row r="202" hidden="1">
      <c r="A202" s="15" t="s">
        <v>83</v>
      </c>
      <c r="B202" s="10">
        <f>B205/4</f>
        <v>12200</v>
      </c>
      <c r="C202" s="10"/>
      <c r="D202" s="10">
        <f>D205/4</f>
        <v>10000</v>
      </c>
      <c r="E202" s="10"/>
      <c r="F202" s="10">
        <v>8000.0</v>
      </c>
      <c r="G202" s="10">
        <v>7000.0</v>
      </c>
      <c r="H202" s="10">
        <f t="shared" ref="H202:I202" si="82">H205/4</f>
        <v>10000</v>
      </c>
      <c r="I202" s="10">
        <f t="shared" si="82"/>
        <v>12000</v>
      </c>
      <c r="J202" s="12"/>
      <c r="K202" s="12"/>
      <c r="L202" s="12"/>
      <c r="M202" s="12"/>
      <c r="N202" s="12"/>
      <c r="O202" s="12"/>
      <c r="P202" s="12"/>
      <c r="Q202" s="13">
        <f t="shared" si="83"/>
        <v>59200</v>
      </c>
    </row>
    <row r="203" hidden="1">
      <c r="A203" s="15" t="s">
        <v>84</v>
      </c>
      <c r="B203" s="16">
        <f>B205/4</f>
        <v>12200</v>
      </c>
      <c r="C203" s="16"/>
      <c r="D203" s="16">
        <f>D205/4</f>
        <v>10000</v>
      </c>
      <c r="E203" s="16"/>
      <c r="F203" s="16">
        <v>8000.0</v>
      </c>
      <c r="G203" s="16">
        <v>7000.0</v>
      </c>
      <c r="H203" s="16">
        <f t="shared" ref="H203:I203" si="84">H205/4</f>
        <v>10000</v>
      </c>
      <c r="I203" s="16">
        <f t="shared" si="84"/>
        <v>12000</v>
      </c>
      <c r="J203" s="18"/>
      <c r="K203" s="18"/>
      <c r="L203" s="18"/>
      <c r="M203" s="18"/>
      <c r="N203" s="18"/>
      <c r="O203" s="18"/>
      <c r="P203" s="18"/>
      <c r="Q203" s="19">
        <f t="shared" si="83"/>
        <v>59200</v>
      </c>
    </row>
    <row r="204" hidden="1">
      <c r="A204" s="15"/>
      <c r="B204" s="16"/>
      <c r="C204" s="16"/>
      <c r="D204" s="16"/>
      <c r="E204" s="16"/>
      <c r="F204" s="16"/>
      <c r="G204" s="16"/>
      <c r="H204" s="16"/>
      <c r="I204" s="16"/>
      <c r="J204" s="18"/>
      <c r="K204" s="18"/>
      <c r="L204" s="18"/>
      <c r="M204" s="18"/>
      <c r="N204" s="18"/>
      <c r="O204" s="18"/>
      <c r="P204" s="18"/>
      <c r="Q204" s="19">
        <f t="shared" si="83"/>
        <v>0</v>
      </c>
    </row>
    <row r="205" hidden="1">
      <c r="A205" s="20" t="s">
        <v>15</v>
      </c>
      <c r="B205" s="21">
        <v>48800.0</v>
      </c>
      <c r="C205" s="21"/>
      <c r="D205" s="21">
        <v>40000.0</v>
      </c>
      <c r="E205" s="21"/>
      <c r="F205" s="21">
        <v>32000.0</v>
      </c>
      <c r="G205" s="21">
        <f>SUM(G200:G203)</f>
        <v>28000</v>
      </c>
      <c r="H205" s="21">
        <v>40000.0</v>
      </c>
      <c r="I205" s="21">
        <v>48000.0</v>
      </c>
      <c r="J205" s="20"/>
      <c r="K205" s="20"/>
      <c r="L205" s="20"/>
      <c r="M205" s="20"/>
      <c r="N205" s="20"/>
      <c r="O205" s="20"/>
      <c r="P205" s="20"/>
      <c r="Q205" s="21">
        <f>SUM(Q200:Q203)</f>
        <v>236800</v>
      </c>
    </row>
    <row r="206" hidden="1">
      <c r="A206" s="23" t="s">
        <v>16</v>
      </c>
      <c r="B206" s="24">
        <v>11563.0</v>
      </c>
      <c r="C206" s="24"/>
      <c r="D206" s="24">
        <v>9931.0</v>
      </c>
      <c r="E206" s="24"/>
      <c r="F206" s="24" t="s">
        <v>85</v>
      </c>
      <c r="G206" s="24" t="s">
        <v>85</v>
      </c>
      <c r="H206" s="24">
        <v>11563.0</v>
      </c>
      <c r="I206" s="24"/>
      <c r="J206" s="74"/>
      <c r="K206" s="74"/>
      <c r="L206" s="74"/>
      <c r="M206" s="74"/>
      <c r="N206" s="74"/>
      <c r="O206" s="74"/>
      <c r="P206" s="74"/>
      <c r="Q206" s="75"/>
    </row>
    <row r="207" hidden="1">
      <c r="A207" s="57" t="s">
        <v>17</v>
      </c>
      <c r="B207" s="58">
        <f>B205-(B206)</f>
        <v>37237</v>
      </c>
      <c r="C207" s="58"/>
      <c r="D207" s="58">
        <f>D205-(D206)</f>
        <v>30069</v>
      </c>
      <c r="E207" s="58"/>
      <c r="F207" s="58">
        <v>32000.0</v>
      </c>
      <c r="G207" s="58">
        <f>G205</f>
        <v>28000</v>
      </c>
      <c r="H207" s="58">
        <f>H205-(H206)</f>
        <v>28437</v>
      </c>
      <c r="I207" s="58">
        <f>I204-(I206)</f>
        <v>0</v>
      </c>
      <c r="J207" s="25"/>
      <c r="K207" s="25"/>
      <c r="L207" s="25"/>
      <c r="M207" s="25"/>
      <c r="N207" s="25"/>
      <c r="O207" s="25"/>
      <c r="P207" s="25"/>
      <c r="Q207" s="26">
        <f t="shared" ref="Q207:Q209" si="85">SUM(B207:J207)</f>
        <v>155743</v>
      </c>
    </row>
    <row r="208" hidden="1">
      <c r="A208" s="27" t="s">
        <v>40</v>
      </c>
      <c r="B208" s="28" t="s">
        <v>86</v>
      </c>
      <c r="C208" s="28"/>
      <c r="D208" s="28"/>
      <c r="E208" s="28"/>
      <c r="F208" s="28" t="s">
        <v>87</v>
      </c>
      <c r="G208" s="28"/>
      <c r="H208" s="28"/>
      <c r="I208" s="28"/>
      <c r="J208" s="28"/>
      <c r="K208" s="29"/>
      <c r="L208" s="29"/>
      <c r="M208" s="29"/>
      <c r="N208" s="29"/>
      <c r="O208" s="29"/>
      <c r="P208" s="29"/>
      <c r="Q208" s="30">
        <f t="shared" si="85"/>
        <v>0</v>
      </c>
    </row>
    <row r="209" hidden="1">
      <c r="A209" s="23" t="s">
        <v>88</v>
      </c>
      <c r="B209" s="24"/>
      <c r="C209" s="24"/>
      <c r="D209" s="24"/>
      <c r="E209" s="24"/>
      <c r="F209" s="24"/>
      <c r="G209" s="24">
        <v>1000.0</v>
      </c>
      <c r="H209" s="24">
        <v>1000.0</v>
      </c>
      <c r="I209" s="24">
        <v>1000.0</v>
      </c>
      <c r="J209" s="24"/>
      <c r="K209" s="25"/>
      <c r="L209" s="25"/>
      <c r="M209" s="25"/>
      <c r="N209" s="25"/>
      <c r="O209" s="25"/>
      <c r="P209" s="25"/>
      <c r="Q209" s="26">
        <f t="shared" si="85"/>
        <v>3000</v>
      </c>
    </row>
    <row r="210" hidden="1">
      <c r="A210" s="39" t="s">
        <v>22</v>
      </c>
      <c r="B210" s="40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</row>
    <row r="211" hidden="1">
      <c r="A211" s="59" t="s">
        <v>81</v>
      </c>
      <c r="B211" s="43"/>
      <c r="C211" s="44"/>
      <c r="D211" s="44"/>
      <c r="E211" s="45"/>
      <c r="F211" s="45"/>
      <c r="G211" s="45"/>
      <c r="H211" s="45"/>
      <c r="I211" s="44"/>
      <c r="J211" s="44"/>
      <c r="K211" s="44"/>
      <c r="L211" s="44"/>
      <c r="M211" s="44"/>
      <c r="N211" s="44"/>
      <c r="O211" s="44"/>
      <c r="P211" s="44"/>
      <c r="Q211" s="44"/>
    </row>
    <row r="212" hidden="1">
      <c r="A212" s="60" t="s">
        <v>82</v>
      </c>
      <c r="B212" s="46"/>
      <c r="C212" s="45"/>
      <c r="D212" s="45"/>
      <c r="E212" s="45"/>
      <c r="F212" s="45"/>
      <c r="G212" s="45"/>
      <c r="H212" s="44"/>
      <c r="I212" s="44"/>
      <c r="J212" s="44"/>
      <c r="K212" s="44"/>
      <c r="L212" s="44"/>
      <c r="M212" s="44"/>
      <c r="N212" s="44"/>
      <c r="O212" s="44"/>
      <c r="P212" s="44"/>
      <c r="Q212" s="44"/>
    </row>
    <row r="213" hidden="1">
      <c r="A213" s="60" t="s">
        <v>83</v>
      </c>
      <c r="B213" s="43"/>
      <c r="C213" s="45"/>
      <c r="D213" s="45"/>
      <c r="E213" s="45"/>
      <c r="F213" s="45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</row>
    <row r="214" hidden="1">
      <c r="A214" s="60" t="s">
        <v>84</v>
      </c>
      <c r="B214" s="46"/>
      <c r="C214" s="45"/>
      <c r="D214" s="44"/>
      <c r="E214" s="45"/>
      <c r="F214" s="45"/>
      <c r="G214" s="44"/>
      <c r="H214" s="45"/>
      <c r="I214" s="44"/>
      <c r="J214" s="44"/>
      <c r="K214" s="44"/>
      <c r="L214" s="44"/>
      <c r="M214" s="44"/>
      <c r="N214" s="44"/>
      <c r="O214" s="44"/>
      <c r="P214" s="44"/>
      <c r="Q214" s="44"/>
    </row>
    <row r="215" hidden="1">
      <c r="A215" s="47" t="s">
        <v>23</v>
      </c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7" t="s">
        <v>24</v>
      </c>
    </row>
    <row r="216" hidden="1">
      <c r="A216" s="61" t="s">
        <v>81</v>
      </c>
      <c r="B216" s="54">
        <f>B207/3</f>
        <v>12412.33333</v>
      </c>
      <c r="C216" s="52"/>
      <c r="D216" s="62">
        <f>D207/3</f>
        <v>10023</v>
      </c>
      <c r="E216" s="52"/>
      <c r="F216" s="52">
        <f t="shared" ref="F216:G216" si="86">F207/4</f>
        <v>8000</v>
      </c>
      <c r="G216" s="62">
        <f t="shared" si="86"/>
        <v>7000</v>
      </c>
      <c r="H216" s="62">
        <f>H207/3</f>
        <v>9479</v>
      </c>
      <c r="I216" s="52">
        <f>I205/4</f>
        <v>12000</v>
      </c>
      <c r="J216" s="62"/>
      <c r="K216" s="62"/>
      <c r="L216" s="62"/>
      <c r="M216" s="62"/>
      <c r="N216" s="62"/>
      <c r="O216" s="62"/>
      <c r="P216" s="62"/>
      <c r="Q216" s="53">
        <f t="shared" ref="Q216:Q221" si="87">SUM(B216:J216)</f>
        <v>58914.33333</v>
      </c>
    </row>
    <row r="217" hidden="1">
      <c r="A217" s="63" t="s">
        <v>82</v>
      </c>
      <c r="B217" s="54" t="s">
        <v>89</v>
      </c>
      <c r="C217" s="52"/>
      <c r="D217" s="62" t="s">
        <v>89</v>
      </c>
      <c r="E217" s="52"/>
      <c r="F217" s="52">
        <f>(F207/4)-F212+1000</f>
        <v>9000</v>
      </c>
      <c r="G217" s="62">
        <f>(G207/4)-G212</f>
        <v>7000</v>
      </c>
      <c r="H217" s="62" t="s">
        <v>89</v>
      </c>
      <c r="I217" s="62">
        <f>I205/4</f>
        <v>12000</v>
      </c>
      <c r="J217" s="62"/>
      <c r="K217" s="62"/>
      <c r="L217" s="62"/>
      <c r="M217" s="62"/>
      <c r="N217" s="62"/>
      <c r="O217" s="62"/>
      <c r="P217" s="62"/>
      <c r="Q217" s="53">
        <f t="shared" si="87"/>
        <v>28000</v>
      </c>
    </row>
    <row r="218" hidden="1">
      <c r="A218" s="63" t="s">
        <v>83</v>
      </c>
      <c r="B218" s="54">
        <f>(B207/3)+1000</f>
        <v>13412.33333</v>
      </c>
      <c r="C218" s="67"/>
      <c r="D218" s="69">
        <f>D207/3</f>
        <v>10023</v>
      </c>
      <c r="E218" s="67"/>
      <c r="F218" s="67">
        <f t="shared" ref="F218:G218" si="88">(F207/4)-F213</f>
        <v>8000</v>
      </c>
      <c r="G218" s="69">
        <f t="shared" si="88"/>
        <v>7000</v>
      </c>
      <c r="H218" s="67">
        <f>H207/3</f>
        <v>9479</v>
      </c>
      <c r="I218" s="62">
        <f>I205/4</f>
        <v>12000</v>
      </c>
      <c r="J218" s="62"/>
      <c r="K218" s="62"/>
      <c r="L218" s="62"/>
      <c r="M218" s="62"/>
      <c r="N218" s="62"/>
      <c r="O218" s="62"/>
      <c r="P218" s="62"/>
      <c r="Q218" s="53">
        <f t="shared" si="87"/>
        <v>59914.33333</v>
      </c>
    </row>
    <row r="219" hidden="1">
      <c r="A219" s="63" t="s">
        <v>84</v>
      </c>
      <c r="B219" s="54">
        <v>13500.0</v>
      </c>
      <c r="C219" s="62"/>
      <c r="D219" s="62">
        <f>D207/3</f>
        <v>10023</v>
      </c>
      <c r="E219" s="62"/>
      <c r="F219" s="62">
        <f t="shared" ref="F219:G219" si="89">(F207/4)-F214</f>
        <v>8000</v>
      </c>
      <c r="G219" s="62">
        <f t="shared" si="89"/>
        <v>7000</v>
      </c>
      <c r="H219" s="62">
        <f>H207/3</f>
        <v>9479</v>
      </c>
      <c r="I219" s="52">
        <f>I205/4</f>
        <v>12000</v>
      </c>
      <c r="J219" s="62"/>
      <c r="K219" s="62"/>
      <c r="L219" s="62"/>
      <c r="M219" s="62"/>
      <c r="N219" s="62"/>
      <c r="O219" s="62"/>
      <c r="P219" s="62"/>
      <c r="Q219" s="53">
        <f t="shared" si="87"/>
        <v>60002</v>
      </c>
    </row>
    <row r="220" hidden="1">
      <c r="A220" s="63"/>
      <c r="B220" s="54"/>
      <c r="C220" s="52"/>
      <c r="D220" s="62"/>
      <c r="E220" s="62"/>
      <c r="F220" s="62"/>
      <c r="G220" s="62"/>
      <c r="H220" s="62"/>
      <c r="I220" s="52"/>
      <c r="J220" s="62"/>
      <c r="K220" s="62"/>
      <c r="L220" s="62"/>
      <c r="M220" s="62"/>
      <c r="N220" s="62"/>
      <c r="O220" s="62"/>
      <c r="P220" s="62"/>
      <c r="Q220" s="53">
        <f t="shared" si="87"/>
        <v>0</v>
      </c>
    </row>
    <row r="221" hidden="1">
      <c r="A221" s="63"/>
      <c r="B221" s="54"/>
      <c r="C221" s="52"/>
      <c r="D221" s="62"/>
      <c r="E221" s="62"/>
      <c r="F221" s="62"/>
      <c r="G221" s="62"/>
      <c r="H221" s="62"/>
      <c r="I221" s="52"/>
      <c r="J221" s="62"/>
      <c r="K221" s="62"/>
      <c r="L221" s="62"/>
      <c r="M221" s="62"/>
      <c r="N221" s="62"/>
      <c r="O221" s="62"/>
      <c r="P221" s="62"/>
      <c r="Q221" s="53">
        <f t="shared" si="87"/>
        <v>0</v>
      </c>
    </row>
    <row r="222" hidden="1"/>
    <row r="223" hidden="1">
      <c r="A223" s="1" t="s">
        <v>0</v>
      </c>
      <c r="B223" s="2" t="s">
        <v>1</v>
      </c>
      <c r="C223" s="3" t="s">
        <v>90</v>
      </c>
      <c r="D223" s="3" t="s">
        <v>3</v>
      </c>
      <c r="E223" s="3"/>
      <c r="F223" s="3" t="s">
        <v>58</v>
      </c>
      <c r="G223" s="3" t="s">
        <v>91</v>
      </c>
      <c r="H223" s="3" t="s">
        <v>6</v>
      </c>
      <c r="I223" s="4" t="s">
        <v>92</v>
      </c>
      <c r="J223" s="4" t="s">
        <v>93</v>
      </c>
      <c r="K223" s="4"/>
      <c r="L223" s="4"/>
      <c r="M223" s="4"/>
      <c r="N223" s="4"/>
      <c r="O223" s="4"/>
      <c r="P223" s="4"/>
      <c r="Q223" s="1" t="s">
        <v>0</v>
      </c>
    </row>
    <row r="224" hidden="1">
      <c r="A224" s="6" t="s">
        <v>94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8"/>
    </row>
    <row r="225" hidden="1">
      <c r="A225" s="55" t="s">
        <v>95</v>
      </c>
      <c r="B225" s="10">
        <f>B230/4</f>
        <v>12200</v>
      </c>
      <c r="C225" s="10"/>
      <c r="D225" s="10">
        <f>D230/4</f>
        <v>10000</v>
      </c>
      <c r="E225" s="10"/>
      <c r="F225" s="10">
        <v>8000.0</v>
      </c>
      <c r="G225" s="10"/>
      <c r="H225" s="10">
        <f t="shared" ref="H225:I225" si="90">H230/4</f>
        <v>10000</v>
      </c>
      <c r="I225" s="10">
        <f t="shared" si="90"/>
        <v>12000</v>
      </c>
      <c r="J225" s="12"/>
      <c r="K225" s="12"/>
      <c r="L225" s="12"/>
      <c r="M225" s="12"/>
      <c r="N225" s="12"/>
      <c r="O225" s="12"/>
      <c r="P225" s="12"/>
      <c r="Q225" s="13">
        <f>SUM(B225:J225)</f>
        <v>52200</v>
      </c>
    </row>
    <row r="226" hidden="1">
      <c r="A226" s="15" t="s">
        <v>96</v>
      </c>
      <c r="B226" s="10">
        <f>B230/4</f>
        <v>12200</v>
      </c>
      <c r="C226" s="10"/>
      <c r="D226" s="10">
        <f>D230/4</f>
        <v>10000</v>
      </c>
      <c r="E226" s="10"/>
      <c r="F226" s="10">
        <v>8000.0</v>
      </c>
      <c r="G226" s="10"/>
      <c r="H226" s="10">
        <f t="shared" ref="H226:I226" si="91">H230/4</f>
        <v>10000</v>
      </c>
      <c r="I226" s="10">
        <f t="shared" si="91"/>
        <v>12000</v>
      </c>
      <c r="J226" s="12"/>
      <c r="K226" s="12"/>
      <c r="L226" s="12"/>
      <c r="M226" s="12"/>
      <c r="N226" s="12"/>
      <c r="O226" s="12"/>
      <c r="P226" s="12"/>
      <c r="Q226" s="13">
        <f t="shared" ref="Q226:Q229" si="93">SUM(B226:I226)</f>
        <v>52200</v>
      </c>
    </row>
    <row r="227" hidden="1">
      <c r="A227" s="15" t="s">
        <v>97</v>
      </c>
      <c r="B227" s="10">
        <f>B230/4</f>
        <v>12200</v>
      </c>
      <c r="C227" s="10"/>
      <c r="D227" s="10">
        <f>D230/4</f>
        <v>10000</v>
      </c>
      <c r="E227" s="10"/>
      <c r="F227" s="10">
        <v>8000.0</v>
      </c>
      <c r="G227" s="10"/>
      <c r="H227" s="10">
        <f t="shared" ref="H227:I227" si="92">H230/4</f>
        <v>10000</v>
      </c>
      <c r="I227" s="10">
        <f t="shared" si="92"/>
        <v>12000</v>
      </c>
      <c r="J227" s="12"/>
      <c r="K227" s="12"/>
      <c r="L227" s="12"/>
      <c r="M227" s="12"/>
      <c r="N227" s="12"/>
      <c r="O227" s="12"/>
      <c r="P227" s="12"/>
      <c r="Q227" s="13">
        <f t="shared" si="93"/>
        <v>52200</v>
      </c>
    </row>
    <row r="228" hidden="1">
      <c r="A228" s="15" t="s">
        <v>98</v>
      </c>
      <c r="B228" s="16">
        <f>B230/4</f>
        <v>12200</v>
      </c>
      <c r="C228" s="16"/>
      <c r="D228" s="16">
        <f>D230/4</f>
        <v>10000</v>
      </c>
      <c r="E228" s="16"/>
      <c r="F228" s="16">
        <v>8000.0</v>
      </c>
      <c r="G228" s="16"/>
      <c r="H228" s="16">
        <f t="shared" ref="H228:I228" si="94">H230/4</f>
        <v>10000</v>
      </c>
      <c r="I228" s="16">
        <f t="shared" si="94"/>
        <v>12000</v>
      </c>
      <c r="J228" s="18"/>
      <c r="K228" s="18"/>
      <c r="L228" s="18"/>
      <c r="M228" s="18"/>
      <c r="N228" s="18"/>
      <c r="O228" s="18"/>
      <c r="P228" s="18"/>
      <c r="Q228" s="19">
        <f t="shared" si="93"/>
        <v>52200</v>
      </c>
    </row>
    <row r="229" hidden="1">
      <c r="A229" s="15"/>
      <c r="B229" s="16"/>
      <c r="C229" s="16"/>
      <c r="D229" s="16"/>
      <c r="E229" s="16"/>
      <c r="F229" s="16"/>
      <c r="G229" s="16"/>
      <c r="H229" s="16"/>
      <c r="I229" s="16"/>
      <c r="J229" s="18"/>
      <c r="K229" s="18"/>
      <c r="L229" s="18"/>
      <c r="M229" s="18"/>
      <c r="N229" s="18"/>
      <c r="O229" s="18"/>
      <c r="P229" s="18"/>
      <c r="Q229" s="19">
        <f t="shared" si="93"/>
        <v>0</v>
      </c>
    </row>
    <row r="230" hidden="1">
      <c r="A230" s="20" t="s">
        <v>15</v>
      </c>
      <c r="B230" s="21">
        <v>48800.0</v>
      </c>
      <c r="C230" s="21"/>
      <c r="D230" s="21">
        <v>40000.0</v>
      </c>
      <c r="E230" s="21"/>
      <c r="F230" s="21">
        <v>32000.0</v>
      </c>
      <c r="G230" s="21"/>
      <c r="H230" s="21">
        <v>40000.0</v>
      </c>
      <c r="I230" s="21">
        <v>48000.0</v>
      </c>
      <c r="J230" s="20"/>
      <c r="K230" s="20"/>
      <c r="L230" s="20"/>
      <c r="M230" s="20"/>
      <c r="N230" s="20"/>
      <c r="O230" s="20"/>
      <c r="P230" s="20"/>
      <c r="Q230" s="21">
        <f>SUM(Q225:Q228)</f>
        <v>208800</v>
      </c>
    </row>
    <row r="231" hidden="1">
      <c r="A231" s="23" t="s">
        <v>16</v>
      </c>
      <c r="B231" s="24">
        <v>11563.0</v>
      </c>
      <c r="C231" s="24"/>
      <c r="D231" s="24">
        <v>9931.0</v>
      </c>
      <c r="E231" s="24"/>
      <c r="F231" s="24" t="s">
        <v>85</v>
      </c>
      <c r="G231" s="24"/>
      <c r="H231" s="24">
        <v>11563.0</v>
      </c>
      <c r="I231" s="24"/>
      <c r="J231" s="74"/>
      <c r="K231" s="74"/>
      <c r="L231" s="74"/>
      <c r="M231" s="74"/>
      <c r="N231" s="74"/>
      <c r="O231" s="74"/>
      <c r="P231" s="74"/>
      <c r="Q231" s="75"/>
    </row>
    <row r="232" hidden="1">
      <c r="A232" s="57" t="s">
        <v>17</v>
      </c>
      <c r="B232" s="58">
        <f>B230-(B231)</f>
        <v>37237</v>
      </c>
      <c r="C232" s="58"/>
      <c r="D232" s="58">
        <f>D230-(D231)</f>
        <v>30069</v>
      </c>
      <c r="E232" s="58"/>
      <c r="F232" s="58">
        <v>32000.0</v>
      </c>
      <c r="G232" s="58"/>
      <c r="H232" s="58">
        <f>H230-(H231)</f>
        <v>28437</v>
      </c>
      <c r="I232" s="58">
        <f>I229-(I231)</f>
        <v>0</v>
      </c>
      <c r="J232" s="25"/>
      <c r="K232" s="25"/>
      <c r="L232" s="25"/>
      <c r="M232" s="25"/>
      <c r="N232" s="25"/>
      <c r="O232" s="25"/>
      <c r="P232" s="25"/>
      <c r="Q232" s="26">
        <f t="shared" ref="Q232:Q234" si="95">SUM(B232:J232)</f>
        <v>127743</v>
      </c>
    </row>
    <row r="233" hidden="1">
      <c r="A233" s="27" t="s">
        <v>40</v>
      </c>
      <c r="B233" s="28" t="s">
        <v>86</v>
      </c>
      <c r="C233" s="28"/>
      <c r="D233" s="28"/>
      <c r="E233" s="28"/>
      <c r="F233" s="28" t="s">
        <v>87</v>
      </c>
      <c r="G233" s="28"/>
      <c r="H233" s="28"/>
      <c r="I233" s="28"/>
      <c r="J233" s="28"/>
      <c r="K233" s="29"/>
      <c r="L233" s="29"/>
      <c r="M233" s="29"/>
      <c r="N233" s="29"/>
      <c r="O233" s="29"/>
      <c r="P233" s="29"/>
      <c r="Q233" s="30">
        <f t="shared" si="95"/>
        <v>0</v>
      </c>
    </row>
    <row r="234" hidden="1">
      <c r="A234" s="23" t="s">
        <v>88</v>
      </c>
      <c r="B234" s="24"/>
      <c r="C234" s="24"/>
      <c r="D234" s="24"/>
      <c r="E234" s="24"/>
      <c r="F234" s="24"/>
      <c r="G234" s="24"/>
      <c r="H234" s="24">
        <v>1000.0</v>
      </c>
      <c r="I234" s="24">
        <v>1000.0</v>
      </c>
      <c r="J234" s="24"/>
      <c r="K234" s="25"/>
      <c r="L234" s="25"/>
      <c r="M234" s="25"/>
      <c r="N234" s="25"/>
      <c r="O234" s="25"/>
      <c r="P234" s="25"/>
      <c r="Q234" s="26">
        <f t="shared" si="95"/>
        <v>2000</v>
      </c>
    </row>
    <row r="235" hidden="1">
      <c r="A235" s="39" t="s">
        <v>22</v>
      </c>
      <c r="B235" s="40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</row>
    <row r="236" hidden="1">
      <c r="A236" s="59" t="s">
        <v>95</v>
      </c>
      <c r="B236" s="43"/>
      <c r="C236" s="44"/>
      <c r="D236" s="44"/>
      <c r="E236" s="45"/>
      <c r="F236" s="45"/>
      <c r="G236" s="45"/>
      <c r="H236" s="45"/>
      <c r="I236" s="44"/>
      <c r="J236" s="44"/>
      <c r="K236" s="44"/>
      <c r="L236" s="44"/>
      <c r="M236" s="44"/>
      <c r="N236" s="44"/>
      <c r="O236" s="44"/>
      <c r="P236" s="44"/>
      <c r="Q236" s="44"/>
    </row>
    <row r="237" hidden="1">
      <c r="A237" s="60" t="s">
        <v>96</v>
      </c>
      <c r="B237" s="46"/>
      <c r="C237" s="45"/>
      <c r="D237" s="45"/>
      <c r="E237" s="45"/>
      <c r="F237" s="45"/>
      <c r="G237" s="45"/>
      <c r="H237" s="44"/>
      <c r="I237" s="44"/>
      <c r="J237" s="44"/>
      <c r="K237" s="44"/>
      <c r="L237" s="44"/>
      <c r="M237" s="44"/>
      <c r="N237" s="44"/>
      <c r="O237" s="44"/>
      <c r="P237" s="44"/>
      <c r="Q237" s="44"/>
    </row>
    <row r="238" hidden="1">
      <c r="A238" s="60" t="s">
        <v>97</v>
      </c>
      <c r="B238" s="43"/>
      <c r="C238" s="45"/>
      <c r="D238" s="45"/>
      <c r="E238" s="45"/>
      <c r="F238" s="45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</row>
    <row r="239" hidden="1">
      <c r="A239" s="60" t="s">
        <v>98</v>
      </c>
      <c r="B239" s="46"/>
      <c r="C239" s="45"/>
      <c r="D239" s="44"/>
      <c r="E239" s="45"/>
      <c r="F239" s="45"/>
      <c r="G239" s="44"/>
      <c r="H239" s="45"/>
      <c r="I239" s="44"/>
      <c r="J239" s="44"/>
      <c r="K239" s="44"/>
      <c r="L239" s="44"/>
      <c r="M239" s="44"/>
      <c r="N239" s="44"/>
      <c r="O239" s="44"/>
      <c r="P239" s="44"/>
      <c r="Q239" s="44"/>
    </row>
    <row r="240" hidden="1">
      <c r="A240" s="1" t="s">
        <v>0</v>
      </c>
      <c r="B240" s="2" t="s">
        <v>1</v>
      </c>
      <c r="C240" s="3" t="s">
        <v>99</v>
      </c>
      <c r="D240" s="3" t="s">
        <v>3</v>
      </c>
      <c r="E240" s="3"/>
      <c r="F240" s="3" t="s">
        <v>58</v>
      </c>
      <c r="G240" s="3" t="s">
        <v>91</v>
      </c>
      <c r="H240" s="3" t="s">
        <v>6</v>
      </c>
      <c r="I240" s="4" t="s">
        <v>92</v>
      </c>
      <c r="J240" s="4" t="s">
        <v>93</v>
      </c>
      <c r="K240" s="4"/>
      <c r="L240" s="4"/>
      <c r="M240" s="4"/>
      <c r="N240" s="4"/>
      <c r="O240" s="4"/>
      <c r="P240" s="4"/>
      <c r="Q240" s="1" t="s">
        <v>0</v>
      </c>
    </row>
    <row r="241" hidden="1">
      <c r="A241" s="47" t="s">
        <v>23</v>
      </c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7" t="s">
        <v>24</v>
      </c>
    </row>
    <row r="242" hidden="1">
      <c r="A242" s="61" t="s">
        <v>95</v>
      </c>
      <c r="B242" s="54">
        <f>B232/3+1000</f>
        <v>13412.33333</v>
      </c>
      <c r="C242" s="52"/>
      <c r="D242" s="62">
        <f>D232/3</f>
        <v>10023</v>
      </c>
      <c r="E242" s="52"/>
      <c r="F242" s="52">
        <f>F232/4</f>
        <v>8000</v>
      </c>
      <c r="G242" s="62"/>
      <c r="H242" s="62">
        <f>H232/3</f>
        <v>9479</v>
      </c>
      <c r="I242" s="52">
        <f>I230/4</f>
        <v>12000</v>
      </c>
      <c r="J242" s="62"/>
      <c r="K242" s="62"/>
      <c r="L242" s="62"/>
      <c r="M242" s="62"/>
      <c r="N242" s="62"/>
      <c r="O242" s="62"/>
      <c r="P242" s="62"/>
      <c r="Q242" s="53">
        <f t="shared" ref="Q242:Q247" si="96">SUM(B242:J242)</f>
        <v>52914.33333</v>
      </c>
    </row>
    <row r="243" hidden="1">
      <c r="A243" s="63" t="s">
        <v>96</v>
      </c>
      <c r="B243" s="54">
        <f>12500+1000</f>
        <v>13500</v>
      </c>
      <c r="C243" s="52"/>
      <c r="D243" s="62">
        <v>10000.0</v>
      </c>
      <c r="E243" s="52"/>
      <c r="F243" s="52">
        <f t="shared" ref="F243:F245" si="97">8000+2000-333</f>
        <v>9667</v>
      </c>
      <c r="G243" s="62"/>
      <c r="H243" s="62">
        <v>9500.0</v>
      </c>
      <c r="I243" s="62">
        <f>I230/4</f>
        <v>12000</v>
      </c>
      <c r="J243" s="62">
        <v>6000.0</v>
      </c>
      <c r="K243" s="62"/>
      <c r="L243" s="62"/>
      <c r="M243" s="62"/>
      <c r="N243" s="62"/>
      <c r="O243" s="62"/>
      <c r="P243" s="62"/>
      <c r="Q243" s="53">
        <f t="shared" si="96"/>
        <v>60667</v>
      </c>
    </row>
    <row r="244" hidden="1">
      <c r="A244" s="63" t="s">
        <v>97</v>
      </c>
      <c r="B244" s="54">
        <f>(B232/3)+1000</f>
        <v>13412.33333</v>
      </c>
      <c r="C244" s="67"/>
      <c r="D244" s="69">
        <f>D232/3</f>
        <v>10023</v>
      </c>
      <c r="E244" s="52"/>
      <c r="F244" s="52">
        <f t="shared" si="97"/>
        <v>9667</v>
      </c>
      <c r="G244" s="69"/>
      <c r="H244" s="67">
        <f>H232/3+(200*4)</f>
        <v>10279</v>
      </c>
      <c r="I244" s="62">
        <f>I230/4+1800</f>
        <v>13800</v>
      </c>
      <c r="J244" s="62">
        <f>6000+(125*4)</f>
        <v>6500</v>
      </c>
      <c r="K244" s="62"/>
      <c r="L244" s="62"/>
      <c r="M244" s="62"/>
      <c r="N244" s="62"/>
      <c r="O244" s="62"/>
      <c r="P244" s="62"/>
      <c r="Q244" s="53">
        <f t="shared" si="96"/>
        <v>63681.33333</v>
      </c>
    </row>
    <row r="245" hidden="1">
      <c r="A245" s="63" t="s">
        <v>98</v>
      </c>
      <c r="B245" s="54">
        <v>13500.0</v>
      </c>
      <c r="C245" s="62">
        <v>8000.0</v>
      </c>
      <c r="D245" s="62">
        <f>D232/3</f>
        <v>10023</v>
      </c>
      <c r="E245" s="62"/>
      <c r="F245" s="62">
        <f t="shared" si="97"/>
        <v>9667</v>
      </c>
      <c r="G245" s="62"/>
      <c r="H245" s="62">
        <f>10000+1500+2500+1000</f>
        <v>15000</v>
      </c>
      <c r="I245" s="52">
        <f>I230/4</f>
        <v>12000</v>
      </c>
      <c r="J245" s="62">
        <v>7000.0</v>
      </c>
      <c r="K245" s="62"/>
      <c r="L245" s="62"/>
      <c r="M245" s="62"/>
      <c r="N245" s="62"/>
      <c r="O245" s="62"/>
      <c r="P245" s="62"/>
      <c r="Q245" s="53">
        <f t="shared" si="96"/>
        <v>75190</v>
      </c>
    </row>
    <row r="246" hidden="1">
      <c r="A246" s="63" t="s">
        <v>100</v>
      </c>
      <c r="B246" s="54">
        <v>13500.0</v>
      </c>
      <c r="C246" s="62">
        <v>8000.0</v>
      </c>
      <c r="D246" s="62">
        <v>10000.0</v>
      </c>
      <c r="E246" s="62"/>
      <c r="F246" s="62">
        <f>8000+2000</f>
        <v>10000</v>
      </c>
      <c r="G246" s="62"/>
      <c r="H246" s="62">
        <v>15000.0</v>
      </c>
      <c r="I246" s="62">
        <v>12000.0</v>
      </c>
      <c r="J246" s="62">
        <f>7000+1000</f>
        <v>8000</v>
      </c>
      <c r="K246" s="62"/>
      <c r="L246" s="62"/>
      <c r="M246" s="62"/>
      <c r="N246" s="62"/>
      <c r="O246" s="62"/>
      <c r="P246" s="62"/>
      <c r="Q246" s="53">
        <f t="shared" si="96"/>
        <v>76500</v>
      </c>
    </row>
    <row r="247" hidden="1">
      <c r="A247" s="63" t="s">
        <v>101</v>
      </c>
      <c r="B247" s="54">
        <v>16500.0</v>
      </c>
      <c r="C247" s="62">
        <f t="shared" ref="C247:C248" si="98">9500+1500</f>
        <v>11000</v>
      </c>
      <c r="D247" s="62">
        <f t="shared" ref="D247:D248" si="99">10000+1700</f>
        <v>11700</v>
      </c>
      <c r="E247" s="62"/>
      <c r="F247" s="62">
        <f t="shared" ref="F247:F248" si="100">8000+1300</f>
        <v>9300</v>
      </c>
      <c r="G247" s="62">
        <f>7000+1100+600</f>
        <v>8700</v>
      </c>
      <c r="H247" s="62">
        <v>15000.0</v>
      </c>
      <c r="I247" s="62">
        <v>16800.0</v>
      </c>
      <c r="J247" s="62">
        <f t="shared" ref="J247:J248" si="101">7000+1200</f>
        <v>8200</v>
      </c>
      <c r="K247" s="62"/>
      <c r="L247" s="62"/>
      <c r="M247" s="62"/>
      <c r="N247" s="62"/>
      <c r="O247" s="62"/>
      <c r="P247" s="62"/>
      <c r="Q247" s="53">
        <f t="shared" si="96"/>
        <v>97200</v>
      </c>
    </row>
    <row r="248" hidden="1">
      <c r="B248" s="54">
        <v>16500.0</v>
      </c>
      <c r="C248" s="62">
        <f t="shared" si="98"/>
        <v>11000</v>
      </c>
      <c r="D248" s="62">
        <f t="shared" si="99"/>
        <v>11700</v>
      </c>
      <c r="E248" s="62"/>
      <c r="F248" s="62">
        <f t="shared" si="100"/>
        <v>9300</v>
      </c>
      <c r="G248" s="62">
        <f>7000+1100</f>
        <v>8100</v>
      </c>
      <c r="H248" s="62">
        <v>15000.0</v>
      </c>
      <c r="I248" s="62">
        <v>16800.0</v>
      </c>
      <c r="J248" s="62">
        <f t="shared" si="101"/>
        <v>8200</v>
      </c>
      <c r="K248" s="62"/>
      <c r="L248" s="62"/>
      <c r="M248" s="62"/>
      <c r="N248" s="62"/>
      <c r="O248" s="62"/>
      <c r="P248" s="62"/>
    </row>
    <row r="249" hidden="1"/>
    <row r="250" hidden="1">
      <c r="D250" t="str">
        <f>SUM(D244+F244+G244+#REF!+H244)</f>
        <v>#REF!</v>
      </c>
    </row>
    <row r="251" hidden="1">
      <c r="A251" s="6" t="s">
        <v>102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8"/>
    </row>
    <row r="252" hidden="1">
      <c r="A252" s="55" t="s">
        <v>103</v>
      </c>
      <c r="B252" s="10">
        <v>13500.0</v>
      </c>
      <c r="C252" s="10">
        <v>9500.0</v>
      </c>
      <c r="D252" s="10">
        <f>D257/4</f>
        <v>10000</v>
      </c>
      <c r="E252" s="10"/>
      <c r="F252" s="10">
        <v>8000.0</v>
      </c>
      <c r="G252" s="10">
        <v>7000.0</v>
      </c>
      <c r="H252" s="10">
        <v>15000.0</v>
      </c>
      <c r="I252" s="10">
        <v>14000.0</v>
      </c>
      <c r="J252" s="10">
        <v>7000.0</v>
      </c>
      <c r="K252" s="10"/>
      <c r="L252" s="10"/>
      <c r="M252" s="10"/>
      <c r="N252" s="10"/>
      <c r="O252" s="10"/>
      <c r="P252" s="10"/>
      <c r="Q252" s="13">
        <f t="shared" ref="Q252:Q255" si="102">SUM(B252:J252)</f>
        <v>84000</v>
      </c>
    </row>
    <row r="253" hidden="1">
      <c r="A253" s="15" t="s">
        <v>104</v>
      </c>
      <c r="B253" s="10">
        <v>13500.0</v>
      </c>
      <c r="C253" s="10">
        <v>9500.0</v>
      </c>
      <c r="D253" s="10">
        <f>D257/4</f>
        <v>10000</v>
      </c>
      <c r="E253" s="10"/>
      <c r="F253" s="10">
        <v>8000.0</v>
      </c>
      <c r="G253" s="10">
        <v>7000.0</v>
      </c>
      <c r="H253" s="10">
        <v>15000.0</v>
      </c>
      <c r="I253" s="10">
        <v>14000.0</v>
      </c>
      <c r="J253" s="10">
        <v>7000.0</v>
      </c>
      <c r="K253" s="10"/>
      <c r="L253" s="10"/>
      <c r="M253" s="10"/>
      <c r="N253" s="10"/>
      <c r="O253" s="10"/>
      <c r="P253" s="10"/>
      <c r="Q253" s="13">
        <f t="shared" si="102"/>
        <v>84000</v>
      </c>
    </row>
    <row r="254" hidden="1">
      <c r="A254" s="15" t="s">
        <v>105</v>
      </c>
      <c r="B254" s="10">
        <v>13500.0</v>
      </c>
      <c r="C254" s="10">
        <v>9500.0</v>
      </c>
      <c r="D254" s="10">
        <f>D257/4</f>
        <v>10000</v>
      </c>
      <c r="E254" s="10"/>
      <c r="F254" s="10">
        <v>8000.0</v>
      </c>
      <c r="G254" s="10">
        <v>7000.0</v>
      </c>
      <c r="H254" s="10">
        <v>15000.0</v>
      </c>
      <c r="I254" s="10">
        <v>14000.0</v>
      </c>
      <c r="J254" s="10">
        <v>7000.0</v>
      </c>
      <c r="K254" s="10"/>
      <c r="L254" s="10"/>
      <c r="M254" s="10"/>
      <c r="N254" s="10"/>
      <c r="O254" s="10"/>
      <c r="P254" s="10"/>
      <c r="Q254" s="13">
        <f t="shared" si="102"/>
        <v>84000</v>
      </c>
    </row>
    <row r="255" hidden="1">
      <c r="A255" s="15" t="s">
        <v>106</v>
      </c>
      <c r="B255" s="16">
        <v>13500.0</v>
      </c>
      <c r="C255" s="16">
        <v>9500.0</v>
      </c>
      <c r="D255" s="16">
        <f>D257/4</f>
        <v>10000</v>
      </c>
      <c r="E255" s="16"/>
      <c r="F255" s="16">
        <v>8000.0</v>
      </c>
      <c r="G255" s="16">
        <v>7000.0</v>
      </c>
      <c r="H255" s="16">
        <v>15000.0</v>
      </c>
      <c r="I255" s="16">
        <v>14000.0</v>
      </c>
      <c r="J255" s="16">
        <v>7000.0</v>
      </c>
      <c r="K255" s="16"/>
      <c r="L255" s="16"/>
      <c r="M255" s="16"/>
      <c r="N255" s="16"/>
      <c r="O255" s="16"/>
      <c r="P255" s="16"/>
      <c r="Q255" s="19">
        <f t="shared" si="102"/>
        <v>84000</v>
      </c>
    </row>
    <row r="256" hidden="1">
      <c r="A256" s="15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9">
        <f>SUM(B256:I256)</f>
        <v>0</v>
      </c>
    </row>
    <row r="257" hidden="1">
      <c r="A257" s="20" t="s">
        <v>15</v>
      </c>
      <c r="B257" s="21">
        <f t="shared" ref="B257:C257" si="103">SUM(B252:B256)</f>
        <v>54000</v>
      </c>
      <c r="C257" s="21">
        <f t="shared" si="103"/>
        <v>38000</v>
      </c>
      <c r="D257" s="21">
        <v>40000.0</v>
      </c>
      <c r="E257" s="21"/>
      <c r="F257" s="21">
        <f t="shared" ref="F257:J257" si="104">SUM(F252:F256)</f>
        <v>32000</v>
      </c>
      <c r="G257" s="21">
        <f t="shared" si="104"/>
        <v>28000</v>
      </c>
      <c r="H257" s="21">
        <f t="shared" si="104"/>
        <v>60000</v>
      </c>
      <c r="I257" s="21">
        <f t="shared" si="104"/>
        <v>56000</v>
      </c>
      <c r="J257" s="21">
        <f t="shared" si="104"/>
        <v>28000</v>
      </c>
      <c r="K257" s="21"/>
      <c r="L257" s="21"/>
      <c r="M257" s="21"/>
      <c r="N257" s="21"/>
      <c r="O257" s="21"/>
      <c r="P257" s="21"/>
      <c r="Q257" s="21">
        <f>SUM(Q252:Q255)</f>
        <v>336000</v>
      </c>
    </row>
    <row r="258" hidden="1">
      <c r="A258" s="27" t="s">
        <v>40</v>
      </c>
      <c r="B258" s="28"/>
      <c r="C258" s="28"/>
      <c r="D258" s="28"/>
      <c r="E258" s="28"/>
      <c r="F258" s="28"/>
      <c r="G258" s="28"/>
      <c r="H258" s="28"/>
      <c r="I258" s="28"/>
      <c r="J258" s="28"/>
      <c r="K258" s="29"/>
      <c r="L258" s="29"/>
      <c r="M258" s="29"/>
      <c r="N258" s="29"/>
      <c r="O258" s="29"/>
      <c r="P258" s="29"/>
      <c r="Q258" s="30">
        <f t="shared" ref="Q258:Q259" si="105">SUM(B258:J258)</f>
        <v>0</v>
      </c>
    </row>
    <row r="259" hidden="1">
      <c r="A259" s="23" t="s">
        <v>107</v>
      </c>
      <c r="B259" s="24"/>
      <c r="C259" s="24"/>
      <c r="D259" s="24"/>
      <c r="E259" s="24"/>
      <c r="F259" s="24"/>
      <c r="G259" s="24"/>
      <c r="H259" s="24"/>
      <c r="I259" s="24"/>
      <c r="J259" s="24"/>
      <c r="K259" s="25"/>
      <c r="L259" s="25"/>
      <c r="M259" s="25"/>
      <c r="N259" s="25"/>
      <c r="O259" s="25"/>
      <c r="P259" s="25"/>
      <c r="Q259" s="26">
        <f t="shared" si="105"/>
        <v>0</v>
      </c>
    </row>
    <row r="260" hidden="1">
      <c r="A260" s="39" t="s">
        <v>22</v>
      </c>
      <c r="B260" s="40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</row>
    <row r="261" hidden="1">
      <c r="A261" s="59" t="s">
        <v>103</v>
      </c>
      <c r="B261" s="43"/>
      <c r="C261" s="44"/>
      <c r="D261" s="44"/>
      <c r="E261" s="45"/>
      <c r="F261" s="45"/>
      <c r="G261" s="45"/>
      <c r="H261" s="45"/>
      <c r="I261" s="44"/>
      <c r="J261" s="44"/>
      <c r="K261" s="44"/>
      <c r="L261" s="44"/>
      <c r="M261" s="44"/>
      <c r="N261" s="44"/>
      <c r="O261" s="44"/>
      <c r="P261" s="44"/>
      <c r="Q261" s="44"/>
    </row>
    <row r="262" hidden="1">
      <c r="A262" s="60" t="s">
        <v>104</v>
      </c>
      <c r="B262" s="46"/>
      <c r="C262" s="45"/>
      <c r="D262" s="45">
        <v>500.0</v>
      </c>
      <c r="E262" s="45"/>
      <c r="F262" s="45"/>
      <c r="G262" s="45"/>
      <c r="H262" s="44"/>
      <c r="I262" s="44"/>
      <c r="J262" s="44"/>
      <c r="K262" s="44"/>
      <c r="L262" s="44"/>
      <c r="M262" s="44"/>
      <c r="N262" s="44"/>
      <c r="O262" s="44"/>
      <c r="P262" s="44"/>
      <c r="Q262" s="44"/>
    </row>
    <row r="263" hidden="1">
      <c r="A263" s="60" t="s">
        <v>105</v>
      </c>
      <c r="B263" s="43"/>
      <c r="C263" s="45"/>
      <c r="D263" s="45"/>
      <c r="E263" s="45"/>
      <c r="F263" s="45">
        <v>160.0</v>
      </c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</row>
    <row r="264" hidden="1">
      <c r="A264" s="60" t="s">
        <v>106</v>
      </c>
      <c r="B264" s="46"/>
      <c r="C264" s="45"/>
      <c r="D264" s="44"/>
      <c r="E264" s="45"/>
      <c r="F264" s="45">
        <v>350.0</v>
      </c>
      <c r="G264" s="44"/>
      <c r="H264" s="45"/>
      <c r="I264" s="44"/>
      <c r="J264" s="44"/>
      <c r="K264" s="44"/>
      <c r="L264" s="44"/>
      <c r="M264" s="44"/>
      <c r="N264" s="44"/>
      <c r="O264" s="44"/>
      <c r="P264" s="44"/>
      <c r="Q264" s="44"/>
    </row>
    <row r="265" hidden="1">
      <c r="A265" s="1" t="s">
        <v>0</v>
      </c>
      <c r="B265" s="2" t="s">
        <v>1</v>
      </c>
      <c r="C265" s="3" t="s">
        <v>90</v>
      </c>
      <c r="D265" s="3" t="s">
        <v>3</v>
      </c>
      <c r="E265" s="3"/>
      <c r="F265" s="3" t="s">
        <v>58</v>
      </c>
      <c r="G265" s="3" t="s">
        <v>91</v>
      </c>
      <c r="H265" s="3" t="s">
        <v>6</v>
      </c>
      <c r="I265" s="4" t="s">
        <v>92</v>
      </c>
      <c r="J265" s="4" t="s">
        <v>93</v>
      </c>
      <c r="K265" s="4"/>
      <c r="L265" s="4"/>
      <c r="M265" s="4"/>
      <c r="N265" s="4"/>
      <c r="O265" s="4"/>
      <c r="P265" s="4"/>
      <c r="Q265" s="1" t="s">
        <v>0</v>
      </c>
    </row>
    <row r="266" hidden="1">
      <c r="A266" s="47" t="s">
        <v>23</v>
      </c>
      <c r="B266" s="48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7" t="s">
        <v>24</v>
      </c>
    </row>
    <row r="267" hidden="1">
      <c r="A267" s="61" t="s">
        <v>103</v>
      </c>
      <c r="B267" s="54">
        <f t="shared" ref="B267:D267" si="106">B252-B261</f>
        <v>13500</v>
      </c>
      <c r="C267" s="52">
        <f t="shared" si="106"/>
        <v>9500</v>
      </c>
      <c r="D267" s="62">
        <f t="shared" si="106"/>
        <v>10000</v>
      </c>
      <c r="E267" s="52"/>
      <c r="F267" s="52">
        <f t="shared" ref="F267:J267" si="107">F252-F261</f>
        <v>8000</v>
      </c>
      <c r="G267" s="62">
        <f t="shared" si="107"/>
        <v>7000</v>
      </c>
      <c r="H267" s="62">
        <f t="shared" si="107"/>
        <v>15000</v>
      </c>
      <c r="I267" s="52">
        <f t="shared" si="107"/>
        <v>14000</v>
      </c>
      <c r="J267" s="62">
        <f t="shared" si="107"/>
        <v>7000</v>
      </c>
      <c r="K267" s="62"/>
      <c r="L267" s="62"/>
      <c r="M267" s="62"/>
      <c r="N267" s="62"/>
      <c r="O267" s="62"/>
      <c r="P267" s="62"/>
      <c r="Q267" s="52"/>
    </row>
    <row r="268" hidden="1">
      <c r="A268" s="63" t="s">
        <v>104</v>
      </c>
      <c r="B268" s="54">
        <f t="shared" ref="B268:D268" si="108">B253-B262</f>
        <v>13500</v>
      </c>
      <c r="C268" s="52">
        <f t="shared" si="108"/>
        <v>9500</v>
      </c>
      <c r="D268" s="62">
        <f t="shared" si="108"/>
        <v>9500</v>
      </c>
      <c r="E268" s="52"/>
      <c r="F268" s="52">
        <f t="shared" ref="F268:J268" si="109">F253-F262</f>
        <v>8000</v>
      </c>
      <c r="G268" s="62">
        <f t="shared" si="109"/>
        <v>7000</v>
      </c>
      <c r="H268" s="62">
        <f t="shared" si="109"/>
        <v>15000</v>
      </c>
      <c r="I268" s="62">
        <f t="shared" si="109"/>
        <v>14000</v>
      </c>
      <c r="J268" s="62">
        <f t="shared" si="109"/>
        <v>7000</v>
      </c>
      <c r="K268" s="62"/>
      <c r="L268" s="62"/>
      <c r="M268" s="62"/>
      <c r="N268" s="62"/>
      <c r="O268" s="62"/>
      <c r="P268" s="62"/>
      <c r="Q268" s="52"/>
    </row>
    <row r="269" hidden="1">
      <c r="A269" s="63" t="s">
        <v>105</v>
      </c>
      <c r="B269" s="54">
        <f t="shared" ref="B269:D269" si="110">B254-B263</f>
        <v>13500</v>
      </c>
      <c r="C269" s="67">
        <f t="shared" si="110"/>
        <v>9500</v>
      </c>
      <c r="D269" s="69">
        <f t="shared" si="110"/>
        <v>10000</v>
      </c>
      <c r="E269" s="52"/>
      <c r="F269" s="52">
        <f t="shared" ref="F269:J269" si="111">F254-F263</f>
        <v>7840</v>
      </c>
      <c r="G269" s="69">
        <f t="shared" si="111"/>
        <v>7000</v>
      </c>
      <c r="H269" s="67">
        <f t="shared" si="111"/>
        <v>15000</v>
      </c>
      <c r="I269" s="62">
        <f t="shared" si="111"/>
        <v>14000</v>
      </c>
      <c r="J269" s="62">
        <f t="shared" si="111"/>
        <v>7000</v>
      </c>
      <c r="K269" s="62"/>
      <c r="L269" s="62"/>
      <c r="M269" s="62"/>
      <c r="N269" s="62"/>
      <c r="O269" s="62"/>
      <c r="P269" s="62"/>
      <c r="Q269" s="52"/>
    </row>
    <row r="270" hidden="1">
      <c r="A270" s="63" t="s">
        <v>106</v>
      </c>
      <c r="B270" s="54">
        <f t="shared" ref="B270:C270" si="112">B255-B264</f>
        <v>13500</v>
      </c>
      <c r="C270" s="62">
        <f t="shared" si="112"/>
        <v>9500</v>
      </c>
      <c r="D270" s="62">
        <f>D254-D264</f>
        <v>10000</v>
      </c>
      <c r="E270" s="62"/>
      <c r="F270" s="62">
        <f t="shared" ref="F270:J270" si="113">F255-F264</f>
        <v>7650</v>
      </c>
      <c r="G270" s="62">
        <f t="shared" si="113"/>
        <v>7000</v>
      </c>
      <c r="H270" s="62">
        <f t="shared" si="113"/>
        <v>15000</v>
      </c>
      <c r="I270" s="52">
        <f t="shared" si="113"/>
        <v>14000</v>
      </c>
      <c r="J270" s="62">
        <f t="shared" si="113"/>
        <v>7000</v>
      </c>
      <c r="K270" s="62"/>
      <c r="L270" s="62"/>
      <c r="M270" s="62"/>
      <c r="N270" s="62"/>
      <c r="O270" s="62"/>
      <c r="P270" s="62"/>
      <c r="Q270" s="52"/>
    </row>
    <row r="271" hidden="1">
      <c r="A271" s="63" t="s">
        <v>108</v>
      </c>
      <c r="B271" s="54">
        <v>13500.0</v>
      </c>
      <c r="C271" s="62">
        <v>9500.0</v>
      </c>
      <c r="D271" s="62">
        <v>10000.0</v>
      </c>
      <c r="E271" s="62"/>
      <c r="F271" s="62">
        <v>8000.0</v>
      </c>
      <c r="G271" s="62">
        <v>7000.0</v>
      </c>
      <c r="H271" s="62">
        <v>15000.0</v>
      </c>
      <c r="I271" s="62">
        <v>14000.0</v>
      </c>
      <c r="J271" s="62">
        <v>7000.0</v>
      </c>
      <c r="K271" s="62"/>
      <c r="L271" s="62"/>
      <c r="M271" s="62"/>
      <c r="N271" s="62"/>
      <c r="O271" s="62"/>
      <c r="P271" s="62"/>
      <c r="Q271" s="52"/>
    </row>
    <row r="272" hidden="1">
      <c r="A272" s="63"/>
      <c r="B272" s="54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52"/>
    </row>
    <row r="273" hidden="1"/>
    <row r="274">
      <c r="A274" s="126" t="s">
        <v>0</v>
      </c>
      <c r="B274" s="127" t="s">
        <v>128</v>
      </c>
      <c r="C274" s="127" t="s">
        <v>90</v>
      </c>
      <c r="D274" s="127" t="s">
        <v>3</v>
      </c>
      <c r="E274" s="127"/>
      <c r="F274" s="127" t="s">
        <v>136</v>
      </c>
      <c r="G274" s="183" t="s">
        <v>155</v>
      </c>
      <c r="H274" s="183" t="s">
        <v>195</v>
      </c>
      <c r="I274" s="129" t="s">
        <v>174</v>
      </c>
      <c r="J274" s="128" t="s">
        <v>122</v>
      </c>
      <c r="K274" s="129" t="s">
        <v>51</v>
      </c>
      <c r="L274" s="128" t="s">
        <v>133</v>
      </c>
      <c r="M274" s="129" t="s">
        <v>6</v>
      </c>
      <c r="N274" s="129"/>
      <c r="O274" s="129"/>
      <c r="P274" s="129" t="s">
        <v>196</v>
      </c>
      <c r="Q274" s="128" t="s">
        <v>110</v>
      </c>
    </row>
    <row r="275">
      <c r="A275" s="130" t="s">
        <v>12</v>
      </c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2"/>
    </row>
    <row r="276">
      <c r="A276" s="133" t="s">
        <v>111</v>
      </c>
      <c r="B276" s="134">
        <v>16000.0</v>
      </c>
      <c r="C276" s="134">
        <v>20000.0</v>
      </c>
      <c r="D276" s="134">
        <v>20000.0</v>
      </c>
      <c r="E276" s="134"/>
      <c r="F276" s="134">
        <v>14000.0</v>
      </c>
      <c r="G276" s="134">
        <v>13000.0</v>
      </c>
      <c r="H276" s="134">
        <v>20000.0</v>
      </c>
      <c r="I276" s="134">
        <v>16800.0</v>
      </c>
      <c r="J276" s="134">
        <v>14000.0</v>
      </c>
      <c r="K276" s="134">
        <v>15000.0</v>
      </c>
      <c r="L276" s="135">
        <v>15000.0</v>
      </c>
      <c r="M276" s="134">
        <v>20000.0</v>
      </c>
      <c r="N276" s="134"/>
      <c r="O276" s="134"/>
      <c r="P276" s="134"/>
      <c r="Q276" s="136">
        <f t="shared" ref="Q276:Q279" si="114">SUM(B276:P276)</f>
        <v>183800</v>
      </c>
    </row>
    <row r="277">
      <c r="A277" s="137"/>
      <c r="B277" s="134">
        <v>16000.0</v>
      </c>
      <c r="C277" s="134">
        <v>20000.0</v>
      </c>
      <c r="D277" s="134">
        <v>20000.0</v>
      </c>
      <c r="E277" s="134"/>
      <c r="F277" s="134">
        <v>14000.0</v>
      </c>
      <c r="G277" s="134">
        <v>13000.0</v>
      </c>
      <c r="H277" s="134">
        <v>20000.0</v>
      </c>
      <c r="I277" s="134">
        <v>16800.0</v>
      </c>
      <c r="J277" s="134">
        <v>14000.0</v>
      </c>
      <c r="K277" s="134">
        <v>15000.0</v>
      </c>
      <c r="L277" s="135">
        <v>15000.0</v>
      </c>
      <c r="M277" s="134">
        <v>20000.0</v>
      </c>
      <c r="N277" s="134"/>
      <c r="O277" s="134"/>
      <c r="P277" s="134"/>
      <c r="Q277" s="136">
        <f t="shared" si="114"/>
        <v>183800</v>
      </c>
    </row>
    <row r="278">
      <c r="A278" s="137"/>
      <c r="B278" s="134">
        <v>16000.0</v>
      </c>
      <c r="C278" s="134">
        <v>20000.0</v>
      </c>
      <c r="D278" s="134">
        <v>20000.0</v>
      </c>
      <c r="E278" s="134"/>
      <c r="F278" s="134">
        <v>18000.0</v>
      </c>
      <c r="G278" s="134">
        <v>13000.0</v>
      </c>
      <c r="H278" s="134">
        <v>25000.0</v>
      </c>
      <c r="I278" s="134">
        <v>16800.0</v>
      </c>
      <c r="J278" s="134">
        <v>14000.0</v>
      </c>
      <c r="K278" s="134">
        <v>15000.0</v>
      </c>
      <c r="L278" s="135">
        <v>15000.0</v>
      </c>
      <c r="M278" s="134">
        <v>20000.0</v>
      </c>
      <c r="N278" s="134"/>
      <c r="O278" s="134"/>
      <c r="P278" s="134"/>
      <c r="Q278" s="136">
        <f t="shared" si="114"/>
        <v>192800</v>
      </c>
    </row>
    <row r="279">
      <c r="A279" s="138"/>
      <c r="B279" s="134">
        <v>16000.0</v>
      </c>
      <c r="C279" s="134">
        <v>20000.0</v>
      </c>
      <c r="D279" s="134">
        <v>20000.0</v>
      </c>
      <c r="E279" s="134"/>
      <c r="F279" s="134">
        <v>18000.0</v>
      </c>
      <c r="G279" s="134">
        <v>18000.0</v>
      </c>
      <c r="H279" s="134">
        <v>25000.0</v>
      </c>
      <c r="I279" s="134">
        <v>16800.0</v>
      </c>
      <c r="J279" s="134">
        <v>14000.0</v>
      </c>
      <c r="K279" s="134">
        <v>15000.0</v>
      </c>
      <c r="L279" s="135">
        <v>15000.0</v>
      </c>
      <c r="M279" s="134">
        <v>20000.0</v>
      </c>
      <c r="N279" s="134"/>
      <c r="O279" s="134"/>
      <c r="P279" s="134"/>
      <c r="Q279" s="139">
        <f t="shared" si="114"/>
        <v>197800</v>
      </c>
      <c r="S279">
        <f>SUM(B279,D279,F279,G279,H279,I279,J279)</f>
        <v>127800</v>
      </c>
      <c r="T279">
        <f>45-15</f>
        <v>30</v>
      </c>
    </row>
    <row r="280">
      <c r="A280" s="140" t="s">
        <v>113</v>
      </c>
      <c r="B280" s="141">
        <f t="shared" ref="B280:D280" si="115">SUM(B276:B279)</f>
        <v>64000</v>
      </c>
      <c r="C280" s="141">
        <f t="shared" si="115"/>
        <v>80000</v>
      </c>
      <c r="D280" s="141">
        <f t="shared" si="115"/>
        <v>80000</v>
      </c>
      <c r="E280" s="141"/>
      <c r="F280" s="141">
        <f t="shared" ref="F280:M280" si="116">SUM(F276:F279)</f>
        <v>64000</v>
      </c>
      <c r="G280" s="141">
        <f t="shared" si="116"/>
        <v>57000</v>
      </c>
      <c r="H280" s="141">
        <f t="shared" si="116"/>
        <v>90000</v>
      </c>
      <c r="I280" s="141">
        <f t="shared" si="116"/>
        <v>67200</v>
      </c>
      <c r="J280" s="141">
        <f t="shared" si="116"/>
        <v>56000</v>
      </c>
      <c r="K280" s="141">
        <f t="shared" si="116"/>
        <v>60000</v>
      </c>
      <c r="L280" s="141">
        <f t="shared" si="116"/>
        <v>60000</v>
      </c>
      <c r="M280" s="141">
        <f t="shared" si="116"/>
        <v>80000</v>
      </c>
      <c r="N280" s="141"/>
      <c r="O280" s="141"/>
      <c r="P280" s="141">
        <f t="shared" ref="P280:Q280" si="117">SUM(P276:P279)</f>
        <v>0</v>
      </c>
      <c r="Q280" s="141">
        <f t="shared" si="117"/>
        <v>758200</v>
      </c>
    </row>
    <row r="281">
      <c r="A281" s="142"/>
      <c r="B281" s="143" t="s">
        <v>115</v>
      </c>
      <c r="C281" s="184" t="s">
        <v>114</v>
      </c>
      <c r="D281" s="143" t="s">
        <v>114</v>
      </c>
      <c r="E281" s="143"/>
      <c r="F281" s="143" t="s">
        <v>115</v>
      </c>
      <c r="G281" s="143" t="s">
        <v>115</v>
      </c>
      <c r="H281" s="143" t="s">
        <v>114</v>
      </c>
      <c r="I281" s="184" t="s">
        <v>115</v>
      </c>
      <c r="J281" s="144" t="s">
        <v>115</v>
      </c>
      <c r="K281" s="144" t="s">
        <v>115</v>
      </c>
      <c r="L281" s="185" t="s">
        <v>114</v>
      </c>
      <c r="M281" s="185" t="s">
        <v>114</v>
      </c>
      <c r="N281" s="185"/>
      <c r="O281" s="185"/>
      <c r="P281" s="185" t="s">
        <v>115</v>
      </c>
      <c r="Q281" s="145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</row>
    <row r="282">
      <c r="A282" s="142"/>
      <c r="B282" s="146"/>
      <c r="C282" s="147"/>
      <c r="D282" s="146"/>
      <c r="E282" s="147"/>
      <c r="F282" s="147"/>
      <c r="G282" s="146"/>
      <c r="H282" s="146"/>
      <c r="I282" s="148"/>
      <c r="J282" s="145"/>
      <c r="K282" s="145"/>
      <c r="L282" s="145"/>
      <c r="M282" s="145"/>
      <c r="N282" s="145"/>
      <c r="O282" s="145"/>
      <c r="P282" s="145"/>
      <c r="Q282" s="145"/>
    </row>
    <row r="283">
      <c r="A283" s="126" t="s">
        <v>0</v>
      </c>
      <c r="B283" s="127" t="s">
        <v>128</v>
      </c>
      <c r="C283" s="127" t="s">
        <v>90</v>
      </c>
      <c r="D283" s="127" t="s">
        <v>3</v>
      </c>
      <c r="E283" s="127"/>
      <c r="F283" s="127" t="s">
        <v>136</v>
      </c>
      <c r="G283" s="183" t="s">
        <v>155</v>
      </c>
      <c r="H283" s="183" t="s">
        <v>195</v>
      </c>
      <c r="I283" s="129" t="s">
        <v>174</v>
      </c>
      <c r="J283" s="128" t="s">
        <v>122</v>
      </c>
      <c r="K283" s="129" t="s">
        <v>51</v>
      </c>
      <c r="L283" s="128" t="s">
        <v>133</v>
      </c>
      <c r="M283" s="129" t="s">
        <v>6</v>
      </c>
      <c r="N283" s="129"/>
      <c r="O283" s="129"/>
      <c r="P283" s="129" t="s">
        <v>196</v>
      </c>
      <c r="Q283" s="128" t="s">
        <v>110</v>
      </c>
    </row>
    <row r="284">
      <c r="A284" s="130" t="s">
        <v>197</v>
      </c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2"/>
    </row>
    <row r="285">
      <c r="A285" s="149" t="s">
        <v>116</v>
      </c>
      <c r="B285" s="150"/>
      <c r="C285" s="150"/>
      <c r="D285" s="151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2"/>
    </row>
    <row r="286">
      <c r="A286" s="149" t="s">
        <v>40</v>
      </c>
      <c r="B286" s="151">
        <f>8*B290</f>
        <v>2666.666667</v>
      </c>
      <c r="C286" s="150"/>
      <c r="D286" s="150"/>
      <c r="E286" s="150"/>
      <c r="F286" s="150">
        <f t="shared" ref="F286:G286" si="118">2*F290</f>
        <v>750</v>
      </c>
      <c r="G286" s="150">
        <f t="shared" si="118"/>
        <v>750</v>
      </c>
      <c r="H286" s="150"/>
      <c r="I286" s="150"/>
      <c r="J286" s="150"/>
      <c r="K286" s="150"/>
      <c r="L286" s="150"/>
      <c r="M286" s="150"/>
      <c r="N286" s="150"/>
      <c r="O286" s="150"/>
      <c r="P286" s="150"/>
      <c r="Q286" s="152">
        <f>SUM(B286:J286)</f>
        <v>4166.666667</v>
      </c>
    </row>
    <row r="287">
      <c r="A287" s="153" t="s">
        <v>198</v>
      </c>
      <c r="B287" s="150"/>
      <c r="C287" s="151">
        <v>12000.0</v>
      </c>
      <c r="D287" s="150"/>
      <c r="E287" s="150"/>
      <c r="F287" s="150"/>
      <c r="G287" s="150"/>
      <c r="H287" s="151">
        <v>12000.0</v>
      </c>
      <c r="I287" s="150"/>
      <c r="J287" s="150"/>
      <c r="K287" s="150"/>
      <c r="L287" s="150"/>
      <c r="M287" s="151">
        <v>12000.0</v>
      </c>
      <c r="N287" s="150"/>
      <c r="O287" s="150"/>
      <c r="P287" s="150"/>
      <c r="Q287" s="152">
        <f>SUM(B287:K287)</f>
        <v>24000</v>
      </c>
    </row>
    <row r="288">
      <c r="A288" s="153" t="s">
        <v>149</v>
      </c>
      <c r="B288" s="151">
        <v>16000.0</v>
      </c>
      <c r="C288" s="151">
        <v>20000.0</v>
      </c>
      <c r="D288" s="150"/>
      <c r="E288" s="150"/>
      <c r="F288" s="150"/>
      <c r="G288" s="150"/>
      <c r="H288" s="151">
        <v>20000.0</v>
      </c>
      <c r="I288" s="151">
        <v>7000.0</v>
      </c>
      <c r="J288" s="151">
        <v>14000.0</v>
      </c>
      <c r="K288" s="150"/>
      <c r="L288" s="151"/>
      <c r="M288" s="151">
        <v>20000.0</v>
      </c>
      <c r="N288" s="150"/>
      <c r="O288" s="150"/>
      <c r="P288" s="150"/>
      <c r="Q288" s="152"/>
    </row>
    <row r="289">
      <c r="A289" s="154" t="s">
        <v>118</v>
      </c>
      <c r="B289" s="155">
        <f>B276+B286+B288</f>
        <v>34666.66667</v>
      </c>
      <c r="C289" s="155">
        <f>C276+C286+C288+C287</f>
        <v>52000</v>
      </c>
      <c r="D289" s="155">
        <f>D276+D287+D286-D285</f>
        <v>20000</v>
      </c>
      <c r="E289" s="155"/>
      <c r="F289" s="155">
        <f>F279+F286</f>
        <v>18750</v>
      </c>
      <c r="G289" s="155">
        <f>G279</f>
        <v>18000</v>
      </c>
      <c r="H289" s="155">
        <f t="shared" ref="H289:I289" si="119">H279+H287+H288</f>
        <v>57000</v>
      </c>
      <c r="I289" s="155">
        <f t="shared" si="119"/>
        <v>23800</v>
      </c>
      <c r="J289" s="155">
        <f>J279+J288</f>
        <v>28000</v>
      </c>
      <c r="K289" s="155">
        <f t="shared" ref="K289:L289" si="120">K279</f>
        <v>15000</v>
      </c>
      <c r="L289" s="155">
        <f t="shared" si="120"/>
        <v>15000</v>
      </c>
      <c r="M289" s="155">
        <f>M276+M288+M287</f>
        <v>52000</v>
      </c>
      <c r="N289" s="155"/>
      <c r="O289" s="155"/>
      <c r="P289" s="155" t="str">
        <f>P276</f>
        <v/>
      </c>
      <c r="Q289" s="156">
        <f>SUM(B289:P289)</f>
        <v>334216.6667</v>
      </c>
    </row>
    <row r="290">
      <c r="A290" s="157" t="s">
        <v>138</v>
      </c>
      <c r="B290" s="158">
        <f t="shared" ref="B290:D290" si="121">B279/6/8</f>
        <v>333.3333333</v>
      </c>
      <c r="C290" s="158">
        <f t="shared" si="121"/>
        <v>416.6666667</v>
      </c>
      <c r="D290" s="158">
        <f t="shared" si="121"/>
        <v>416.6666667</v>
      </c>
      <c r="E290" s="158"/>
      <c r="F290" s="158">
        <f t="shared" ref="F290:H290" si="122">F279/6/8</f>
        <v>375</v>
      </c>
      <c r="G290" s="158">
        <f t="shared" si="122"/>
        <v>375</v>
      </c>
      <c r="H290" s="158">
        <f t="shared" si="122"/>
        <v>520.8333333</v>
      </c>
      <c r="I290" s="158">
        <f>I279/5/8</f>
        <v>420</v>
      </c>
      <c r="J290" s="158">
        <f t="shared" ref="J290:M290" si="123">J279/6/8</f>
        <v>291.6666667</v>
      </c>
      <c r="K290" s="158">
        <f t="shared" si="123"/>
        <v>312.5</v>
      </c>
      <c r="L290" s="158">
        <f t="shared" si="123"/>
        <v>312.5</v>
      </c>
      <c r="M290" s="158">
        <f t="shared" si="123"/>
        <v>416.6666667</v>
      </c>
      <c r="N290" s="159"/>
      <c r="O290" s="159"/>
      <c r="P290" s="159">
        <f>P279/6/8</f>
        <v>0</v>
      </c>
      <c r="Q290" s="122"/>
    </row>
    <row r="291">
      <c r="A291" s="126" t="s">
        <v>0</v>
      </c>
      <c r="B291" s="127" t="s">
        <v>128</v>
      </c>
      <c r="C291" s="127" t="s">
        <v>90</v>
      </c>
      <c r="D291" s="127" t="s">
        <v>3</v>
      </c>
      <c r="E291" s="127"/>
      <c r="F291" s="127" t="s">
        <v>136</v>
      </c>
      <c r="G291" s="183" t="s">
        <v>155</v>
      </c>
      <c r="H291" s="183" t="s">
        <v>195</v>
      </c>
      <c r="I291" s="129" t="s">
        <v>174</v>
      </c>
      <c r="J291" s="128" t="s">
        <v>122</v>
      </c>
      <c r="K291" s="129" t="s">
        <v>51</v>
      </c>
      <c r="L291" s="128" t="s">
        <v>133</v>
      </c>
      <c r="M291" s="129" t="s">
        <v>6</v>
      </c>
      <c r="N291" s="129"/>
      <c r="O291" s="129"/>
      <c r="P291" s="129" t="s">
        <v>196</v>
      </c>
      <c r="Q291" s="128" t="s">
        <v>110</v>
      </c>
    </row>
    <row r="292">
      <c r="A292" s="130" t="s">
        <v>199</v>
      </c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2"/>
    </row>
    <row r="293">
      <c r="A293" s="160" t="s">
        <v>116</v>
      </c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2"/>
    </row>
    <row r="294">
      <c r="A294" s="149" t="s">
        <v>40</v>
      </c>
      <c r="B294" s="150"/>
      <c r="C294" s="150">
        <f>3*C290</f>
        <v>1250</v>
      </c>
      <c r="D294" s="151"/>
      <c r="E294" s="150"/>
      <c r="F294" s="150">
        <f>2*F290</f>
        <v>750</v>
      </c>
      <c r="G294" s="150">
        <f>3*G290</f>
        <v>1125</v>
      </c>
      <c r="H294" s="150"/>
      <c r="I294" s="150"/>
      <c r="J294" s="150"/>
      <c r="K294" s="150"/>
      <c r="L294" s="150"/>
      <c r="M294" s="150"/>
      <c r="N294" s="150"/>
      <c r="O294" s="150"/>
      <c r="P294" s="150"/>
      <c r="Q294" s="152">
        <f>SUM(B294:K294)</f>
        <v>3125</v>
      </c>
    </row>
    <row r="295">
      <c r="A295" s="153" t="s">
        <v>200</v>
      </c>
      <c r="B295" s="150"/>
      <c r="C295" s="151">
        <v>2000.0</v>
      </c>
      <c r="D295" s="150"/>
      <c r="E295" s="151"/>
      <c r="F295" s="151">
        <v>3000.0</v>
      </c>
      <c r="G295" s="151">
        <v>2000.0</v>
      </c>
      <c r="H295" s="150"/>
      <c r="I295" s="150"/>
      <c r="J295" s="150"/>
      <c r="K295" s="150"/>
      <c r="L295" s="150"/>
      <c r="M295" s="150"/>
      <c r="N295" s="150"/>
      <c r="O295" s="150"/>
      <c r="P295" s="150"/>
      <c r="Q295" s="152">
        <f>SUM(B295:J295)</f>
        <v>7000</v>
      </c>
    </row>
    <row r="296">
      <c r="A296" s="153" t="s">
        <v>119</v>
      </c>
      <c r="B296" s="150"/>
      <c r="C296" s="150"/>
      <c r="D296" s="150"/>
      <c r="E296" s="150"/>
      <c r="F296" s="150"/>
      <c r="G296" s="151">
        <v>13000.0</v>
      </c>
      <c r="H296" s="150"/>
      <c r="I296" s="150"/>
      <c r="J296" s="151">
        <f>J279*2</f>
        <v>28000</v>
      </c>
      <c r="K296" s="150"/>
      <c r="L296" s="150"/>
      <c r="M296" s="150"/>
      <c r="N296" s="150"/>
      <c r="O296" s="150"/>
      <c r="P296" s="150"/>
      <c r="Q296" s="152"/>
    </row>
    <row r="297">
      <c r="A297" s="154" t="s">
        <v>118</v>
      </c>
      <c r="B297" s="155">
        <f>B277+B294</f>
        <v>16000</v>
      </c>
      <c r="C297" s="155">
        <f>C279-C293+C294+C295</f>
        <v>23250</v>
      </c>
      <c r="D297" s="155">
        <f>D276-D293+D294+D295</f>
        <v>20000</v>
      </c>
      <c r="E297" s="155"/>
      <c r="F297" s="155">
        <f>F276+F294+F295</f>
        <v>17750</v>
      </c>
      <c r="G297" s="155">
        <f>G279+H294+G296+G294+G295</f>
        <v>34125</v>
      </c>
      <c r="H297" s="155">
        <f>H276</f>
        <v>20000</v>
      </c>
      <c r="I297" s="155">
        <f>I279-I293+I294+I295</f>
        <v>16800</v>
      </c>
      <c r="J297" s="155">
        <f>J276+J294+J296</f>
        <v>42000</v>
      </c>
      <c r="K297" s="155">
        <f t="shared" ref="K297:M297" si="124">K276+K294+K295</f>
        <v>15000</v>
      </c>
      <c r="L297" s="155">
        <f t="shared" si="124"/>
        <v>15000</v>
      </c>
      <c r="M297" s="155">
        <f t="shared" si="124"/>
        <v>20000</v>
      </c>
      <c r="N297" s="155"/>
      <c r="O297" s="155"/>
      <c r="P297" s="155"/>
      <c r="Q297" s="156">
        <f>SUM(B297:P297)</f>
        <v>239925</v>
      </c>
    </row>
    <row r="298">
      <c r="A298" s="126" t="s">
        <v>0</v>
      </c>
      <c r="B298" s="127"/>
      <c r="C298" s="127" t="s">
        <v>90</v>
      </c>
      <c r="D298" s="127" t="s">
        <v>3</v>
      </c>
      <c r="E298" s="127"/>
      <c r="F298" s="127" t="s">
        <v>136</v>
      </c>
      <c r="G298" s="183" t="s">
        <v>155</v>
      </c>
      <c r="H298" s="183" t="s">
        <v>195</v>
      </c>
      <c r="I298" s="129" t="s">
        <v>174</v>
      </c>
      <c r="J298" s="128" t="s">
        <v>122</v>
      </c>
      <c r="K298" s="129" t="s">
        <v>51</v>
      </c>
      <c r="L298" s="128" t="s">
        <v>133</v>
      </c>
      <c r="M298" s="129" t="s">
        <v>6</v>
      </c>
      <c r="N298" s="129"/>
      <c r="O298" s="129"/>
      <c r="P298" s="129" t="s">
        <v>196</v>
      </c>
      <c r="Q298" s="128" t="s">
        <v>110</v>
      </c>
    </row>
    <row r="299">
      <c r="A299" s="130" t="s">
        <v>201</v>
      </c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2"/>
    </row>
    <row r="300">
      <c r="A300" s="149" t="s">
        <v>116</v>
      </c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2"/>
    </row>
    <row r="301">
      <c r="A301" s="149" t="s">
        <v>40</v>
      </c>
      <c r="B301" s="150"/>
      <c r="C301" s="151">
        <v>1500.0</v>
      </c>
      <c r="D301" s="151">
        <v>3000.0</v>
      </c>
      <c r="E301" s="151"/>
      <c r="F301" s="151">
        <v>2400.0</v>
      </c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2">
        <f>SUM(B301:L301)</f>
        <v>6900</v>
      </c>
    </row>
    <row r="302">
      <c r="A302" s="149" t="s">
        <v>141</v>
      </c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1"/>
      <c r="N302" s="150"/>
      <c r="O302" s="150"/>
      <c r="P302" s="150"/>
      <c r="Q302" s="152">
        <f>SUM(B302:J302)</f>
        <v>0</v>
      </c>
    </row>
    <row r="303">
      <c r="A303" s="153" t="s">
        <v>119</v>
      </c>
      <c r="B303" s="161"/>
      <c r="C303" s="179"/>
      <c r="D303" s="179"/>
      <c r="E303" s="179"/>
      <c r="F303" s="179">
        <v>28000.0</v>
      </c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</row>
    <row r="304">
      <c r="A304" s="154" t="s">
        <v>118</v>
      </c>
      <c r="B304" s="155"/>
      <c r="C304" s="155">
        <f>C279+C301+C303</f>
        <v>21500</v>
      </c>
      <c r="D304" s="155">
        <f>D279+D301-D300+D303</f>
        <v>23000</v>
      </c>
      <c r="E304" s="186"/>
      <c r="F304" s="186">
        <f>18000+F303+F301</f>
        <v>48400</v>
      </c>
      <c r="G304" s="155">
        <f>G279-G300+G301+G302</f>
        <v>18000</v>
      </c>
      <c r="H304" s="155">
        <f>H279+H301</f>
        <v>25000</v>
      </c>
      <c r="I304" s="155"/>
      <c r="J304" s="155">
        <f t="shared" ref="J304:K304" si="125">J279+J301+J302</f>
        <v>14000</v>
      </c>
      <c r="K304" s="155">
        <f t="shared" si="125"/>
        <v>15000</v>
      </c>
      <c r="L304" s="155">
        <f>L278+L301+L302</f>
        <v>15000</v>
      </c>
      <c r="M304" s="155">
        <f>M279+M301+M302</f>
        <v>20000</v>
      </c>
      <c r="N304" s="155"/>
      <c r="O304" s="155"/>
      <c r="P304" s="155"/>
      <c r="Q304" s="156">
        <f>SUM(B304:P304)</f>
        <v>199900</v>
      </c>
    </row>
    <row r="305">
      <c r="A305" s="126" t="s">
        <v>0</v>
      </c>
      <c r="B305" s="127"/>
      <c r="C305" s="127" t="s">
        <v>90</v>
      </c>
      <c r="D305" s="127" t="s">
        <v>3</v>
      </c>
      <c r="E305" s="127"/>
      <c r="F305" s="127" t="s">
        <v>136</v>
      </c>
      <c r="G305" s="183" t="s">
        <v>155</v>
      </c>
      <c r="H305" s="183" t="s">
        <v>195</v>
      </c>
      <c r="I305" s="129"/>
      <c r="J305" s="129" t="s">
        <v>202</v>
      </c>
      <c r="K305" s="129" t="s">
        <v>51</v>
      </c>
      <c r="L305" s="128" t="s">
        <v>133</v>
      </c>
      <c r="M305" s="129" t="s">
        <v>6</v>
      </c>
      <c r="N305" s="129"/>
      <c r="O305" s="129"/>
      <c r="P305" s="129" t="s">
        <v>196</v>
      </c>
      <c r="Q305" s="128" t="s">
        <v>110</v>
      </c>
    </row>
    <row r="306">
      <c r="A306" s="130" t="s">
        <v>203</v>
      </c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2"/>
    </row>
    <row r="307">
      <c r="A307" s="149" t="s">
        <v>116</v>
      </c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2"/>
    </row>
    <row r="308">
      <c r="A308" s="149" t="s">
        <v>40</v>
      </c>
      <c r="B308" s="150"/>
      <c r="C308" s="151"/>
      <c r="D308" s="150">
        <f>2*D321</f>
        <v>1041.666667</v>
      </c>
      <c r="E308" s="151"/>
      <c r="F308" s="151"/>
      <c r="G308" s="151">
        <f>5*G321</f>
        <v>1875</v>
      </c>
      <c r="H308" s="150"/>
      <c r="I308" s="150"/>
      <c r="J308" s="150"/>
      <c r="K308" s="150"/>
      <c r="L308" s="150"/>
      <c r="M308" s="150"/>
      <c r="N308" s="150"/>
      <c r="O308" s="150"/>
      <c r="P308" s="150"/>
      <c r="Q308" s="152">
        <f>SUM(B308:K308)</f>
        <v>2916.666667</v>
      </c>
    </row>
    <row r="309">
      <c r="A309" s="149" t="s">
        <v>117</v>
      </c>
      <c r="B309" s="162"/>
      <c r="C309" s="150"/>
      <c r="D309" s="180"/>
      <c r="E309" s="164"/>
      <c r="F309" s="164"/>
      <c r="G309" s="150"/>
      <c r="H309" s="180"/>
      <c r="I309" s="164"/>
      <c r="J309" s="163"/>
      <c r="K309" s="163"/>
      <c r="L309" s="150"/>
      <c r="M309" s="163"/>
      <c r="N309" s="163"/>
      <c r="O309" s="163"/>
      <c r="P309" s="163"/>
      <c r="Q309" s="165">
        <f>SUM(B309:J309)</f>
        <v>0</v>
      </c>
    </row>
    <row r="310">
      <c r="A310" s="153" t="s">
        <v>119</v>
      </c>
      <c r="B310" s="166"/>
      <c r="C310" s="166"/>
      <c r="D310" s="181"/>
      <c r="E310" s="187"/>
      <c r="F310" s="187" t="s">
        <v>43</v>
      </c>
      <c r="G310" s="181">
        <v>18000.0</v>
      </c>
      <c r="H310" s="166"/>
      <c r="I310" s="166"/>
      <c r="J310" s="166"/>
      <c r="K310" s="166"/>
      <c r="L310" s="166"/>
      <c r="M310" s="166"/>
      <c r="N310" s="187"/>
      <c r="O310" s="187"/>
      <c r="P310" s="187" t="s">
        <v>43</v>
      </c>
      <c r="Q310" s="167"/>
    </row>
    <row r="311">
      <c r="A311" s="168" t="s">
        <v>118</v>
      </c>
      <c r="B311" s="170"/>
      <c r="C311" s="169">
        <f>C279+C308+C309+C310</f>
        <v>20000</v>
      </c>
      <c r="D311" s="171">
        <f>25000+D308</f>
        <v>26041.66667</v>
      </c>
      <c r="E311" s="169"/>
      <c r="F311" s="169"/>
      <c r="G311" s="170">
        <f>G279-G307+G308+G309</f>
        <v>19875</v>
      </c>
      <c r="H311" s="169">
        <f>H279+H308+H309+H310</f>
        <v>25000</v>
      </c>
      <c r="I311" s="170"/>
      <c r="J311" s="169">
        <f t="shared" ref="J311:M311" si="126">J279+J308+J309+J310</f>
        <v>14000</v>
      </c>
      <c r="K311" s="169">
        <f t="shared" si="126"/>
        <v>15000</v>
      </c>
      <c r="L311" s="170">
        <f t="shared" si="126"/>
        <v>15000</v>
      </c>
      <c r="M311" s="169">
        <f t="shared" si="126"/>
        <v>20000</v>
      </c>
      <c r="N311" s="171"/>
      <c r="O311" s="171"/>
      <c r="P311" s="171"/>
      <c r="Q311" s="182">
        <f>SUM(B311:P311)</f>
        <v>154916.6667</v>
      </c>
    </row>
    <row r="312">
      <c r="A312" s="188"/>
      <c r="B312" s="189"/>
      <c r="C312" s="189"/>
      <c r="D312" s="189"/>
      <c r="E312" s="189"/>
      <c r="F312" s="189"/>
      <c r="G312" s="190"/>
      <c r="H312" s="190"/>
      <c r="I312" s="191"/>
      <c r="J312" s="191"/>
      <c r="K312" s="191"/>
      <c r="L312" s="192"/>
      <c r="M312" s="191"/>
      <c r="N312" s="191"/>
      <c r="O312" s="191"/>
      <c r="P312" s="191"/>
      <c r="Q312" s="192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1"/>
    </row>
    <row r="313">
      <c r="A313" s="193"/>
      <c r="B313" s="191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1"/>
    </row>
    <row r="314">
      <c r="A314" s="126" t="s">
        <v>0</v>
      </c>
      <c r="B314" s="127"/>
      <c r="C314" s="127" t="s">
        <v>90</v>
      </c>
      <c r="D314" s="127" t="s">
        <v>3</v>
      </c>
      <c r="E314" s="127"/>
      <c r="F314" s="127" t="s">
        <v>136</v>
      </c>
      <c r="G314" s="183" t="s">
        <v>155</v>
      </c>
      <c r="H314" s="183" t="s">
        <v>195</v>
      </c>
      <c r="I314" s="129"/>
      <c r="J314" s="129" t="s">
        <v>202</v>
      </c>
      <c r="K314" s="129" t="s">
        <v>51</v>
      </c>
      <c r="L314" s="128" t="s">
        <v>133</v>
      </c>
      <c r="M314" s="129" t="s">
        <v>6</v>
      </c>
      <c r="N314" s="129"/>
      <c r="O314" s="129"/>
      <c r="P314" s="129" t="s">
        <v>163</v>
      </c>
      <c r="Q314" s="128" t="s">
        <v>110</v>
      </c>
    </row>
    <row r="315">
      <c r="A315" s="130" t="s">
        <v>124</v>
      </c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2"/>
    </row>
    <row r="316">
      <c r="A316" s="133" t="s">
        <v>111</v>
      </c>
      <c r="B316" s="134"/>
      <c r="C316" s="134">
        <v>25000.0</v>
      </c>
      <c r="D316" s="134">
        <v>25000.0</v>
      </c>
      <c r="E316" s="134"/>
      <c r="F316" s="134">
        <v>18000.0</v>
      </c>
      <c r="G316" s="134">
        <v>18000.0</v>
      </c>
      <c r="H316" s="134">
        <v>37500.0</v>
      </c>
      <c r="I316" s="134"/>
      <c r="J316" s="134">
        <v>14000.0</v>
      </c>
      <c r="K316" s="134">
        <v>18000.0</v>
      </c>
      <c r="L316" s="134">
        <v>18000.0</v>
      </c>
      <c r="M316" s="134">
        <v>25000.0</v>
      </c>
      <c r="N316" s="134"/>
      <c r="O316" s="134"/>
      <c r="P316" s="134">
        <v>18000.0</v>
      </c>
      <c r="Q316" s="136">
        <f t="shared" ref="Q316:Q319" si="127">SUM(B316:P316)</f>
        <v>216500</v>
      </c>
    </row>
    <row r="317">
      <c r="A317" s="137"/>
      <c r="B317" s="134"/>
      <c r="C317" s="134">
        <v>25000.0</v>
      </c>
      <c r="D317" s="134">
        <v>25000.0</v>
      </c>
      <c r="E317" s="134"/>
      <c r="F317" s="134">
        <v>18000.0</v>
      </c>
      <c r="G317" s="134">
        <v>18000.0</v>
      </c>
      <c r="H317" s="134">
        <v>37500.0</v>
      </c>
      <c r="I317" s="134"/>
      <c r="J317" s="134">
        <v>14000.0</v>
      </c>
      <c r="K317" s="134">
        <v>18000.0</v>
      </c>
      <c r="L317" s="134">
        <v>18000.0</v>
      </c>
      <c r="M317" s="134">
        <v>25000.0</v>
      </c>
      <c r="N317" s="134"/>
      <c r="O317" s="134"/>
      <c r="P317" s="134"/>
      <c r="Q317" s="136">
        <f t="shared" si="127"/>
        <v>198500</v>
      </c>
    </row>
    <row r="318">
      <c r="A318" s="137"/>
      <c r="B318" s="134"/>
      <c r="C318" s="134">
        <v>25000.0</v>
      </c>
      <c r="D318" s="134">
        <v>25000.0</v>
      </c>
      <c r="E318" s="134"/>
      <c r="F318" s="134">
        <v>18000.0</v>
      </c>
      <c r="G318" s="134">
        <v>18000.0</v>
      </c>
      <c r="H318" s="134">
        <v>37500.0</v>
      </c>
      <c r="I318" s="134">
        <v>18000.0</v>
      </c>
      <c r="J318" s="134">
        <v>14000.0</v>
      </c>
      <c r="K318" s="134">
        <v>18000.0</v>
      </c>
      <c r="L318" s="134"/>
      <c r="M318" s="134">
        <v>25000.0</v>
      </c>
      <c r="N318" s="134"/>
      <c r="O318" s="134"/>
      <c r="P318" s="134"/>
      <c r="Q318" s="136">
        <f t="shared" si="127"/>
        <v>198500</v>
      </c>
    </row>
    <row r="319">
      <c r="A319" s="138"/>
      <c r="B319" s="134"/>
      <c r="C319" s="134">
        <v>25000.0</v>
      </c>
      <c r="D319" s="134">
        <v>25000.0</v>
      </c>
      <c r="E319" s="134"/>
      <c r="F319" s="134">
        <v>18000.0</v>
      </c>
      <c r="G319" s="134">
        <v>18000.0</v>
      </c>
      <c r="H319" s="134">
        <v>37500.0</v>
      </c>
      <c r="I319" s="134">
        <v>18000.0</v>
      </c>
      <c r="J319" s="134">
        <v>14000.0</v>
      </c>
      <c r="K319" s="134">
        <v>18000.0</v>
      </c>
      <c r="L319" s="134"/>
      <c r="M319" s="134">
        <v>25000.0</v>
      </c>
      <c r="N319" s="134"/>
      <c r="O319" s="134"/>
      <c r="P319" s="134"/>
      <c r="Q319" s="139">
        <f t="shared" si="127"/>
        <v>198500</v>
      </c>
    </row>
    <row r="320">
      <c r="A320" s="140" t="s">
        <v>113</v>
      </c>
      <c r="B320" s="141">
        <f t="shared" ref="B320:D320" si="128">SUM(B316:B319)</f>
        <v>0</v>
      </c>
      <c r="C320" s="141">
        <f t="shared" si="128"/>
        <v>100000</v>
      </c>
      <c r="D320" s="141">
        <f t="shared" si="128"/>
        <v>100000</v>
      </c>
      <c r="E320" s="141"/>
      <c r="F320" s="141">
        <f t="shared" ref="F320:M320" si="129">SUM(F316:F319)</f>
        <v>72000</v>
      </c>
      <c r="G320" s="141">
        <f t="shared" si="129"/>
        <v>72000</v>
      </c>
      <c r="H320" s="141">
        <f t="shared" si="129"/>
        <v>150000</v>
      </c>
      <c r="I320" s="141">
        <f t="shared" si="129"/>
        <v>36000</v>
      </c>
      <c r="J320" s="141">
        <f t="shared" si="129"/>
        <v>56000</v>
      </c>
      <c r="K320" s="141">
        <f t="shared" si="129"/>
        <v>72000</v>
      </c>
      <c r="L320" s="141">
        <f t="shared" si="129"/>
        <v>36000</v>
      </c>
      <c r="M320" s="141">
        <f t="shared" si="129"/>
        <v>100000</v>
      </c>
      <c r="N320" s="141"/>
      <c r="O320" s="141"/>
      <c r="P320" s="141">
        <f t="shared" ref="P320:Q320" si="130">SUM(P316:P319)</f>
        <v>18000</v>
      </c>
      <c r="Q320" s="141">
        <f t="shared" si="130"/>
        <v>812000</v>
      </c>
    </row>
    <row r="321">
      <c r="A321" s="157" t="s">
        <v>138</v>
      </c>
      <c r="B321" s="158">
        <f>B310/6/8</f>
        <v>0</v>
      </c>
      <c r="C321" s="158">
        <f>C316/6/8</f>
        <v>520.8333333</v>
      </c>
      <c r="D321" s="158">
        <f>D316/8/6</f>
        <v>520.8333333</v>
      </c>
      <c r="E321" s="158"/>
      <c r="F321" s="158">
        <f t="shared" ref="F321:H321" si="131">F316/6/8</f>
        <v>375</v>
      </c>
      <c r="G321" s="158">
        <f t="shared" si="131"/>
        <v>375</v>
      </c>
      <c r="H321" s="158">
        <f t="shared" si="131"/>
        <v>781.25</v>
      </c>
      <c r="I321" s="158">
        <f>I319/6/8</f>
        <v>375</v>
      </c>
      <c r="J321" s="158">
        <f t="shared" ref="J321:M321" si="132">J316/6/8</f>
        <v>291.6666667</v>
      </c>
      <c r="K321" s="158">
        <f t="shared" si="132"/>
        <v>375</v>
      </c>
      <c r="L321" s="158">
        <f t="shared" si="132"/>
        <v>375</v>
      </c>
      <c r="M321" s="158">
        <f t="shared" si="132"/>
        <v>520.8333333</v>
      </c>
      <c r="N321" s="159"/>
      <c r="O321" s="159"/>
      <c r="P321" s="159">
        <f>P316/6/8</f>
        <v>375</v>
      </c>
      <c r="Q321" s="122"/>
    </row>
    <row r="322">
      <c r="A322" s="130" t="s">
        <v>204</v>
      </c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2"/>
    </row>
    <row r="323">
      <c r="A323" s="149" t="s">
        <v>116</v>
      </c>
      <c r="B323" s="150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2"/>
    </row>
    <row r="324">
      <c r="A324" s="149" t="s">
        <v>40</v>
      </c>
      <c r="B324" s="150"/>
      <c r="C324" s="150">
        <f>13*C321</f>
        <v>6770.833333</v>
      </c>
      <c r="D324" s="150">
        <f>6*D321</f>
        <v>3125</v>
      </c>
      <c r="E324" s="150"/>
      <c r="F324" s="150"/>
      <c r="G324" s="150">
        <f>6*G321</f>
        <v>2250</v>
      </c>
      <c r="H324" s="150"/>
      <c r="I324" s="150"/>
      <c r="J324" s="150"/>
      <c r="K324" s="150"/>
      <c r="L324" s="150"/>
      <c r="M324" s="150"/>
      <c r="N324" s="150"/>
      <c r="O324" s="150"/>
      <c r="P324" s="150"/>
      <c r="Q324" s="152">
        <f>SUM(B324:K324)</f>
        <v>12145.83333</v>
      </c>
    </row>
    <row r="325">
      <c r="A325" s="153" t="s">
        <v>205</v>
      </c>
      <c r="B325" s="162"/>
      <c r="C325" s="150"/>
      <c r="D325" s="163"/>
      <c r="E325" s="164"/>
      <c r="F325" s="164"/>
      <c r="G325" s="150"/>
      <c r="H325" s="180">
        <v>13000.0</v>
      </c>
      <c r="I325" s="164"/>
      <c r="J325" s="163"/>
      <c r="K325" s="163"/>
      <c r="L325" s="150"/>
      <c r="M325" s="163"/>
      <c r="N325" s="163"/>
      <c r="O325" s="163"/>
      <c r="P325" s="163"/>
      <c r="Q325" s="165">
        <f>SUM(B325:J325)</f>
        <v>13000</v>
      </c>
    </row>
    <row r="326">
      <c r="A326" s="153" t="s">
        <v>120</v>
      </c>
      <c r="B326" s="166"/>
      <c r="C326" s="181">
        <f>C316+C317</f>
        <v>50000</v>
      </c>
      <c r="D326" s="181"/>
      <c r="E326" s="187"/>
      <c r="F326" s="187" t="s">
        <v>43</v>
      </c>
      <c r="G326" s="166"/>
      <c r="H326" s="181"/>
      <c r="I326" s="166"/>
      <c r="J326" s="166"/>
      <c r="K326" s="166"/>
      <c r="L326" s="166"/>
      <c r="M326" s="181"/>
      <c r="N326" s="166"/>
      <c r="O326" s="166"/>
      <c r="P326" s="166"/>
      <c r="Q326" s="167"/>
    </row>
    <row r="327">
      <c r="A327" s="168" t="s">
        <v>118</v>
      </c>
      <c r="B327" s="170"/>
      <c r="C327" s="169">
        <f>C316+C326+C324</f>
        <v>81770.83333</v>
      </c>
      <c r="D327" s="169">
        <f>D316+D326+D325+D324</f>
        <v>28125</v>
      </c>
      <c r="E327" s="169"/>
      <c r="F327" s="169"/>
      <c r="G327" s="170">
        <f>G316+G324</f>
        <v>20250</v>
      </c>
      <c r="H327" s="169">
        <f>H279+H326+H325</f>
        <v>38000</v>
      </c>
      <c r="I327" s="170"/>
      <c r="J327" s="170">
        <f>J279</f>
        <v>14000</v>
      </c>
      <c r="K327" s="170">
        <f t="shared" ref="K327:M327" si="133">K316</f>
        <v>18000</v>
      </c>
      <c r="L327" s="170">
        <f t="shared" si="133"/>
        <v>18000</v>
      </c>
      <c r="M327" s="170">
        <f t="shared" si="133"/>
        <v>25000</v>
      </c>
      <c r="N327" s="171"/>
      <c r="O327" s="171"/>
      <c r="P327" s="171" t="str">
        <f>P279</f>
        <v/>
      </c>
      <c r="Q327" s="182">
        <f>SUM(B327:P327)</f>
        <v>243145.8333</v>
      </c>
    </row>
    <row r="328">
      <c r="A328" s="126" t="s">
        <v>0</v>
      </c>
      <c r="B328" s="127"/>
      <c r="C328" s="127" t="s">
        <v>90</v>
      </c>
      <c r="D328" s="127" t="s">
        <v>3</v>
      </c>
      <c r="E328" s="127"/>
      <c r="F328" s="127" t="s">
        <v>136</v>
      </c>
      <c r="G328" s="183" t="s">
        <v>155</v>
      </c>
      <c r="H328" s="183" t="s">
        <v>195</v>
      </c>
      <c r="I328" s="129" t="s">
        <v>206</v>
      </c>
      <c r="J328" s="129" t="s">
        <v>202</v>
      </c>
      <c r="K328" s="129" t="s">
        <v>51</v>
      </c>
      <c r="L328" s="128" t="s">
        <v>133</v>
      </c>
      <c r="M328" s="129" t="s">
        <v>6</v>
      </c>
      <c r="N328" s="129"/>
      <c r="O328" s="129"/>
      <c r="P328" s="129"/>
      <c r="Q328" s="128" t="s">
        <v>110</v>
      </c>
    </row>
    <row r="329">
      <c r="A329" s="130" t="s">
        <v>207</v>
      </c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2"/>
    </row>
    <row r="330">
      <c r="A330" s="149" t="s">
        <v>116</v>
      </c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2"/>
    </row>
    <row r="331">
      <c r="A331" s="149" t="s">
        <v>40</v>
      </c>
      <c r="B331" s="150"/>
      <c r="C331" s="150"/>
      <c r="D331" s="150">
        <f>3*D321</f>
        <v>1562.5</v>
      </c>
      <c r="E331" s="150"/>
      <c r="F331" s="150"/>
      <c r="G331" s="150">
        <f>2*G321</f>
        <v>750</v>
      </c>
      <c r="H331" s="150"/>
      <c r="I331" s="150"/>
      <c r="J331" s="150"/>
      <c r="K331" s="150"/>
      <c r="L331" s="150"/>
      <c r="M331" s="150"/>
      <c r="N331" s="150"/>
      <c r="O331" s="150"/>
      <c r="P331" s="150"/>
      <c r="Q331" s="152">
        <f>SUM(B331:K331)</f>
        <v>2312.5</v>
      </c>
    </row>
    <row r="332">
      <c r="A332" s="153" t="s">
        <v>205</v>
      </c>
      <c r="B332" s="162"/>
      <c r="C332" s="150"/>
      <c r="D332" s="180">
        <v>13000.0</v>
      </c>
      <c r="E332" s="164"/>
      <c r="F332" s="164"/>
      <c r="G332" s="150"/>
      <c r="H332" s="163"/>
      <c r="I332" s="164"/>
      <c r="J332" s="163"/>
      <c r="K332" s="163"/>
      <c r="L332" s="150"/>
      <c r="M332" s="163"/>
      <c r="N332" s="163"/>
      <c r="O332" s="163"/>
      <c r="P332" s="163"/>
      <c r="Q332" s="165">
        <f>SUM(B332:J332)</f>
        <v>13000</v>
      </c>
    </row>
    <row r="333">
      <c r="A333" s="153" t="s">
        <v>120</v>
      </c>
      <c r="B333" s="166"/>
      <c r="C333" s="181"/>
      <c r="D333" s="181"/>
      <c r="E333" s="187"/>
      <c r="F333" s="187" t="s">
        <v>43</v>
      </c>
      <c r="G333" s="166"/>
      <c r="H333" s="181"/>
      <c r="I333" s="166"/>
      <c r="J333" s="166"/>
      <c r="K333" s="166"/>
      <c r="L333" s="166"/>
      <c r="M333" s="181"/>
      <c r="N333" s="166"/>
      <c r="O333" s="166"/>
      <c r="P333" s="166"/>
      <c r="Q333" s="167"/>
    </row>
    <row r="334">
      <c r="A334" s="168" t="s">
        <v>118</v>
      </c>
      <c r="B334" s="170"/>
      <c r="C334" s="194"/>
      <c r="D334" s="169">
        <f>D316+D332+D331</f>
        <v>39562.5</v>
      </c>
      <c r="E334" s="169"/>
      <c r="F334" s="169">
        <f>F316</f>
        <v>18000</v>
      </c>
      <c r="G334" s="170">
        <f>G316+G331</f>
        <v>18750</v>
      </c>
      <c r="H334" s="170">
        <f>H316</f>
        <v>37500</v>
      </c>
      <c r="I334" s="171">
        <v>14000.0</v>
      </c>
      <c r="J334" s="170">
        <f t="shared" ref="J334:M334" si="134">J316</f>
        <v>14000</v>
      </c>
      <c r="K334" s="170">
        <f t="shared" si="134"/>
        <v>18000</v>
      </c>
      <c r="L334" s="170">
        <f t="shared" si="134"/>
        <v>18000</v>
      </c>
      <c r="M334" s="170">
        <f t="shared" si="134"/>
        <v>25000</v>
      </c>
      <c r="N334" s="171"/>
      <c r="O334" s="171"/>
      <c r="P334" s="171"/>
      <c r="Q334" s="182">
        <f>SUM(B334:P334)</f>
        <v>202812.5</v>
      </c>
    </row>
    <row r="335">
      <c r="A335" s="126" t="s">
        <v>0</v>
      </c>
      <c r="B335" s="127"/>
      <c r="C335" s="127" t="s">
        <v>90</v>
      </c>
      <c r="D335" s="127" t="s">
        <v>3</v>
      </c>
      <c r="E335" s="127"/>
      <c r="F335" s="127" t="s">
        <v>136</v>
      </c>
      <c r="G335" s="183" t="s">
        <v>155</v>
      </c>
      <c r="H335" s="183" t="s">
        <v>195</v>
      </c>
      <c r="I335" s="129" t="s">
        <v>206</v>
      </c>
      <c r="J335" s="129" t="s">
        <v>202</v>
      </c>
      <c r="K335" s="129" t="s">
        <v>51</v>
      </c>
      <c r="L335" s="128" t="s">
        <v>133</v>
      </c>
      <c r="M335" s="129" t="s">
        <v>6</v>
      </c>
      <c r="N335" s="129"/>
      <c r="O335" s="129"/>
      <c r="P335" s="129"/>
      <c r="Q335" s="128" t="s">
        <v>110</v>
      </c>
    </row>
    <row r="336">
      <c r="A336" s="195" t="s">
        <v>208</v>
      </c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7"/>
    </row>
    <row r="337">
      <c r="A337" s="198" t="s">
        <v>116</v>
      </c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</row>
    <row r="338">
      <c r="A338" s="198" t="s">
        <v>40</v>
      </c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>
        <f>SUM(B338:K338)</f>
        <v>0</v>
      </c>
    </row>
    <row r="339">
      <c r="A339" s="200" t="s">
        <v>209</v>
      </c>
      <c r="B339" s="201"/>
      <c r="C339" s="202"/>
      <c r="D339" s="201"/>
      <c r="E339" s="202"/>
      <c r="F339" s="202"/>
      <c r="G339" s="202"/>
      <c r="H339" s="201"/>
      <c r="I339" s="202"/>
      <c r="J339" s="201"/>
      <c r="K339" s="201"/>
      <c r="L339" s="202"/>
      <c r="M339" s="201"/>
      <c r="N339" s="201"/>
      <c r="O339" s="201"/>
      <c r="P339" s="201"/>
      <c r="Q339" s="201">
        <f>SUM(B339:J339)</f>
        <v>0</v>
      </c>
    </row>
    <row r="340">
      <c r="A340" s="200" t="s">
        <v>120</v>
      </c>
      <c r="B340" s="203"/>
      <c r="C340" s="203"/>
      <c r="D340" s="203"/>
      <c r="E340" s="204"/>
      <c r="F340" s="204" t="s">
        <v>43</v>
      </c>
      <c r="G340" s="203"/>
      <c r="H340" s="203"/>
      <c r="I340" s="203"/>
      <c r="J340" s="203"/>
      <c r="K340" s="203"/>
      <c r="L340" s="203"/>
      <c r="M340" s="203"/>
      <c r="N340" s="203"/>
      <c r="O340" s="203"/>
      <c r="P340" s="203"/>
      <c r="Q340" s="203"/>
    </row>
    <row r="341">
      <c r="A341" s="205" t="s">
        <v>118</v>
      </c>
      <c r="B341" s="206"/>
      <c r="C341" s="207">
        <f>C329+C340</f>
        <v>0</v>
      </c>
      <c r="D341" s="208">
        <f>D319</f>
        <v>25000</v>
      </c>
      <c r="E341" s="207"/>
      <c r="F341" s="207">
        <f>F319</f>
        <v>18000</v>
      </c>
      <c r="G341" s="206">
        <f t="shared" ref="G341:K341" si="135">G318</f>
        <v>18000</v>
      </c>
      <c r="H341" s="206">
        <f t="shared" si="135"/>
        <v>37500</v>
      </c>
      <c r="I341" s="206">
        <f t="shared" si="135"/>
        <v>18000</v>
      </c>
      <c r="J341" s="206">
        <f t="shared" si="135"/>
        <v>14000</v>
      </c>
      <c r="K341" s="206">
        <f t="shared" si="135"/>
        <v>18000</v>
      </c>
      <c r="L341" s="206">
        <f>L317</f>
        <v>18000</v>
      </c>
      <c r="M341" s="206">
        <f>M318</f>
        <v>25000</v>
      </c>
      <c r="N341" s="206"/>
      <c r="O341" s="206"/>
      <c r="P341" s="206">
        <f>P321*30</f>
        <v>11250</v>
      </c>
      <c r="Q341" s="209">
        <f>SUM(B341:P341)</f>
        <v>202750</v>
      </c>
    </row>
    <row r="342">
      <c r="A342" s="126" t="s">
        <v>0</v>
      </c>
      <c r="B342" s="127"/>
      <c r="C342" s="127" t="s">
        <v>90</v>
      </c>
      <c r="D342" s="127" t="s">
        <v>3</v>
      </c>
      <c r="E342" s="127"/>
      <c r="F342" s="127" t="s">
        <v>136</v>
      </c>
      <c r="G342" s="183" t="s">
        <v>155</v>
      </c>
      <c r="H342" s="183" t="s">
        <v>195</v>
      </c>
      <c r="I342" s="129" t="s">
        <v>206</v>
      </c>
      <c r="J342" s="129" t="s">
        <v>202</v>
      </c>
      <c r="K342" s="129" t="s">
        <v>51</v>
      </c>
      <c r="L342" s="128" t="s">
        <v>133</v>
      </c>
      <c r="M342" s="129" t="s">
        <v>6</v>
      </c>
      <c r="N342" s="129"/>
      <c r="O342" s="129"/>
      <c r="P342" s="129" t="s">
        <v>163</v>
      </c>
      <c r="Q342" s="128" t="s">
        <v>110</v>
      </c>
    </row>
    <row r="343">
      <c r="A343" s="195" t="s">
        <v>210</v>
      </c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7"/>
    </row>
    <row r="344">
      <c r="A344" s="198" t="s">
        <v>116</v>
      </c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</row>
    <row r="345">
      <c r="A345" s="198" t="s">
        <v>40</v>
      </c>
      <c r="B345" s="210"/>
      <c r="C345" s="199">
        <f>2*C321</f>
        <v>1041.666667</v>
      </c>
      <c r="D345" s="199"/>
      <c r="E345" s="199"/>
      <c r="F345" s="199"/>
      <c r="G345" s="199"/>
      <c r="H345" s="199"/>
      <c r="I345" s="199"/>
      <c r="J345" s="199"/>
      <c r="K345" s="199"/>
      <c r="L345" s="199"/>
      <c r="M345" s="199">
        <f>4*M321</f>
        <v>2083.333333</v>
      </c>
      <c r="N345" s="199"/>
      <c r="O345" s="199"/>
      <c r="P345" s="199"/>
      <c r="Q345" s="210">
        <f>SUM(B345:K345)</f>
        <v>1041.666667</v>
      </c>
    </row>
    <row r="346">
      <c r="A346" s="200" t="s">
        <v>209</v>
      </c>
      <c r="B346" s="201"/>
      <c r="C346" s="199">
        <f>8*C321</f>
        <v>4166.666667</v>
      </c>
      <c r="D346" s="201">
        <f>D321*8</f>
        <v>4166.666667</v>
      </c>
      <c r="E346" s="199"/>
      <c r="F346" s="199">
        <f>F321*8</f>
        <v>3000</v>
      </c>
      <c r="G346" s="199"/>
      <c r="H346" s="201">
        <f t="shared" ref="H346:I346" si="136">H321*8</f>
        <v>6250</v>
      </c>
      <c r="I346" s="199">
        <f t="shared" si="136"/>
        <v>3000</v>
      </c>
      <c r="J346" s="211" t="s">
        <v>43</v>
      </c>
      <c r="K346" s="211" t="s">
        <v>43</v>
      </c>
      <c r="L346" s="199"/>
      <c r="M346" s="201">
        <f>12*M321</f>
        <v>6250</v>
      </c>
      <c r="N346" s="201"/>
      <c r="O346" s="201"/>
      <c r="P346" s="201">
        <f>6*P321</f>
        <v>2250</v>
      </c>
      <c r="Q346" s="201">
        <f>SUM(B346:J346)</f>
        <v>20583.33333</v>
      </c>
    </row>
    <row r="347">
      <c r="A347" s="200" t="s">
        <v>120</v>
      </c>
      <c r="B347" s="203"/>
      <c r="C347" s="203"/>
      <c r="D347" s="203"/>
      <c r="E347" s="204"/>
      <c r="F347" s="204" t="s">
        <v>43</v>
      </c>
      <c r="G347" s="203"/>
      <c r="H347" s="203"/>
      <c r="I347" s="203"/>
      <c r="J347" s="203"/>
      <c r="K347" s="203"/>
      <c r="L347" s="203"/>
      <c r="M347" s="203"/>
      <c r="N347" s="203"/>
      <c r="O347" s="203"/>
      <c r="P347" s="203"/>
      <c r="Q347" s="203"/>
    </row>
    <row r="348">
      <c r="A348" s="205" t="s">
        <v>118</v>
      </c>
      <c r="B348" s="206"/>
      <c r="C348" s="207">
        <f>C319+C346+C345</f>
        <v>30208.33333</v>
      </c>
      <c r="D348" s="208">
        <f>D319+D346</f>
        <v>29166.66667</v>
      </c>
      <c r="E348" s="207"/>
      <c r="F348" s="207">
        <f>F319+F346</f>
        <v>21000</v>
      </c>
      <c r="G348" s="206">
        <f t="shared" ref="G348:H348" si="137">G316+G346</f>
        <v>18000</v>
      </c>
      <c r="H348" s="208">
        <f t="shared" si="137"/>
        <v>43750</v>
      </c>
      <c r="I348" s="206">
        <f>I319+I346</f>
        <v>21000</v>
      </c>
      <c r="J348" s="206">
        <f t="shared" ref="J348:K348" si="138">J319</f>
        <v>14000</v>
      </c>
      <c r="K348" s="206">
        <f t="shared" si="138"/>
        <v>18000</v>
      </c>
      <c r="L348" s="206"/>
      <c r="M348" s="208">
        <f>M319+M346+M345</f>
        <v>33333.33333</v>
      </c>
      <c r="N348" s="206"/>
      <c r="O348" s="206"/>
      <c r="P348" s="208">
        <f>(6+8+8+8+8)*P321+P346</f>
        <v>16500</v>
      </c>
      <c r="Q348" s="209">
        <f>SUM(B348:P348)</f>
        <v>244958.3333</v>
      </c>
    </row>
    <row r="349">
      <c r="A349" s="126" t="s">
        <v>0</v>
      </c>
      <c r="B349" s="127"/>
      <c r="C349" s="127" t="s">
        <v>90</v>
      </c>
      <c r="D349" s="127" t="s">
        <v>3</v>
      </c>
      <c r="E349" s="127"/>
      <c r="F349" s="127" t="s">
        <v>136</v>
      </c>
      <c r="G349" s="183" t="s">
        <v>155</v>
      </c>
      <c r="H349" s="183" t="s">
        <v>195</v>
      </c>
      <c r="I349" s="129" t="s">
        <v>206</v>
      </c>
      <c r="J349" s="129"/>
      <c r="K349" s="129" t="s">
        <v>51</v>
      </c>
      <c r="L349" s="128"/>
      <c r="M349" s="129" t="s">
        <v>6</v>
      </c>
      <c r="N349" s="129"/>
      <c r="O349" s="129"/>
      <c r="P349" s="129" t="s">
        <v>163</v>
      </c>
      <c r="Q349" s="128" t="s">
        <v>110</v>
      </c>
    </row>
    <row r="350">
      <c r="A350" s="195" t="s">
        <v>211</v>
      </c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7"/>
    </row>
    <row r="351">
      <c r="A351" s="198" t="s">
        <v>116</v>
      </c>
      <c r="B351" s="210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202"/>
    </row>
    <row r="352">
      <c r="A352" s="198" t="s">
        <v>40</v>
      </c>
      <c r="B352" s="199"/>
      <c r="C352" s="199"/>
      <c r="D352" s="199">
        <f>1.5*D321</f>
        <v>781.25</v>
      </c>
      <c r="E352" s="199"/>
      <c r="F352" s="199">
        <f>F321</f>
        <v>375</v>
      </c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>
        <f>SUM(B352:K352)</f>
        <v>1156.25</v>
      </c>
    </row>
    <row r="353">
      <c r="A353" s="200" t="s">
        <v>209</v>
      </c>
      <c r="B353" s="201"/>
      <c r="C353" s="210"/>
      <c r="D353" s="201"/>
      <c r="E353" s="210"/>
      <c r="F353" s="210"/>
      <c r="G353" s="210"/>
      <c r="H353" s="201"/>
      <c r="I353" s="199"/>
      <c r="J353" s="201"/>
      <c r="K353" s="201"/>
      <c r="L353" s="199"/>
      <c r="M353" s="201"/>
      <c r="N353" s="201"/>
      <c r="O353" s="201"/>
      <c r="P353" s="201"/>
      <c r="Q353" s="201">
        <f>SUM(B353:J353)</f>
        <v>0</v>
      </c>
    </row>
    <row r="354">
      <c r="A354" s="200" t="s">
        <v>120</v>
      </c>
      <c r="B354" s="212"/>
      <c r="C354" s="212"/>
      <c r="D354" s="212"/>
      <c r="E354" s="213"/>
      <c r="F354" s="213" t="s">
        <v>43</v>
      </c>
      <c r="G354" s="212"/>
      <c r="H354" s="212"/>
      <c r="I354" s="212"/>
      <c r="J354" s="212"/>
      <c r="K354" s="212"/>
      <c r="L354" s="212"/>
      <c r="M354" s="214">
        <v>50000.0</v>
      </c>
      <c r="N354" s="212"/>
      <c r="O354" s="212"/>
      <c r="P354" s="212"/>
      <c r="Q354" s="212"/>
    </row>
    <row r="355">
      <c r="A355" s="205" t="s">
        <v>118</v>
      </c>
      <c r="B355" s="206"/>
      <c r="C355" s="207">
        <f t="shared" ref="C355:D355" si="139">C319</f>
        <v>25000</v>
      </c>
      <c r="D355" s="208">
        <f t="shared" si="139"/>
        <v>25000</v>
      </c>
      <c r="E355" s="207"/>
      <c r="F355" s="207">
        <f t="shared" ref="F355:I355" si="140">F319</f>
        <v>18000</v>
      </c>
      <c r="G355" s="206">
        <f t="shared" si="140"/>
        <v>18000</v>
      </c>
      <c r="H355" s="206">
        <f t="shared" si="140"/>
        <v>37500</v>
      </c>
      <c r="I355" s="206">
        <f t="shared" si="140"/>
        <v>18000</v>
      </c>
      <c r="J355" s="206" t="str">
        <f>J303</f>
        <v/>
      </c>
      <c r="K355" s="206">
        <f>K319</f>
        <v>18000</v>
      </c>
      <c r="L355" s="206"/>
      <c r="M355" s="206">
        <f>M354+L359</f>
        <v>50000</v>
      </c>
      <c r="N355" s="206"/>
      <c r="O355" s="206"/>
      <c r="P355" s="206">
        <f>P316</f>
        <v>18000</v>
      </c>
      <c r="Q355" s="209">
        <f>SUM(B355:P355)</f>
        <v>227500</v>
      </c>
    </row>
    <row r="356">
      <c r="A356" s="215"/>
      <c r="B356" s="216"/>
      <c r="C356" s="216"/>
      <c r="D356" s="216"/>
      <c r="E356" s="216"/>
      <c r="F356" s="216"/>
      <c r="G356" s="216"/>
      <c r="H356" s="216"/>
      <c r="I356" s="216"/>
      <c r="J356" s="216"/>
      <c r="K356" s="216"/>
      <c r="L356" s="216"/>
      <c r="M356" s="216"/>
      <c r="N356" s="216"/>
      <c r="O356" s="216"/>
      <c r="P356" s="216"/>
      <c r="Q356" s="35"/>
    </row>
    <row r="357">
      <c r="A357" s="126" t="s">
        <v>0</v>
      </c>
      <c r="B357" s="127" t="s">
        <v>90</v>
      </c>
      <c r="C357" s="127" t="s">
        <v>3</v>
      </c>
      <c r="D357" s="127" t="s">
        <v>136</v>
      </c>
      <c r="E357" s="183"/>
      <c r="F357" s="183" t="s">
        <v>155</v>
      </c>
      <c r="G357" s="183" t="s">
        <v>195</v>
      </c>
      <c r="H357" s="129" t="s">
        <v>206</v>
      </c>
      <c r="I357" s="129" t="s">
        <v>51</v>
      </c>
      <c r="J357" s="129" t="s">
        <v>6</v>
      </c>
      <c r="K357" s="129" t="s">
        <v>163</v>
      </c>
      <c r="L357" s="129"/>
      <c r="M357" s="129"/>
      <c r="N357" s="128"/>
      <c r="O357" s="128"/>
      <c r="P357" s="128" t="s">
        <v>110</v>
      </c>
    </row>
    <row r="358">
      <c r="A358" s="130" t="s">
        <v>125</v>
      </c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2"/>
    </row>
    <row r="359">
      <c r="A359" s="133" t="s">
        <v>111</v>
      </c>
      <c r="B359" s="134">
        <v>25000.0</v>
      </c>
      <c r="C359" s="134">
        <v>25000.0</v>
      </c>
      <c r="D359" s="134">
        <v>18000.0</v>
      </c>
      <c r="E359" s="134"/>
      <c r="F359" s="134">
        <v>18000.0</v>
      </c>
      <c r="G359" s="134">
        <v>37500.0</v>
      </c>
      <c r="H359" s="134">
        <v>18000.0</v>
      </c>
      <c r="I359" s="134">
        <v>20000.0</v>
      </c>
      <c r="J359" s="134">
        <v>25000.0</v>
      </c>
      <c r="K359" s="134">
        <v>18000.0</v>
      </c>
      <c r="L359" s="134"/>
      <c r="M359" s="134"/>
      <c r="N359" s="217"/>
      <c r="O359" s="217"/>
      <c r="P359" s="136">
        <f t="shared" ref="P359:P362" si="141">SUM(B359:M359)</f>
        <v>204500</v>
      </c>
    </row>
    <row r="360">
      <c r="A360" s="137"/>
      <c r="B360" s="134">
        <v>25000.0</v>
      </c>
      <c r="C360" s="134">
        <v>25000.0</v>
      </c>
      <c r="D360" s="134">
        <v>18000.0</v>
      </c>
      <c r="E360" s="134"/>
      <c r="F360" s="134">
        <v>18000.0</v>
      </c>
      <c r="G360" s="134">
        <v>37500.0</v>
      </c>
      <c r="H360" s="134">
        <v>18000.0</v>
      </c>
      <c r="I360" s="134">
        <v>20000.0</v>
      </c>
      <c r="J360" s="134">
        <v>25000.0</v>
      </c>
      <c r="K360" s="134">
        <v>18000.0</v>
      </c>
      <c r="L360" s="134"/>
      <c r="M360" s="134"/>
      <c r="N360" s="217"/>
      <c r="O360" s="217"/>
      <c r="P360" s="136">
        <f t="shared" si="141"/>
        <v>204500</v>
      </c>
    </row>
    <row r="361">
      <c r="A361" s="137"/>
      <c r="B361" s="134">
        <v>25000.0</v>
      </c>
      <c r="C361" s="134">
        <v>25000.0</v>
      </c>
      <c r="D361" s="134">
        <v>18000.0</v>
      </c>
      <c r="E361" s="134"/>
      <c r="F361" s="134">
        <v>18000.0</v>
      </c>
      <c r="G361" s="134">
        <v>37500.0</v>
      </c>
      <c r="H361" s="134">
        <v>18000.0</v>
      </c>
      <c r="I361" s="134">
        <v>20000.0</v>
      </c>
      <c r="J361" s="134">
        <v>25000.0</v>
      </c>
      <c r="K361" s="134">
        <v>18000.0</v>
      </c>
      <c r="L361" s="134"/>
      <c r="M361" s="134"/>
      <c r="N361" s="217"/>
      <c r="O361" s="217"/>
      <c r="P361" s="136">
        <f t="shared" si="141"/>
        <v>204500</v>
      </c>
    </row>
    <row r="362">
      <c r="A362" s="138"/>
      <c r="B362" s="134">
        <v>25000.0</v>
      </c>
      <c r="C362" s="134">
        <v>25000.0</v>
      </c>
      <c r="D362" s="134">
        <v>18000.0</v>
      </c>
      <c r="E362" s="134"/>
      <c r="F362" s="134">
        <v>18000.0</v>
      </c>
      <c r="G362" s="134">
        <v>37500.0</v>
      </c>
      <c r="H362" s="134">
        <v>18000.0</v>
      </c>
      <c r="I362" s="134">
        <v>20000.0</v>
      </c>
      <c r="J362" s="134">
        <v>25000.0</v>
      </c>
      <c r="K362" s="134">
        <v>18000.0</v>
      </c>
      <c r="L362" s="134"/>
      <c r="M362" s="134"/>
      <c r="N362" s="218"/>
      <c r="O362" s="218"/>
      <c r="P362" s="139">
        <f t="shared" si="141"/>
        <v>204500</v>
      </c>
    </row>
    <row r="363">
      <c r="A363" s="140" t="s">
        <v>113</v>
      </c>
      <c r="B363" s="141">
        <f t="shared" ref="B363:D363" si="142">SUM(B359:B362)</f>
        <v>100000</v>
      </c>
      <c r="C363" s="141">
        <f t="shared" si="142"/>
        <v>100000</v>
      </c>
      <c r="D363" s="141">
        <f t="shared" si="142"/>
        <v>72000</v>
      </c>
      <c r="E363" s="141"/>
      <c r="F363" s="141">
        <f t="shared" ref="F363:M363" si="143">SUM(F359:F362)</f>
        <v>72000</v>
      </c>
      <c r="G363" s="141">
        <f t="shared" si="143"/>
        <v>150000</v>
      </c>
      <c r="H363" s="141">
        <f t="shared" si="143"/>
        <v>72000</v>
      </c>
      <c r="I363" s="141">
        <f t="shared" si="143"/>
        <v>80000</v>
      </c>
      <c r="J363" s="141">
        <f t="shared" si="143"/>
        <v>100000</v>
      </c>
      <c r="K363" s="141">
        <f t="shared" si="143"/>
        <v>72000</v>
      </c>
      <c r="L363" s="141">
        <f t="shared" si="143"/>
        <v>0</v>
      </c>
      <c r="M363" s="141">
        <f t="shared" si="143"/>
        <v>0</v>
      </c>
      <c r="N363" s="141"/>
      <c r="O363" s="141"/>
      <c r="P363" s="141">
        <f>SUM(P359:P362)</f>
        <v>818000</v>
      </c>
    </row>
    <row r="364">
      <c r="A364" s="157" t="s">
        <v>138</v>
      </c>
      <c r="B364" s="158">
        <f>B359/6/8</f>
        <v>520.8333333</v>
      </c>
      <c r="C364" s="158">
        <f>C359/8/6</f>
        <v>520.8333333</v>
      </c>
      <c r="D364" s="158">
        <f>D359/6/8</f>
        <v>375</v>
      </c>
      <c r="E364" s="158"/>
      <c r="F364" s="158">
        <f t="shared" ref="F364:M364" si="144">F359/6/8</f>
        <v>375</v>
      </c>
      <c r="G364" s="158">
        <f t="shared" si="144"/>
        <v>781.25</v>
      </c>
      <c r="H364" s="158">
        <f t="shared" si="144"/>
        <v>375</v>
      </c>
      <c r="I364" s="158">
        <f t="shared" si="144"/>
        <v>416.6666667</v>
      </c>
      <c r="J364" s="158">
        <f t="shared" si="144"/>
        <v>520.8333333</v>
      </c>
      <c r="K364" s="158">
        <f t="shared" si="144"/>
        <v>375</v>
      </c>
      <c r="L364" s="158">
        <f t="shared" si="144"/>
        <v>0</v>
      </c>
      <c r="M364" s="159">
        <f t="shared" si="144"/>
        <v>0</v>
      </c>
      <c r="N364" s="122"/>
      <c r="O364" s="122"/>
      <c r="P364" s="122"/>
    </row>
    <row r="365">
      <c r="A365" s="195" t="s">
        <v>212</v>
      </c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7"/>
    </row>
    <row r="366">
      <c r="A366" s="198" t="s">
        <v>116</v>
      </c>
      <c r="B366" s="210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202"/>
      <c r="O366" s="202"/>
      <c r="P366" s="202"/>
    </row>
    <row r="367">
      <c r="A367" s="198" t="s">
        <v>40</v>
      </c>
      <c r="B367" s="199"/>
      <c r="C367" s="199">
        <f>5*C364</f>
        <v>2604.166667</v>
      </c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>
        <f>SUM(B367:K367)</f>
        <v>2604.166667</v>
      </c>
    </row>
    <row r="368">
      <c r="A368" s="200" t="s">
        <v>209</v>
      </c>
      <c r="B368" s="201"/>
      <c r="C368" s="210"/>
      <c r="D368" s="201"/>
      <c r="E368" s="210"/>
      <c r="F368" s="210"/>
      <c r="G368" s="210"/>
      <c r="H368" s="201"/>
      <c r="I368" s="199"/>
      <c r="J368" s="201"/>
      <c r="K368" s="201"/>
      <c r="L368" s="199"/>
      <c r="M368" s="201"/>
      <c r="N368" s="201"/>
      <c r="O368" s="201"/>
      <c r="P368" s="201">
        <f>SUM(B368:J368)</f>
        <v>0</v>
      </c>
    </row>
    <row r="369">
      <c r="A369" s="200" t="s">
        <v>120</v>
      </c>
      <c r="B369" s="212"/>
      <c r="C369" s="212"/>
      <c r="D369" s="212"/>
      <c r="E369" s="213"/>
      <c r="F369" s="213"/>
      <c r="G369" s="212"/>
      <c r="H369" s="212"/>
      <c r="I369" s="212"/>
      <c r="J369" s="212"/>
      <c r="K369" s="212"/>
      <c r="L369" s="212"/>
      <c r="M369" s="214"/>
      <c r="N369" s="212"/>
      <c r="O369" s="212"/>
      <c r="P369" s="212"/>
    </row>
    <row r="370">
      <c r="A370" s="205" t="s">
        <v>118</v>
      </c>
      <c r="B370" s="208">
        <f t="shared" ref="B370:D370" si="145">B359+B367+B368-B366</f>
        <v>25000</v>
      </c>
      <c r="C370" s="207">
        <f t="shared" si="145"/>
        <v>27604.16667</v>
      </c>
      <c r="D370" s="208">
        <f t="shared" si="145"/>
        <v>18000</v>
      </c>
      <c r="E370" s="207"/>
      <c r="F370" s="207">
        <f>F359+F368+F367-F366</f>
        <v>18000</v>
      </c>
      <c r="G370" s="219">
        <f>G359+G367+G368-G366</f>
        <v>37500</v>
      </c>
      <c r="H370" s="208">
        <f t="shared" ref="H370:K370" si="146">H359+H367+H368</f>
        <v>18000</v>
      </c>
      <c r="I370" s="206">
        <f t="shared" si="146"/>
        <v>20000</v>
      </c>
      <c r="J370" s="208">
        <f t="shared" si="146"/>
        <v>25000</v>
      </c>
      <c r="K370" s="208">
        <f t="shared" si="146"/>
        <v>18000</v>
      </c>
      <c r="L370" s="206"/>
      <c r="M370" s="206">
        <f>M369+L374</f>
        <v>0</v>
      </c>
      <c r="N370" s="209"/>
      <c r="O370" s="209"/>
      <c r="P370" s="220">
        <f>SUM(B370:M370)</f>
        <v>207104.1667</v>
      </c>
    </row>
    <row r="371">
      <c r="A371" s="126" t="s">
        <v>0</v>
      </c>
      <c r="B371" s="127" t="s">
        <v>90</v>
      </c>
      <c r="C371" s="127" t="s">
        <v>3</v>
      </c>
      <c r="D371" s="127" t="s">
        <v>136</v>
      </c>
      <c r="E371" s="183"/>
      <c r="F371" s="183" t="s">
        <v>155</v>
      </c>
      <c r="G371" s="183" t="s">
        <v>195</v>
      </c>
      <c r="H371" s="129" t="s">
        <v>206</v>
      </c>
      <c r="I371" s="129" t="s">
        <v>51</v>
      </c>
      <c r="J371" s="129" t="s">
        <v>6</v>
      </c>
      <c r="K371" s="129" t="s">
        <v>163</v>
      </c>
      <c r="L371" s="129"/>
      <c r="M371" s="129"/>
      <c r="N371" s="128"/>
      <c r="O371" s="128"/>
      <c r="P371" s="128" t="s">
        <v>110</v>
      </c>
    </row>
    <row r="372">
      <c r="A372" s="195" t="s">
        <v>213</v>
      </c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7"/>
    </row>
    <row r="373">
      <c r="A373" s="198" t="s">
        <v>116</v>
      </c>
      <c r="B373" s="210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202"/>
      <c r="O373" s="202"/>
      <c r="P373" s="202"/>
    </row>
    <row r="374">
      <c r="A374" s="198" t="s">
        <v>40</v>
      </c>
      <c r="B374" s="199"/>
      <c r="C374" s="199"/>
      <c r="D374" s="199"/>
      <c r="E374" s="199"/>
      <c r="F374" s="199"/>
      <c r="G374" s="199"/>
      <c r="H374" s="199"/>
      <c r="I374" s="221">
        <v>10000.0</v>
      </c>
      <c r="J374" s="199"/>
      <c r="K374" s="199"/>
      <c r="L374" s="199"/>
      <c r="M374" s="199"/>
      <c r="N374" s="199"/>
      <c r="O374" s="199"/>
      <c r="P374" s="199">
        <f>SUM(B374:K374)</f>
        <v>10000</v>
      </c>
    </row>
    <row r="375">
      <c r="A375" s="200"/>
      <c r="B375" s="201"/>
      <c r="C375" s="210"/>
      <c r="D375" s="201"/>
      <c r="E375" s="210"/>
      <c r="F375" s="210"/>
      <c r="G375" s="222" t="s">
        <v>214</v>
      </c>
      <c r="H375" s="201"/>
      <c r="I375" s="199"/>
      <c r="J375" s="201"/>
      <c r="K375" s="201"/>
      <c r="L375" s="199"/>
      <c r="M375" s="201"/>
      <c r="N375" s="201"/>
      <c r="O375" s="201"/>
      <c r="P375" s="201">
        <f>SUM(B375:J375)</f>
        <v>0</v>
      </c>
    </row>
    <row r="376">
      <c r="A376" s="200" t="s">
        <v>120</v>
      </c>
      <c r="B376" s="212"/>
      <c r="C376" s="212"/>
      <c r="D376" s="212"/>
      <c r="E376" s="213"/>
      <c r="F376" s="213"/>
      <c r="G376" s="214">
        <v>75000.0</v>
      </c>
      <c r="H376" s="212"/>
      <c r="I376" s="212"/>
      <c r="J376" s="212"/>
      <c r="K376" s="212"/>
      <c r="L376" s="212"/>
      <c r="M376" s="214"/>
      <c r="N376" s="212"/>
      <c r="O376" s="212"/>
      <c r="P376" s="212"/>
    </row>
    <row r="377">
      <c r="A377" s="205" t="s">
        <v>118</v>
      </c>
      <c r="B377" s="219">
        <f t="shared" ref="B377:D377" si="147">B366+B374+B375-B373+B362</f>
        <v>25000</v>
      </c>
      <c r="C377" s="207">
        <f t="shared" si="147"/>
        <v>25000</v>
      </c>
      <c r="D377" s="208">
        <f t="shared" si="147"/>
        <v>18000</v>
      </c>
      <c r="E377" s="206"/>
      <c r="F377" s="219">
        <f>F366+F374+F375-F373+F362</f>
        <v>18000</v>
      </c>
      <c r="G377" s="206">
        <f>G366+G374-G373+G376+G362</f>
        <v>112500</v>
      </c>
      <c r="H377" s="208">
        <f t="shared" ref="H377:K377" si="148">H366+H374+H375-H373+H362</f>
        <v>18000</v>
      </c>
      <c r="I377" s="206">
        <f t="shared" si="148"/>
        <v>30000</v>
      </c>
      <c r="J377" s="208">
        <f t="shared" si="148"/>
        <v>25000</v>
      </c>
      <c r="K377" s="208">
        <f t="shared" si="148"/>
        <v>18000</v>
      </c>
      <c r="L377" s="206"/>
      <c r="M377" s="206">
        <f>M376+L381</f>
        <v>0</v>
      </c>
      <c r="N377" s="209"/>
      <c r="O377" s="209"/>
      <c r="P377" s="223">
        <f>SUM(B377:M377)</f>
        <v>289500</v>
      </c>
    </row>
    <row r="378">
      <c r="A378" s="126" t="s">
        <v>0</v>
      </c>
      <c r="B378" s="127" t="s">
        <v>90</v>
      </c>
      <c r="C378" s="127" t="s">
        <v>3</v>
      </c>
      <c r="D378" s="127" t="s">
        <v>136</v>
      </c>
      <c r="E378" s="183"/>
      <c r="F378" s="183" t="s">
        <v>155</v>
      </c>
      <c r="G378" s="183" t="s">
        <v>195</v>
      </c>
      <c r="H378" s="129" t="s">
        <v>206</v>
      </c>
      <c r="I378" s="129" t="s">
        <v>51</v>
      </c>
      <c r="J378" s="129" t="s">
        <v>6</v>
      </c>
      <c r="K378" s="129" t="s">
        <v>163</v>
      </c>
      <c r="L378" s="129"/>
      <c r="M378" s="129"/>
      <c r="N378" s="128"/>
      <c r="O378" s="128"/>
      <c r="P378" s="128" t="s">
        <v>110</v>
      </c>
    </row>
    <row r="379">
      <c r="A379" s="195" t="s">
        <v>215</v>
      </c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7"/>
      <c r="R379" s="99"/>
    </row>
    <row r="380">
      <c r="A380" s="198" t="s">
        <v>116</v>
      </c>
      <c r="B380" s="210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202"/>
      <c r="O380" s="202"/>
      <c r="P380" s="202"/>
    </row>
    <row r="381">
      <c r="A381" s="198" t="s">
        <v>40</v>
      </c>
      <c r="B381" s="199">
        <f>B364*4</f>
        <v>2083.333333</v>
      </c>
      <c r="C381" s="199">
        <f>4*C364</f>
        <v>2083.333333</v>
      </c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>
        <f>SUM(B381:K381)</f>
        <v>4166.666667</v>
      </c>
    </row>
    <row r="382">
      <c r="A382" s="200" t="s">
        <v>209</v>
      </c>
      <c r="B382" s="211" t="s">
        <v>43</v>
      </c>
      <c r="C382" s="210">
        <f>C364*8</f>
        <v>4166.666667</v>
      </c>
      <c r="D382" s="211" t="s">
        <v>43</v>
      </c>
      <c r="E382" s="210"/>
      <c r="F382" s="210">
        <f>F364*8</f>
        <v>3000</v>
      </c>
      <c r="G382" s="222"/>
      <c r="H382" s="210">
        <f>H364*6</f>
        <v>2250</v>
      </c>
      <c r="I382" s="221" t="s">
        <v>43</v>
      </c>
      <c r="J382" s="210">
        <f>J364*12</f>
        <v>6250</v>
      </c>
      <c r="K382" s="210">
        <f>K364*6</f>
        <v>2250</v>
      </c>
      <c r="L382" s="199"/>
      <c r="M382" s="201"/>
      <c r="N382" s="201"/>
      <c r="O382" s="201"/>
      <c r="P382" s="201">
        <f>SUM(B382:J382)</f>
        <v>15666.66667</v>
      </c>
    </row>
    <row r="383">
      <c r="A383" s="200" t="s">
        <v>120</v>
      </c>
      <c r="B383" s="212"/>
      <c r="C383" s="212"/>
      <c r="D383" s="212"/>
      <c r="E383" s="213"/>
      <c r="F383" s="213"/>
      <c r="G383" s="212"/>
      <c r="H383" s="212"/>
      <c r="I383" s="212"/>
      <c r="J383" s="212"/>
      <c r="K383" s="212"/>
      <c r="L383" s="212"/>
      <c r="M383" s="214"/>
      <c r="N383" s="212"/>
      <c r="O383" s="212"/>
      <c r="P383" s="212"/>
    </row>
    <row r="384">
      <c r="A384" s="205" t="s">
        <v>118</v>
      </c>
      <c r="B384" s="206">
        <f>B362+B381</f>
        <v>27083.33333</v>
      </c>
      <c r="C384" s="207">
        <f>C373+C381+C382-C380+C361</f>
        <v>31250</v>
      </c>
      <c r="D384" s="208">
        <f>D360</f>
        <v>18000</v>
      </c>
      <c r="E384" s="207"/>
      <c r="F384" s="207">
        <f>F362+F382</f>
        <v>21000</v>
      </c>
      <c r="G384" s="219">
        <f>G373+G381+G382-G380</f>
        <v>0</v>
      </c>
      <c r="H384" s="207">
        <f>H362+H382</f>
        <v>20250</v>
      </c>
      <c r="I384" s="206">
        <f>I362</f>
        <v>20000</v>
      </c>
      <c r="J384" s="207">
        <f t="shared" ref="J384:K384" si="149">J362+J382</f>
        <v>31250</v>
      </c>
      <c r="K384" s="207">
        <f t="shared" si="149"/>
        <v>20250</v>
      </c>
      <c r="L384" s="206"/>
      <c r="M384" s="206">
        <f>M383+L388</f>
        <v>0</v>
      </c>
      <c r="N384" s="209"/>
      <c r="O384" s="209"/>
      <c r="P384" s="209">
        <f>SUM(B384:M384)</f>
        <v>189083.3333</v>
      </c>
    </row>
    <row r="385">
      <c r="A385" s="126" t="s">
        <v>0</v>
      </c>
      <c r="B385" s="127" t="s">
        <v>90</v>
      </c>
      <c r="C385" s="127" t="s">
        <v>3</v>
      </c>
      <c r="D385" s="127" t="s">
        <v>136</v>
      </c>
      <c r="E385" s="183"/>
      <c r="F385" s="183" t="s">
        <v>155</v>
      </c>
      <c r="G385" s="183" t="s">
        <v>195</v>
      </c>
      <c r="H385" s="129" t="s">
        <v>206</v>
      </c>
      <c r="I385" s="129" t="s">
        <v>51</v>
      </c>
      <c r="J385" s="129" t="s">
        <v>6</v>
      </c>
      <c r="K385" s="129" t="s">
        <v>163</v>
      </c>
      <c r="L385" s="129"/>
      <c r="M385" s="129"/>
      <c r="N385" s="128"/>
      <c r="O385" s="128"/>
      <c r="P385" s="128" t="s">
        <v>110</v>
      </c>
    </row>
    <row r="386">
      <c r="A386" s="195" t="s">
        <v>216</v>
      </c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7"/>
    </row>
    <row r="387">
      <c r="A387" s="198" t="s">
        <v>116</v>
      </c>
      <c r="B387" s="210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202"/>
      <c r="O387" s="202"/>
      <c r="P387" s="202"/>
    </row>
    <row r="388">
      <c r="A388" s="198" t="s">
        <v>40</v>
      </c>
      <c r="B388" s="199"/>
      <c r="C388" s="199">
        <f>C364</f>
        <v>520.8333333</v>
      </c>
      <c r="D388" s="199"/>
      <c r="E388" s="199"/>
      <c r="F388" s="199"/>
      <c r="G388" s="199">
        <f>G364</f>
        <v>781.25</v>
      </c>
      <c r="H388" s="199"/>
      <c r="I388" s="199"/>
      <c r="J388" s="199"/>
      <c r="K388" s="199"/>
      <c r="L388" s="199"/>
      <c r="M388" s="199"/>
      <c r="N388" s="199"/>
      <c r="O388" s="199"/>
      <c r="P388" s="199">
        <f>SUM(B388:K388)</f>
        <v>1302.083333</v>
      </c>
    </row>
    <row r="389">
      <c r="A389" s="200" t="s">
        <v>209</v>
      </c>
      <c r="B389" s="201"/>
      <c r="C389" s="210"/>
      <c r="D389" s="201"/>
      <c r="E389" s="210"/>
      <c r="F389" s="210"/>
      <c r="G389" s="210"/>
      <c r="H389" s="201"/>
      <c r="I389" s="199"/>
      <c r="J389" s="201"/>
      <c r="K389" s="201"/>
      <c r="L389" s="199"/>
      <c r="M389" s="201"/>
      <c r="N389" s="201"/>
      <c r="O389" s="201"/>
      <c r="P389" s="201">
        <f>SUM(B389:J389)</f>
        <v>0</v>
      </c>
    </row>
    <row r="390">
      <c r="A390" s="200" t="s">
        <v>120</v>
      </c>
      <c r="B390" s="212"/>
      <c r="C390" s="212"/>
      <c r="D390" s="212"/>
      <c r="E390" s="213"/>
      <c r="F390" s="213"/>
      <c r="G390" s="212"/>
      <c r="H390" s="212"/>
      <c r="I390" s="212"/>
      <c r="J390" s="212"/>
      <c r="K390" s="212"/>
      <c r="L390" s="212"/>
      <c r="M390" s="214"/>
      <c r="N390" s="212"/>
      <c r="O390" s="212"/>
      <c r="P390" s="212"/>
    </row>
    <row r="391">
      <c r="A391" s="205" t="s">
        <v>118</v>
      </c>
      <c r="B391" s="206">
        <f>B362</f>
        <v>25000</v>
      </c>
      <c r="C391" s="207">
        <f>C362+C388</f>
        <v>25520.83333</v>
      </c>
      <c r="D391" s="208">
        <f>D362</f>
        <v>18000</v>
      </c>
      <c r="E391" s="207"/>
      <c r="F391" s="207">
        <f>F362</f>
        <v>18000</v>
      </c>
      <c r="G391" s="206">
        <f>G362+G388</f>
        <v>38281.25</v>
      </c>
      <c r="H391" s="206">
        <f t="shared" ref="H391:K391" si="150">H362</f>
        <v>18000</v>
      </c>
      <c r="I391" s="206">
        <f t="shared" si="150"/>
        <v>20000</v>
      </c>
      <c r="J391" s="206">
        <f t="shared" si="150"/>
        <v>25000</v>
      </c>
      <c r="K391" s="206">
        <f t="shared" si="150"/>
        <v>18000</v>
      </c>
      <c r="L391" s="206"/>
      <c r="M391" s="206">
        <f>M390+L395</f>
        <v>22000</v>
      </c>
      <c r="N391" s="209"/>
      <c r="O391" s="209"/>
      <c r="P391" s="209">
        <f>SUM(B391:M391)</f>
        <v>227802.0833</v>
      </c>
    </row>
    <row r="392">
      <c r="A392" s="224"/>
    </row>
    <row r="393">
      <c r="A393" s="126" t="s">
        <v>0</v>
      </c>
      <c r="B393" s="127" t="s">
        <v>90</v>
      </c>
      <c r="C393" s="127" t="s">
        <v>3</v>
      </c>
      <c r="D393" s="127" t="s">
        <v>136</v>
      </c>
      <c r="E393" s="183"/>
      <c r="F393" s="183" t="s">
        <v>155</v>
      </c>
      <c r="G393" s="183" t="s">
        <v>195</v>
      </c>
      <c r="H393" s="129" t="s">
        <v>206</v>
      </c>
      <c r="I393" s="129" t="s">
        <v>51</v>
      </c>
      <c r="J393" s="129" t="s">
        <v>6</v>
      </c>
      <c r="K393" s="129" t="s">
        <v>163</v>
      </c>
      <c r="L393" s="129" t="s">
        <v>217</v>
      </c>
      <c r="M393" s="129"/>
      <c r="N393" s="128"/>
      <c r="O393" s="128"/>
      <c r="P393" s="128" t="s">
        <v>110</v>
      </c>
    </row>
    <row r="394">
      <c r="A394" s="130" t="s">
        <v>137</v>
      </c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2"/>
    </row>
    <row r="395">
      <c r="A395" s="133" t="s">
        <v>111</v>
      </c>
      <c r="B395" s="134">
        <v>25000.0</v>
      </c>
      <c r="C395" s="134">
        <v>30000.0</v>
      </c>
      <c r="D395" s="134">
        <v>22000.0</v>
      </c>
      <c r="E395" s="134"/>
      <c r="F395" s="134">
        <v>22000.0</v>
      </c>
      <c r="G395" s="134">
        <v>37500.0</v>
      </c>
      <c r="H395" s="134">
        <v>18000.0</v>
      </c>
      <c r="I395" s="134">
        <v>25000.0</v>
      </c>
      <c r="J395" s="134">
        <v>25000.0</v>
      </c>
      <c r="K395" s="134">
        <v>18000.0</v>
      </c>
      <c r="L395" s="134">
        <v>22000.0</v>
      </c>
      <c r="M395" s="134">
        <v>23000.0</v>
      </c>
      <c r="N395" s="217"/>
      <c r="O395" s="217"/>
      <c r="P395" s="136">
        <f t="shared" ref="P395:P398" si="151">SUM(B395:M395)</f>
        <v>267500</v>
      </c>
    </row>
    <row r="396">
      <c r="A396" s="137"/>
      <c r="B396" s="134">
        <v>30000.0</v>
      </c>
      <c r="C396" s="134">
        <v>30000.0</v>
      </c>
      <c r="D396" s="134">
        <v>22000.0</v>
      </c>
      <c r="E396" s="134"/>
      <c r="F396" s="134">
        <v>22000.0</v>
      </c>
      <c r="G396" s="134">
        <v>37500.0</v>
      </c>
      <c r="H396" s="134">
        <v>18000.0</v>
      </c>
      <c r="I396" s="134">
        <v>25000.0</v>
      </c>
      <c r="J396" s="134">
        <v>25000.0</v>
      </c>
      <c r="K396" s="134">
        <v>18000.0</v>
      </c>
      <c r="L396" s="134">
        <v>22000.0</v>
      </c>
      <c r="M396" s="134">
        <v>23000.0</v>
      </c>
      <c r="N396" s="217"/>
      <c r="O396" s="217"/>
      <c r="P396" s="136">
        <f t="shared" si="151"/>
        <v>272500</v>
      </c>
    </row>
    <row r="397">
      <c r="A397" s="137"/>
      <c r="B397" s="134">
        <v>30000.0</v>
      </c>
      <c r="C397" s="134">
        <v>30000.0</v>
      </c>
      <c r="D397" s="134">
        <v>22000.0</v>
      </c>
      <c r="E397" s="134"/>
      <c r="F397" s="134">
        <v>22000.0</v>
      </c>
      <c r="G397" s="134">
        <v>37500.0</v>
      </c>
      <c r="H397" s="134">
        <v>18000.0</v>
      </c>
      <c r="I397" s="134">
        <v>25000.0</v>
      </c>
      <c r="J397" s="134">
        <v>25000.0</v>
      </c>
      <c r="K397" s="134">
        <v>18000.0</v>
      </c>
      <c r="L397" s="134">
        <v>22000.0</v>
      </c>
      <c r="M397" s="134">
        <v>23000.0</v>
      </c>
      <c r="N397" s="134">
        <v>24000.0</v>
      </c>
      <c r="O397" s="134">
        <v>42500.0</v>
      </c>
      <c r="P397" s="136">
        <f t="shared" si="151"/>
        <v>272500</v>
      </c>
    </row>
    <row r="398">
      <c r="A398" s="138"/>
      <c r="B398" s="134">
        <v>30000.0</v>
      </c>
      <c r="C398" s="134">
        <v>30000.0</v>
      </c>
      <c r="D398" s="134">
        <v>22000.0</v>
      </c>
      <c r="E398" s="134"/>
      <c r="F398" s="134">
        <v>22000.0</v>
      </c>
      <c r="G398" s="134">
        <v>37500.0</v>
      </c>
      <c r="H398" s="134">
        <v>18000.0</v>
      </c>
      <c r="I398" s="134">
        <v>25000.0</v>
      </c>
      <c r="J398" s="134">
        <v>25000.0</v>
      </c>
      <c r="K398" s="134">
        <v>18000.0</v>
      </c>
      <c r="L398" s="134">
        <v>22000.0</v>
      </c>
      <c r="M398" s="134">
        <v>23000.0</v>
      </c>
      <c r="N398" s="134">
        <v>24000.0</v>
      </c>
      <c r="O398" s="225">
        <v>42500.0</v>
      </c>
      <c r="P398" s="139">
        <f t="shared" si="151"/>
        <v>272500</v>
      </c>
    </row>
    <row r="399">
      <c r="A399" s="140" t="s">
        <v>113</v>
      </c>
      <c r="B399" s="141">
        <f t="shared" ref="B399:D399" si="152">SUM(B395:B398)</f>
        <v>115000</v>
      </c>
      <c r="C399" s="141">
        <f t="shared" si="152"/>
        <v>120000</v>
      </c>
      <c r="D399" s="141">
        <f t="shared" si="152"/>
        <v>88000</v>
      </c>
      <c r="E399" s="141"/>
      <c r="F399" s="141">
        <f t="shared" ref="F399:N399" si="153">SUM(F395:F398)</f>
        <v>88000</v>
      </c>
      <c r="G399" s="141">
        <f t="shared" si="153"/>
        <v>150000</v>
      </c>
      <c r="H399" s="141">
        <f t="shared" si="153"/>
        <v>72000</v>
      </c>
      <c r="I399" s="141">
        <f t="shared" si="153"/>
        <v>100000</v>
      </c>
      <c r="J399" s="141">
        <f t="shared" si="153"/>
        <v>100000</v>
      </c>
      <c r="K399" s="141">
        <f t="shared" si="153"/>
        <v>72000</v>
      </c>
      <c r="L399" s="141">
        <f t="shared" si="153"/>
        <v>88000</v>
      </c>
      <c r="M399" s="141">
        <f t="shared" si="153"/>
        <v>92000</v>
      </c>
      <c r="N399" s="141">
        <f t="shared" si="153"/>
        <v>48000</v>
      </c>
      <c r="O399" s="141"/>
      <c r="P399" s="141">
        <f>SUM(P395:P398)</f>
        <v>1085000</v>
      </c>
    </row>
    <row r="400">
      <c r="A400" s="157" t="s">
        <v>138</v>
      </c>
      <c r="B400" s="158">
        <f>B396/6/8</f>
        <v>625</v>
      </c>
      <c r="C400" s="158">
        <f>C395/8/6</f>
        <v>625</v>
      </c>
      <c r="D400" s="158">
        <f>D395/6/8</f>
        <v>458.3333333</v>
      </c>
      <c r="E400" s="158"/>
      <c r="F400" s="158">
        <f t="shared" ref="F400:M400" si="154">F395/6/8</f>
        <v>458.3333333</v>
      </c>
      <c r="G400" s="158">
        <f t="shared" si="154"/>
        <v>781.25</v>
      </c>
      <c r="H400" s="158">
        <f t="shared" si="154"/>
        <v>375</v>
      </c>
      <c r="I400" s="158">
        <f t="shared" si="154"/>
        <v>520.8333333</v>
      </c>
      <c r="J400" s="158">
        <f t="shared" si="154"/>
        <v>520.8333333</v>
      </c>
      <c r="K400" s="158">
        <f t="shared" si="154"/>
        <v>375</v>
      </c>
      <c r="L400" s="158">
        <f t="shared" si="154"/>
        <v>458.3333333</v>
      </c>
      <c r="M400" s="159">
        <f t="shared" si="154"/>
        <v>479.1666667</v>
      </c>
      <c r="N400" s="159">
        <f t="shared" ref="N400:O400" si="155">N398/6/8</f>
        <v>500</v>
      </c>
      <c r="O400" s="159">
        <f t="shared" si="155"/>
        <v>885.4166667</v>
      </c>
      <c r="P400" s="122"/>
    </row>
    <row r="401">
      <c r="A401" s="195" t="s">
        <v>218</v>
      </c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7"/>
    </row>
    <row r="402">
      <c r="A402" s="198" t="s">
        <v>116</v>
      </c>
      <c r="B402" s="210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202"/>
      <c r="O402" s="202"/>
      <c r="P402" s="202"/>
    </row>
    <row r="403">
      <c r="A403" s="198" t="s">
        <v>40</v>
      </c>
      <c r="B403" s="199">
        <f t="shared" ref="B403:D403" si="156">B400</f>
        <v>625</v>
      </c>
      <c r="C403" s="199">
        <f t="shared" si="156"/>
        <v>625</v>
      </c>
      <c r="D403" s="199">
        <f t="shared" si="156"/>
        <v>458.3333333</v>
      </c>
      <c r="E403" s="199"/>
      <c r="F403" s="199">
        <f>F400</f>
        <v>458.3333333</v>
      </c>
      <c r="G403" s="199"/>
      <c r="H403" s="199"/>
      <c r="I403" s="199">
        <f>4*I400</f>
        <v>2083.333333</v>
      </c>
      <c r="J403" s="199"/>
      <c r="K403" s="199"/>
      <c r="L403" s="199"/>
      <c r="M403" s="199"/>
      <c r="N403" s="199"/>
      <c r="O403" s="199"/>
      <c r="P403" s="199">
        <f>SUM(B403:K403)</f>
        <v>4250</v>
      </c>
    </row>
    <row r="404">
      <c r="A404" s="200" t="s">
        <v>209</v>
      </c>
      <c r="B404" s="201">
        <f t="shared" ref="B404:D404" si="157">B400*8</f>
        <v>5000</v>
      </c>
      <c r="C404" s="210">
        <f t="shared" si="157"/>
        <v>5000</v>
      </c>
      <c r="D404" s="201">
        <f t="shared" si="157"/>
        <v>3666.666667</v>
      </c>
      <c r="E404" s="210"/>
      <c r="F404" s="210"/>
      <c r="G404" s="210">
        <f>G400*8</f>
        <v>6250</v>
      </c>
      <c r="H404" s="201">
        <f t="shared" ref="H404:I404" si="158">H400*6</f>
        <v>2250</v>
      </c>
      <c r="I404" s="199">
        <f t="shared" si="158"/>
        <v>3125</v>
      </c>
      <c r="J404" s="201">
        <f>6*J400</f>
        <v>3125</v>
      </c>
      <c r="K404" s="201">
        <f>K400*6</f>
        <v>2250</v>
      </c>
      <c r="L404" s="199"/>
      <c r="M404" s="201"/>
      <c r="N404" s="201"/>
      <c r="O404" s="201"/>
      <c r="P404" s="201">
        <f>SUM(B404:J404)</f>
        <v>28416.66667</v>
      </c>
    </row>
    <row r="405">
      <c r="A405" s="200" t="s">
        <v>120</v>
      </c>
      <c r="B405" s="212"/>
      <c r="C405" s="212"/>
      <c r="D405" s="212"/>
      <c r="E405" s="213"/>
      <c r="F405" s="213"/>
      <c r="G405" s="212"/>
      <c r="H405" s="212"/>
      <c r="I405" s="212"/>
      <c r="J405" s="212"/>
      <c r="K405" s="212"/>
      <c r="L405" s="212"/>
      <c r="M405" s="214"/>
      <c r="N405" s="212"/>
      <c r="O405" s="212"/>
      <c r="P405" s="212"/>
      <c r="Q405" s="72" t="s">
        <v>219</v>
      </c>
    </row>
    <row r="406">
      <c r="A406" s="205" t="s">
        <v>118</v>
      </c>
      <c r="B406" s="208">
        <f t="shared" ref="B406:D406" si="159">B395+B403+B404-B402</f>
        <v>30625</v>
      </c>
      <c r="C406" s="207">
        <f t="shared" si="159"/>
        <v>35625</v>
      </c>
      <c r="D406" s="208">
        <f t="shared" si="159"/>
        <v>26125</v>
      </c>
      <c r="E406" s="207"/>
      <c r="F406" s="207">
        <f>F395+F404+F403-F402</f>
        <v>22458.33333</v>
      </c>
      <c r="G406" s="219">
        <f>G395+G403+G404-G402</f>
        <v>43750</v>
      </c>
      <c r="H406" s="208">
        <f t="shared" ref="H406:K406" si="160">H395+H403+H404</f>
        <v>20250</v>
      </c>
      <c r="I406" s="206">
        <f t="shared" si="160"/>
        <v>30208.33333</v>
      </c>
      <c r="J406" s="208">
        <f t="shared" si="160"/>
        <v>28125</v>
      </c>
      <c r="K406" s="208">
        <f t="shared" si="160"/>
        <v>20250</v>
      </c>
      <c r="L406" s="206">
        <f>L398</f>
        <v>22000</v>
      </c>
      <c r="M406" s="226">
        <v>7600.0</v>
      </c>
      <c r="N406" s="209"/>
      <c r="O406" s="209"/>
      <c r="P406" s="220">
        <f>SUM(B406:M406)</f>
        <v>287016.6667</v>
      </c>
    </row>
    <row r="407">
      <c r="A407" s="126" t="s">
        <v>0</v>
      </c>
      <c r="B407" s="127" t="s">
        <v>90</v>
      </c>
      <c r="C407" s="127" t="s">
        <v>3</v>
      </c>
      <c r="D407" s="127" t="s">
        <v>136</v>
      </c>
      <c r="E407" s="183"/>
      <c r="F407" s="183" t="s">
        <v>155</v>
      </c>
      <c r="G407" s="183" t="s">
        <v>195</v>
      </c>
      <c r="H407" s="129" t="s">
        <v>206</v>
      </c>
      <c r="I407" s="129" t="s">
        <v>51</v>
      </c>
      <c r="J407" s="129" t="s">
        <v>6</v>
      </c>
      <c r="K407" s="129" t="s">
        <v>163</v>
      </c>
      <c r="L407" s="129" t="s">
        <v>217</v>
      </c>
      <c r="M407" s="129" t="s">
        <v>220</v>
      </c>
      <c r="N407" s="128"/>
      <c r="O407" s="129" t="s">
        <v>221</v>
      </c>
      <c r="P407" s="128" t="s">
        <v>110</v>
      </c>
    </row>
    <row r="408">
      <c r="A408" s="195" t="s">
        <v>222</v>
      </c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7"/>
    </row>
    <row r="409">
      <c r="A409" s="198" t="s">
        <v>116</v>
      </c>
      <c r="B409" s="210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221"/>
      <c r="O409" s="221"/>
      <c r="P409" s="202"/>
    </row>
    <row r="410">
      <c r="A410" s="198" t="s">
        <v>40</v>
      </c>
      <c r="B410" s="199">
        <f>2*B400</f>
        <v>1250</v>
      </c>
      <c r="C410" s="199"/>
      <c r="D410" s="199">
        <f>2*D400</f>
        <v>916.6666667</v>
      </c>
      <c r="E410" s="199"/>
      <c r="F410" s="199"/>
      <c r="G410" s="199"/>
      <c r="H410" s="199"/>
      <c r="I410" s="221">
        <f>2*I400</f>
        <v>1041.666667</v>
      </c>
      <c r="J410" s="199"/>
      <c r="K410" s="199"/>
      <c r="L410" s="199"/>
      <c r="M410" s="199"/>
      <c r="N410" s="199"/>
      <c r="O410" s="199"/>
      <c r="P410" s="199">
        <f>SUM(B410:K410)</f>
        <v>3208.333333</v>
      </c>
    </row>
    <row r="411">
      <c r="A411" s="200"/>
      <c r="B411" s="201"/>
      <c r="C411" s="210"/>
      <c r="D411" s="201"/>
      <c r="E411" s="210"/>
      <c r="F411" s="210"/>
      <c r="G411" s="222"/>
      <c r="H411" s="201"/>
      <c r="I411" s="199"/>
      <c r="J411" s="201"/>
      <c r="K411" s="201"/>
      <c r="L411" s="199"/>
      <c r="M411" s="201"/>
      <c r="N411" s="201"/>
      <c r="O411" s="201"/>
      <c r="P411" s="201">
        <f>SUM(B411:J411)</f>
        <v>0</v>
      </c>
    </row>
    <row r="412">
      <c r="A412" s="200" t="s">
        <v>120</v>
      </c>
      <c r="B412" s="212"/>
      <c r="C412" s="212"/>
      <c r="D412" s="212"/>
      <c r="E412" s="213"/>
      <c r="F412" s="213"/>
      <c r="G412" s="214"/>
      <c r="H412" s="212"/>
      <c r="I412" s="212"/>
      <c r="J412" s="212"/>
      <c r="K412" s="212"/>
      <c r="L412" s="212"/>
      <c r="M412" s="214"/>
      <c r="N412" s="212"/>
      <c r="O412" s="212"/>
      <c r="P412" s="212"/>
    </row>
    <row r="413">
      <c r="A413" s="205" t="s">
        <v>118</v>
      </c>
      <c r="B413" s="219">
        <f t="shared" ref="B413:D413" si="161">B402+B410+B411-B409+B398</f>
        <v>31250</v>
      </c>
      <c r="C413" s="207">
        <f t="shared" si="161"/>
        <v>30000</v>
      </c>
      <c r="D413" s="208">
        <f t="shared" si="161"/>
        <v>22916.66667</v>
      </c>
      <c r="E413" s="206"/>
      <c r="F413" s="219">
        <f>F402+F410+F411-F409+F398</f>
        <v>22000</v>
      </c>
      <c r="G413" s="206">
        <f>G402+G410-G409+G412+G398</f>
        <v>37500</v>
      </c>
      <c r="H413" s="208">
        <f t="shared" ref="H413:K413" si="162">H402+H410+H411-H409+H398</f>
        <v>18000</v>
      </c>
      <c r="I413" s="206">
        <f t="shared" si="162"/>
        <v>26041.66667</v>
      </c>
      <c r="J413" s="208">
        <f t="shared" si="162"/>
        <v>25000</v>
      </c>
      <c r="K413" s="208">
        <f t="shared" si="162"/>
        <v>18000</v>
      </c>
      <c r="L413" s="206">
        <f>L398</f>
        <v>22000</v>
      </c>
      <c r="M413" s="206">
        <f>M412+L417</f>
        <v>0</v>
      </c>
      <c r="N413" s="209"/>
      <c r="O413" s="209"/>
      <c r="P413" s="223">
        <f>SUM(B413:M413)</f>
        <v>252708.3333</v>
      </c>
    </row>
    <row r="414">
      <c r="A414" s="126" t="s">
        <v>0</v>
      </c>
      <c r="B414" s="127" t="s">
        <v>90</v>
      </c>
      <c r="C414" s="127" t="s">
        <v>3</v>
      </c>
      <c r="D414" s="127" t="s">
        <v>136</v>
      </c>
      <c r="E414" s="183"/>
      <c r="F414" s="183" t="s">
        <v>155</v>
      </c>
      <c r="G414" s="183" t="s">
        <v>195</v>
      </c>
      <c r="H414" s="129" t="s">
        <v>206</v>
      </c>
      <c r="I414" s="129" t="s">
        <v>51</v>
      </c>
      <c r="J414" s="129" t="s">
        <v>6</v>
      </c>
      <c r="K414" s="129" t="s">
        <v>163</v>
      </c>
      <c r="L414" s="129" t="s">
        <v>217</v>
      </c>
      <c r="M414" s="129" t="s">
        <v>220</v>
      </c>
      <c r="N414" s="129" t="s">
        <v>223</v>
      </c>
      <c r="O414" s="129" t="s">
        <v>221</v>
      </c>
      <c r="P414" s="128" t="s">
        <v>110</v>
      </c>
    </row>
    <row r="415">
      <c r="A415" s="195" t="s">
        <v>224</v>
      </c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7"/>
    </row>
    <row r="416">
      <c r="A416" s="198" t="s">
        <v>116</v>
      </c>
      <c r="B416" s="210"/>
      <c r="C416" s="199"/>
      <c r="D416" s="199"/>
      <c r="E416" s="199"/>
      <c r="F416" s="199"/>
      <c r="G416" s="199"/>
      <c r="H416" s="221" t="s">
        <v>225</v>
      </c>
      <c r="I416" s="199"/>
      <c r="J416" s="199"/>
      <c r="K416" s="199"/>
      <c r="L416" s="199"/>
      <c r="M416" s="199"/>
      <c r="N416" s="221">
        <v>4000.0</v>
      </c>
      <c r="O416" s="221"/>
      <c r="P416" s="202"/>
    </row>
    <row r="417">
      <c r="A417" s="198" t="s">
        <v>40</v>
      </c>
      <c r="B417" s="199">
        <f>4*B400</f>
        <v>2500</v>
      </c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>
        <f>O400*8</f>
        <v>7083.333333</v>
      </c>
      <c r="P417" s="199">
        <f>SUM(B417:K417)</f>
        <v>2500</v>
      </c>
    </row>
    <row r="418">
      <c r="A418" s="200" t="s">
        <v>209</v>
      </c>
      <c r="B418" s="211"/>
      <c r="C418" s="210"/>
      <c r="D418" s="211"/>
      <c r="E418" s="210"/>
      <c r="F418" s="210"/>
      <c r="G418" s="222"/>
      <c r="H418" s="210"/>
      <c r="I418" s="221"/>
      <c r="J418" s="210"/>
      <c r="K418" s="210"/>
      <c r="L418" s="199"/>
      <c r="M418" s="201"/>
      <c r="N418" s="201"/>
      <c r="O418" s="201"/>
      <c r="P418" s="201">
        <f>SUM(B418:J418)</f>
        <v>0</v>
      </c>
    </row>
    <row r="419">
      <c r="A419" s="200" t="s">
        <v>120</v>
      </c>
      <c r="B419" s="212"/>
      <c r="C419" s="212"/>
      <c r="D419" s="212"/>
      <c r="E419" s="213"/>
      <c r="F419" s="213"/>
      <c r="G419" s="212"/>
      <c r="H419" s="212"/>
      <c r="I419" s="212"/>
      <c r="J419" s="212"/>
      <c r="K419" s="212"/>
      <c r="L419" s="212"/>
      <c r="M419" s="214"/>
      <c r="N419" s="212"/>
      <c r="O419" s="212"/>
      <c r="P419" s="212"/>
    </row>
    <row r="420">
      <c r="A420" s="205" t="s">
        <v>118</v>
      </c>
      <c r="B420" s="206">
        <f>B398+B417</f>
        <v>32500</v>
      </c>
      <c r="C420" s="207">
        <f>C409+C417+C418-C416+C397</f>
        <v>30000</v>
      </c>
      <c r="D420" s="208">
        <f>D396</f>
        <v>22000</v>
      </c>
      <c r="E420" s="207"/>
      <c r="F420" s="207">
        <f>F398+F418</f>
        <v>22000</v>
      </c>
      <c r="G420" s="206">
        <f>G398</f>
        <v>37500</v>
      </c>
      <c r="H420" s="207">
        <f>H398+H418</f>
        <v>18000</v>
      </c>
      <c r="I420" s="206">
        <f>I398</f>
        <v>25000</v>
      </c>
      <c r="J420" s="207">
        <f>J400*8*3</f>
        <v>12500</v>
      </c>
      <c r="K420" s="207">
        <f>K398+K418</f>
        <v>18000</v>
      </c>
      <c r="L420" s="206">
        <f>L400*8*3</f>
        <v>11000</v>
      </c>
      <c r="M420" s="206">
        <f>M398</f>
        <v>23000</v>
      </c>
      <c r="N420" s="209">
        <f>24000-N416</f>
        <v>20000</v>
      </c>
      <c r="O420" s="227">
        <v>42500.0</v>
      </c>
      <c r="P420" s="209">
        <f>SUM(B420:M420)</f>
        <v>251500</v>
      </c>
    </row>
    <row r="421">
      <c r="A421" s="126" t="s">
        <v>0</v>
      </c>
      <c r="B421" s="127" t="s">
        <v>90</v>
      </c>
      <c r="C421" s="127" t="s">
        <v>3</v>
      </c>
      <c r="D421" s="127" t="s">
        <v>136</v>
      </c>
      <c r="E421" s="183"/>
      <c r="F421" s="183" t="s">
        <v>155</v>
      </c>
      <c r="G421" s="183" t="s">
        <v>195</v>
      </c>
      <c r="H421" s="129" t="s">
        <v>206</v>
      </c>
      <c r="I421" s="129" t="s">
        <v>51</v>
      </c>
      <c r="J421" s="129" t="s">
        <v>6</v>
      </c>
      <c r="K421" s="129" t="s">
        <v>163</v>
      </c>
      <c r="L421" s="129" t="s">
        <v>217</v>
      </c>
      <c r="M421" s="129" t="s">
        <v>220</v>
      </c>
      <c r="N421" s="129" t="s">
        <v>223</v>
      </c>
      <c r="O421" s="129" t="s">
        <v>221</v>
      </c>
      <c r="P421" s="128" t="s">
        <v>110</v>
      </c>
    </row>
    <row r="422">
      <c r="A422" s="195" t="s">
        <v>226</v>
      </c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7"/>
    </row>
    <row r="423">
      <c r="A423" s="198" t="s">
        <v>116</v>
      </c>
      <c r="B423" s="210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202"/>
      <c r="O423" s="202"/>
      <c r="P423" s="202"/>
    </row>
    <row r="424">
      <c r="A424" s="198" t="s">
        <v>40</v>
      </c>
      <c r="B424" s="199"/>
      <c r="C424" s="199">
        <f>6*C400</f>
        <v>3750</v>
      </c>
      <c r="D424" s="199">
        <f>1*D400</f>
        <v>458.3333333</v>
      </c>
      <c r="E424" s="199"/>
      <c r="F424" s="199"/>
      <c r="G424" s="199">
        <f>12*G400</f>
        <v>9375</v>
      </c>
      <c r="H424" s="199"/>
      <c r="I424" s="199"/>
      <c r="J424" s="199"/>
      <c r="K424" s="199"/>
      <c r="L424" s="199"/>
      <c r="M424" s="199"/>
      <c r="N424" s="199"/>
      <c r="O424" s="199">
        <f>10*O400</f>
        <v>8854.166667</v>
      </c>
      <c r="P424" s="199">
        <f>SUM(B424:K424)</f>
        <v>13583.33333</v>
      </c>
    </row>
    <row r="425">
      <c r="A425" s="200" t="s">
        <v>209</v>
      </c>
      <c r="B425" s="201"/>
      <c r="C425" s="210"/>
      <c r="D425" s="201"/>
      <c r="E425" s="210"/>
      <c r="F425" s="210"/>
      <c r="G425" s="210"/>
      <c r="H425" s="201"/>
      <c r="I425" s="199"/>
      <c r="J425" s="201"/>
      <c r="K425" s="201"/>
      <c r="L425" s="199"/>
      <c r="M425" s="201"/>
      <c r="N425" s="201"/>
      <c r="O425" s="201"/>
      <c r="P425" s="201">
        <f>SUM(B425:J425)</f>
        <v>0</v>
      </c>
    </row>
    <row r="426">
      <c r="A426" s="200" t="s">
        <v>120</v>
      </c>
      <c r="B426" s="212"/>
      <c r="C426" s="212"/>
      <c r="D426" s="212"/>
      <c r="E426" s="213"/>
      <c r="F426" s="213"/>
      <c r="G426" s="212"/>
      <c r="H426" s="212"/>
      <c r="I426" s="212"/>
      <c r="J426" s="212"/>
      <c r="K426" s="212"/>
      <c r="L426" s="212"/>
      <c r="M426" s="214"/>
      <c r="N426" s="212"/>
      <c r="O426" s="212"/>
      <c r="P426" s="212"/>
    </row>
    <row r="427">
      <c r="A427" s="205" t="s">
        <v>118</v>
      </c>
      <c r="B427" s="206">
        <f>B398</f>
        <v>30000</v>
      </c>
      <c r="C427" s="207">
        <f t="shared" ref="C427:D427" si="163">C398+C424</f>
        <v>33750</v>
      </c>
      <c r="D427" s="208">
        <f t="shared" si="163"/>
        <v>22458.33333</v>
      </c>
      <c r="E427" s="207"/>
      <c r="F427" s="207">
        <f>F398</f>
        <v>22000</v>
      </c>
      <c r="G427" s="206">
        <f>G398+G424</f>
        <v>46875</v>
      </c>
      <c r="H427" s="206"/>
      <c r="I427" s="206">
        <f>I398</f>
        <v>25000</v>
      </c>
      <c r="J427" s="206"/>
      <c r="K427" s="226">
        <v>23000.0</v>
      </c>
      <c r="L427" s="206"/>
      <c r="M427" s="206">
        <f>M426+L431</f>
        <v>0</v>
      </c>
      <c r="N427" s="209"/>
      <c r="O427" s="209">
        <f>O398+O424</f>
        <v>51354.16667</v>
      </c>
      <c r="P427" s="209">
        <f>SUM(B427:M427)</f>
        <v>203083.3333</v>
      </c>
    </row>
    <row r="428">
      <c r="A428" s="126" t="s">
        <v>0</v>
      </c>
      <c r="B428" s="127" t="s">
        <v>90</v>
      </c>
      <c r="C428" s="127" t="s">
        <v>3</v>
      </c>
      <c r="D428" s="127" t="s">
        <v>136</v>
      </c>
      <c r="E428" s="183"/>
      <c r="F428" s="183" t="s">
        <v>155</v>
      </c>
      <c r="G428" s="183" t="s">
        <v>195</v>
      </c>
      <c r="H428" s="129" t="s">
        <v>227</v>
      </c>
      <c r="I428" s="129" t="s">
        <v>51</v>
      </c>
      <c r="J428" s="129"/>
      <c r="K428" s="129" t="s">
        <v>228</v>
      </c>
      <c r="L428" s="129"/>
      <c r="M428" s="129"/>
      <c r="N428" s="129" t="s">
        <v>223</v>
      </c>
      <c r="O428" s="129" t="s">
        <v>221</v>
      </c>
      <c r="P428" s="128" t="s">
        <v>110</v>
      </c>
    </row>
    <row r="429">
      <c r="A429" s="215"/>
      <c r="B429" s="216"/>
      <c r="C429" s="216"/>
      <c r="D429" s="216"/>
      <c r="E429" s="216"/>
      <c r="F429" s="216"/>
      <c r="G429" s="216"/>
      <c r="H429" s="216" t="s">
        <v>229</v>
      </c>
      <c r="I429" s="216"/>
      <c r="J429" s="216"/>
      <c r="K429" s="216"/>
      <c r="L429" s="216"/>
      <c r="M429" s="216"/>
      <c r="N429" s="216"/>
      <c r="O429" s="216"/>
      <c r="P429" s="216"/>
      <c r="Q429" s="35"/>
    </row>
    <row r="430">
      <c r="A430" s="228"/>
      <c r="B430" s="229"/>
      <c r="C430" s="229"/>
      <c r="D430" s="229"/>
      <c r="E430" s="229"/>
      <c r="F430" s="229"/>
      <c r="G430" s="229"/>
      <c r="H430" s="229" t="s">
        <v>230</v>
      </c>
      <c r="I430" s="229"/>
      <c r="J430" s="229"/>
      <c r="K430" s="229"/>
      <c r="L430" s="229"/>
      <c r="M430" s="229"/>
      <c r="N430" s="229"/>
      <c r="O430" s="229"/>
      <c r="P430" s="229"/>
      <c r="Q430" s="229"/>
    </row>
    <row r="431">
      <c r="A431" s="230"/>
      <c r="B431" s="231"/>
      <c r="C431" s="231"/>
      <c r="D431" s="231"/>
      <c r="E431" s="231"/>
      <c r="F431" s="231"/>
      <c r="G431" s="231"/>
      <c r="H431" s="231"/>
      <c r="I431" s="231"/>
      <c r="J431" s="231"/>
      <c r="K431" s="231"/>
      <c r="L431" s="231"/>
      <c r="M431" s="231"/>
      <c r="N431" s="231"/>
      <c r="O431" s="231"/>
      <c r="P431" s="231"/>
      <c r="Q431" s="230"/>
    </row>
    <row r="432">
      <c r="A432" s="126" t="s">
        <v>0</v>
      </c>
      <c r="B432" s="127" t="s">
        <v>90</v>
      </c>
      <c r="C432" s="127" t="s">
        <v>3</v>
      </c>
      <c r="D432" s="127" t="s">
        <v>136</v>
      </c>
      <c r="E432" s="183"/>
      <c r="F432" s="183" t="s">
        <v>155</v>
      </c>
      <c r="G432" s="183" t="s">
        <v>195</v>
      </c>
      <c r="H432" s="129" t="s">
        <v>221</v>
      </c>
      <c r="I432" s="129" t="s">
        <v>51</v>
      </c>
      <c r="J432" s="129" t="s">
        <v>228</v>
      </c>
      <c r="K432" s="129" t="s">
        <v>231</v>
      </c>
      <c r="L432" s="129" t="s">
        <v>232</v>
      </c>
      <c r="M432" s="129"/>
      <c r="N432" s="128"/>
      <c r="O432" s="128"/>
      <c r="P432" s="128" t="s">
        <v>110</v>
      </c>
    </row>
    <row r="433">
      <c r="A433" s="130" t="s">
        <v>44</v>
      </c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2"/>
    </row>
    <row r="434">
      <c r="A434" s="133" t="s">
        <v>111</v>
      </c>
      <c r="B434" s="134">
        <v>30000.0</v>
      </c>
      <c r="C434" s="134">
        <v>30000.0</v>
      </c>
      <c r="D434" s="134">
        <v>22000.0</v>
      </c>
      <c r="E434" s="134"/>
      <c r="F434" s="134">
        <v>22000.0</v>
      </c>
      <c r="G434" s="134">
        <v>37500.0</v>
      </c>
      <c r="H434" s="134">
        <v>45000.0</v>
      </c>
      <c r="I434" s="134">
        <v>25000.0</v>
      </c>
      <c r="J434" s="134">
        <v>23000.0</v>
      </c>
      <c r="K434" s="134">
        <v>20000.0</v>
      </c>
      <c r="L434" s="134">
        <v>18000.0</v>
      </c>
      <c r="M434" s="134"/>
      <c r="N434" s="217"/>
      <c r="O434" s="217"/>
      <c r="P434" s="136">
        <f t="shared" ref="P434:P437" si="164">SUM(B434:M434)</f>
        <v>272500</v>
      </c>
    </row>
    <row r="435">
      <c r="A435" s="137"/>
      <c r="B435" s="134">
        <v>30000.0</v>
      </c>
      <c r="C435" s="134">
        <v>30000.0</v>
      </c>
      <c r="D435" s="134">
        <v>22000.0</v>
      </c>
      <c r="E435" s="134"/>
      <c r="F435" s="134">
        <v>22000.0</v>
      </c>
      <c r="G435" s="134">
        <v>37500.0</v>
      </c>
      <c r="H435" s="134">
        <v>45000.0</v>
      </c>
      <c r="I435" s="134">
        <v>25000.0</v>
      </c>
      <c r="J435" s="134">
        <v>37500.0</v>
      </c>
      <c r="K435" s="134">
        <v>20000.0</v>
      </c>
      <c r="L435" s="134">
        <v>18000.0</v>
      </c>
      <c r="M435" s="134"/>
      <c r="N435" s="217"/>
      <c r="O435" s="217"/>
      <c r="P435" s="136">
        <f t="shared" si="164"/>
        <v>287000</v>
      </c>
    </row>
    <row r="436">
      <c r="A436" s="137"/>
      <c r="B436" s="134">
        <v>30000.0</v>
      </c>
      <c r="C436" s="134">
        <v>30000.0</v>
      </c>
      <c r="D436" s="134">
        <v>22000.0</v>
      </c>
      <c r="E436" s="134"/>
      <c r="F436" s="134">
        <v>22000.0</v>
      </c>
      <c r="G436" s="134">
        <v>37500.0</v>
      </c>
      <c r="H436" s="134">
        <v>45000.0</v>
      </c>
      <c r="I436" s="134">
        <v>25000.0</v>
      </c>
      <c r="J436" s="134">
        <v>37500.0</v>
      </c>
      <c r="K436" s="134">
        <v>20000.0</v>
      </c>
      <c r="L436" s="134">
        <v>18000.0</v>
      </c>
      <c r="M436" s="134"/>
      <c r="N436" s="134"/>
      <c r="O436" s="134"/>
      <c r="P436" s="136">
        <f t="shared" si="164"/>
        <v>287000</v>
      </c>
    </row>
    <row r="437">
      <c r="A437" s="138"/>
      <c r="B437" s="134">
        <v>30000.0</v>
      </c>
      <c r="C437" s="134">
        <v>30000.0</v>
      </c>
      <c r="D437" s="134">
        <v>22000.0</v>
      </c>
      <c r="E437" s="134"/>
      <c r="F437" s="134">
        <v>22000.0</v>
      </c>
      <c r="G437" s="134">
        <v>37500.0</v>
      </c>
      <c r="H437" s="134">
        <v>45000.0</v>
      </c>
      <c r="I437" s="134">
        <v>25000.0</v>
      </c>
      <c r="J437" s="134">
        <v>37500.0</v>
      </c>
      <c r="K437" s="134">
        <v>20000.0</v>
      </c>
      <c r="L437" s="134">
        <v>18000.0</v>
      </c>
      <c r="M437" s="134"/>
      <c r="N437" s="134"/>
      <c r="O437" s="225"/>
      <c r="P437" s="139">
        <f t="shared" si="164"/>
        <v>287000</v>
      </c>
    </row>
    <row r="438">
      <c r="A438" s="140" t="s">
        <v>113</v>
      </c>
      <c r="B438" s="141">
        <f t="shared" ref="B438:D438" si="165">SUM(B434:B437)</f>
        <v>120000</v>
      </c>
      <c r="C438" s="141">
        <f t="shared" si="165"/>
        <v>120000</v>
      </c>
      <c r="D438" s="141">
        <f t="shared" si="165"/>
        <v>88000</v>
      </c>
      <c r="E438" s="141"/>
      <c r="F438" s="141">
        <f t="shared" ref="F438:N438" si="166">SUM(F434:F437)</f>
        <v>88000</v>
      </c>
      <c r="G438" s="141">
        <f t="shared" si="166"/>
        <v>150000</v>
      </c>
      <c r="H438" s="141">
        <f t="shared" si="166"/>
        <v>180000</v>
      </c>
      <c r="I438" s="141">
        <f t="shared" si="166"/>
        <v>100000</v>
      </c>
      <c r="J438" s="141">
        <f t="shared" si="166"/>
        <v>135500</v>
      </c>
      <c r="K438" s="141">
        <f t="shared" si="166"/>
        <v>80000</v>
      </c>
      <c r="L438" s="141">
        <f t="shared" si="166"/>
        <v>72000</v>
      </c>
      <c r="M438" s="141">
        <f t="shared" si="166"/>
        <v>0</v>
      </c>
      <c r="N438" s="141">
        <f t="shared" si="166"/>
        <v>0</v>
      </c>
      <c r="O438" s="141"/>
      <c r="P438" s="141">
        <f>SUM(P434:P437)</f>
        <v>1133500</v>
      </c>
    </row>
    <row r="439">
      <c r="A439" s="157" t="s">
        <v>138</v>
      </c>
      <c r="B439" s="158">
        <f>B435/6/8</f>
        <v>625</v>
      </c>
      <c r="C439" s="158">
        <f>C434/8/6</f>
        <v>625</v>
      </c>
      <c r="D439" s="158">
        <f>D434/6/8</f>
        <v>458.3333333</v>
      </c>
      <c r="E439" s="158"/>
      <c r="F439" s="158">
        <f t="shared" ref="F439:I439" si="167">F434/6/8</f>
        <v>458.3333333</v>
      </c>
      <c r="G439" s="158">
        <f t="shared" si="167"/>
        <v>781.25</v>
      </c>
      <c r="H439" s="158">
        <f t="shared" si="167"/>
        <v>937.5</v>
      </c>
      <c r="I439" s="158">
        <f t="shared" si="167"/>
        <v>520.8333333</v>
      </c>
      <c r="J439" s="158">
        <f>J435/68</f>
        <v>551.4705882</v>
      </c>
      <c r="K439" s="158">
        <f>K434/6/6</f>
        <v>555.5555556</v>
      </c>
      <c r="L439" s="158">
        <f t="shared" ref="L439:M439" si="168">L434/6/8</f>
        <v>375</v>
      </c>
      <c r="M439" s="159">
        <f t="shared" si="168"/>
        <v>0</v>
      </c>
      <c r="N439" s="159">
        <f t="shared" ref="N439:O439" si="169">N437/6/8</f>
        <v>0</v>
      </c>
      <c r="O439" s="159">
        <f t="shared" si="169"/>
        <v>0</v>
      </c>
      <c r="P439" s="122"/>
    </row>
    <row r="440">
      <c r="A440" s="228"/>
      <c r="B440" s="232"/>
      <c r="C440" s="232"/>
      <c r="D440" s="232"/>
      <c r="E440" s="232"/>
      <c r="F440" s="232"/>
      <c r="G440" s="232"/>
      <c r="H440" s="232"/>
      <c r="I440" s="232"/>
      <c r="J440" s="232"/>
      <c r="K440" s="232"/>
      <c r="L440" s="232"/>
      <c r="M440" s="232"/>
      <c r="N440" s="232"/>
      <c r="O440" s="232"/>
      <c r="P440" s="232"/>
      <c r="Q440" s="228"/>
    </row>
    <row r="441">
      <c r="A441" s="195" t="s">
        <v>233</v>
      </c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7"/>
    </row>
    <row r="442">
      <c r="A442" s="198" t="s">
        <v>116</v>
      </c>
      <c r="B442" s="210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202"/>
      <c r="O442" s="202"/>
      <c r="P442" s="202"/>
    </row>
    <row r="443">
      <c r="A443" s="198" t="s">
        <v>40</v>
      </c>
      <c r="B443" s="199">
        <f>2*B439</f>
        <v>1250</v>
      </c>
      <c r="C443" s="199" t="str">
        <f t="shared" ref="C443:D443" si="170">C440</f>
        <v/>
      </c>
      <c r="D443" s="199" t="str">
        <f t="shared" si="170"/>
        <v/>
      </c>
      <c r="E443" s="199"/>
      <c r="F443" s="199" t="str">
        <f>F440</f>
        <v/>
      </c>
      <c r="G443" s="199">
        <f>4*G439</f>
        <v>3125</v>
      </c>
      <c r="H443" s="199">
        <f>6*H439</f>
        <v>5625</v>
      </c>
      <c r="I443" s="199">
        <f>2*I439</f>
        <v>1041.666667</v>
      </c>
      <c r="J443" s="199"/>
      <c r="K443" s="199"/>
      <c r="L443" s="199"/>
      <c r="M443" s="199"/>
      <c r="N443" s="199"/>
      <c r="O443" s="199"/>
      <c r="P443" s="199">
        <f>SUM(B443:K443)</f>
        <v>11041.66667</v>
      </c>
    </row>
    <row r="444">
      <c r="A444" s="200" t="s">
        <v>209</v>
      </c>
      <c r="B444" s="201">
        <f t="shared" ref="B444:C444" si="171">B440*8</f>
        <v>0</v>
      </c>
      <c r="C444" s="210">
        <f t="shared" si="171"/>
        <v>0</v>
      </c>
      <c r="D444" s="201">
        <f>4*D439</f>
        <v>1833.333333</v>
      </c>
      <c r="E444" s="210"/>
      <c r="F444" s="210"/>
      <c r="G444" s="210">
        <f>G440*8</f>
        <v>0</v>
      </c>
      <c r="H444" s="201">
        <f t="shared" ref="H444:I444" si="172">H440*6</f>
        <v>0</v>
      </c>
      <c r="I444" s="199">
        <f t="shared" si="172"/>
        <v>0</v>
      </c>
      <c r="J444" s="201">
        <f>6*J440</f>
        <v>0</v>
      </c>
      <c r="K444" s="201">
        <f>K440*6</f>
        <v>0</v>
      </c>
      <c r="L444" s="199"/>
      <c r="M444" s="201"/>
      <c r="N444" s="201"/>
      <c r="O444" s="201"/>
      <c r="P444" s="201">
        <f>SUM(B444:J444)</f>
        <v>1833.333333</v>
      </c>
    </row>
    <row r="445">
      <c r="A445" s="200" t="s">
        <v>120</v>
      </c>
      <c r="B445" s="212"/>
      <c r="C445" s="212"/>
      <c r="D445" s="212"/>
      <c r="E445" s="213"/>
      <c r="F445" s="213"/>
      <c r="G445" s="212"/>
      <c r="H445" s="212"/>
      <c r="I445" s="212"/>
      <c r="J445" s="212"/>
      <c r="K445" s="212"/>
      <c r="L445" s="212"/>
      <c r="M445" s="214"/>
      <c r="N445" s="212"/>
      <c r="O445" s="212"/>
      <c r="P445" s="212"/>
      <c r="Q445" s="72" t="s">
        <v>219</v>
      </c>
    </row>
    <row r="446">
      <c r="A446" s="205" t="s">
        <v>118</v>
      </c>
      <c r="B446" s="208">
        <f t="shared" ref="B446:D446" si="173">B435+B443+B444-B442</f>
        <v>31250</v>
      </c>
      <c r="C446" s="207">
        <f t="shared" si="173"/>
        <v>30000</v>
      </c>
      <c r="D446" s="208">
        <f t="shared" si="173"/>
        <v>23833.33333</v>
      </c>
      <c r="E446" s="207"/>
      <c r="F446" s="207">
        <f>F435+F444+F443-F442</f>
        <v>22000</v>
      </c>
      <c r="G446" s="219">
        <f>G435+G443+G444-G442</f>
        <v>40625</v>
      </c>
      <c r="H446" s="208">
        <f t="shared" ref="H446:K446" si="174">H435+H443+H444</f>
        <v>50625</v>
      </c>
      <c r="I446" s="206">
        <f t="shared" si="174"/>
        <v>26041.66667</v>
      </c>
      <c r="J446" s="208">
        <f t="shared" si="174"/>
        <v>37500</v>
      </c>
      <c r="K446" s="208">
        <f t="shared" si="174"/>
        <v>20000</v>
      </c>
      <c r="L446" s="206"/>
      <c r="M446" s="226">
        <v>7600.0</v>
      </c>
      <c r="N446" s="209"/>
      <c r="O446" s="209"/>
      <c r="P446" s="220">
        <f>SUM(B446:M446)</f>
        <v>289475</v>
      </c>
    </row>
    <row r="447">
      <c r="A447" s="126" t="s">
        <v>0</v>
      </c>
      <c r="B447" s="127" t="s">
        <v>90</v>
      </c>
      <c r="C447" s="127" t="s">
        <v>3</v>
      </c>
      <c r="D447" s="127" t="s">
        <v>136</v>
      </c>
      <c r="E447" s="183"/>
      <c r="F447" s="183" t="s">
        <v>155</v>
      </c>
      <c r="G447" s="183" t="s">
        <v>195</v>
      </c>
      <c r="H447" s="129" t="s">
        <v>221</v>
      </c>
      <c r="I447" s="129" t="s">
        <v>51</v>
      </c>
      <c r="J447" s="129" t="s">
        <v>228</v>
      </c>
      <c r="K447" s="129" t="s">
        <v>231</v>
      </c>
      <c r="L447" s="129"/>
      <c r="M447" s="129"/>
      <c r="N447" s="128"/>
      <c r="O447" s="129"/>
      <c r="P447" s="128" t="s">
        <v>110</v>
      </c>
    </row>
    <row r="448">
      <c r="A448" s="228"/>
      <c r="B448" s="232"/>
      <c r="C448" s="232"/>
      <c r="D448" s="232"/>
      <c r="E448" s="232"/>
      <c r="F448" s="232"/>
      <c r="G448" s="232"/>
      <c r="H448" s="232"/>
      <c r="I448" s="232"/>
      <c r="J448" s="232"/>
      <c r="K448" s="232"/>
      <c r="L448" s="232"/>
      <c r="M448" s="232"/>
      <c r="N448" s="232"/>
      <c r="O448" s="232"/>
      <c r="P448" s="232"/>
      <c r="Q448" s="228"/>
    </row>
    <row r="449">
      <c r="A449" s="195" t="s">
        <v>234</v>
      </c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7"/>
    </row>
    <row r="450">
      <c r="A450" s="198" t="s">
        <v>116</v>
      </c>
      <c r="B450" s="210"/>
      <c r="C450" s="199"/>
      <c r="D450" s="199"/>
      <c r="E450" s="199"/>
      <c r="F450" s="199"/>
      <c r="G450" s="199"/>
      <c r="H450" s="199"/>
      <c r="I450" s="199"/>
      <c r="J450" s="199">
        <f>4494</f>
        <v>4494</v>
      </c>
      <c r="K450" s="199">
        <f>3333</f>
        <v>3333</v>
      </c>
      <c r="L450" s="199"/>
      <c r="M450" s="199"/>
      <c r="N450" s="202"/>
      <c r="O450" s="202"/>
      <c r="P450" s="202"/>
    </row>
    <row r="451">
      <c r="A451" s="198" t="s">
        <v>40</v>
      </c>
      <c r="B451" s="199">
        <f>2*B439</f>
        <v>1250</v>
      </c>
      <c r="C451" s="199" t="str">
        <f>C448</f>
        <v/>
      </c>
      <c r="D451" s="199">
        <f>2*D439</f>
        <v>916.6666667</v>
      </c>
      <c r="E451" s="199"/>
      <c r="F451" s="199" t="str">
        <f>F448</f>
        <v/>
      </c>
      <c r="G451" s="199"/>
      <c r="H451" s="199">
        <f>4*H439</f>
        <v>3750</v>
      </c>
      <c r="I451" s="199">
        <f>4*I448</f>
        <v>0</v>
      </c>
      <c r="J451" s="199"/>
      <c r="K451" s="199"/>
      <c r="L451" s="199"/>
      <c r="M451" s="199"/>
      <c r="N451" s="199"/>
      <c r="O451" s="199"/>
      <c r="P451" s="199">
        <f>SUM(B451:K451)</f>
        <v>5916.666667</v>
      </c>
    </row>
    <row r="452">
      <c r="A452" s="200" t="s">
        <v>209</v>
      </c>
      <c r="B452" s="201">
        <f t="shared" ref="B452:D452" si="175">B448*8</f>
        <v>0</v>
      </c>
      <c r="C452" s="210">
        <f t="shared" si="175"/>
        <v>0</v>
      </c>
      <c r="D452" s="201">
        <f t="shared" si="175"/>
        <v>0</v>
      </c>
      <c r="E452" s="210"/>
      <c r="F452" s="210"/>
      <c r="G452" s="210">
        <f>G448*8</f>
        <v>0</v>
      </c>
      <c r="H452" s="201">
        <f t="shared" ref="H452:I452" si="176">H448*6</f>
        <v>0</v>
      </c>
      <c r="I452" s="199">
        <f t="shared" si="176"/>
        <v>0</v>
      </c>
      <c r="J452" s="201">
        <f>6*J448</f>
        <v>0</v>
      </c>
      <c r="K452" s="201">
        <f>K448*6</f>
        <v>0</v>
      </c>
      <c r="L452" s="199"/>
      <c r="M452" s="201"/>
      <c r="N452" s="201"/>
      <c r="O452" s="201"/>
      <c r="P452" s="201">
        <f>SUM(B452:J452)</f>
        <v>0</v>
      </c>
    </row>
    <row r="453">
      <c r="A453" s="200" t="s">
        <v>120</v>
      </c>
      <c r="B453" s="212"/>
      <c r="C453" s="212"/>
      <c r="D453" s="212"/>
      <c r="E453" s="213"/>
      <c r="F453" s="213"/>
      <c r="G453" s="212"/>
      <c r="H453" s="212"/>
      <c r="I453" s="212"/>
      <c r="J453" s="212"/>
      <c r="K453" s="212"/>
      <c r="L453" s="212"/>
      <c r="M453" s="214"/>
      <c r="N453" s="212"/>
      <c r="O453" s="212"/>
      <c r="P453" s="212"/>
      <c r="Q453" s="72" t="s">
        <v>219</v>
      </c>
    </row>
    <row r="454">
      <c r="A454" s="205" t="s">
        <v>118</v>
      </c>
      <c r="B454" s="208">
        <f>B451+B452-B450+B437</f>
        <v>31250</v>
      </c>
      <c r="C454" s="207">
        <f>C443+C451+C452-C450</f>
        <v>0</v>
      </c>
      <c r="D454" s="208">
        <f>D443+D451+D452-D450+D437</f>
        <v>22916.66667</v>
      </c>
      <c r="E454" s="207"/>
      <c r="F454" s="207">
        <f>F437</f>
        <v>22000</v>
      </c>
      <c r="G454" s="219">
        <f>G451+G452-G450</f>
        <v>0</v>
      </c>
      <c r="H454" s="206">
        <f>H437+H451</f>
        <v>48750</v>
      </c>
      <c r="I454" s="206">
        <f>I437</f>
        <v>25000</v>
      </c>
      <c r="J454" s="206">
        <f t="shared" ref="J454:K454" si="177">J437-J450</f>
        <v>33006</v>
      </c>
      <c r="K454" s="206">
        <f t="shared" si="177"/>
        <v>16667</v>
      </c>
      <c r="L454" s="206">
        <f>L439*21</f>
        <v>7875</v>
      </c>
      <c r="M454" s="226">
        <v>7600.0</v>
      </c>
      <c r="N454" s="209"/>
      <c r="O454" s="209"/>
      <c r="P454" s="220">
        <f>SUM(B454:M454)</f>
        <v>215064.6667</v>
      </c>
    </row>
    <row r="455">
      <c r="A455" s="126" t="s">
        <v>0</v>
      </c>
      <c r="B455" s="127" t="s">
        <v>90</v>
      </c>
      <c r="C455" s="127" t="s">
        <v>3</v>
      </c>
      <c r="D455" s="127" t="s">
        <v>136</v>
      </c>
      <c r="E455" s="183"/>
      <c r="F455" s="183" t="s">
        <v>155</v>
      </c>
      <c r="G455" s="183" t="s">
        <v>195</v>
      </c>
      <c r="H455" s="129" t="s">
        <v>221</v>
      </c>
      <c r="I455" s="129" t="s">
        <v>51</v>
      </c>
      <c r="J455" s="129" t="s">
        <v>228</v>
      </c>
      <c r="K455" s="129" t="s">
        <v>231</v>
      </c>
      <c r="L455" s="129" t="s">
        <v>232</v>
      </c>
      <c r="M455" s="129"/>
      <c r="N455" s="128"/>
      <c r="O455" s="129"/>
      <c r="P455" s="128" t="s">
        <v>110</v>
      </c>
    </row>
    <row r="457">
      <c r="A457" s="195" t="s">
        <v>235</v>
      </c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7"/>
    </row>
    <row r="458">
      <c r="A458" s="198" t="s">
        <v>116</v>
      </c>
      <c r="B458" s="210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202"/>
      <c r="O458" s="202"/>
      <c r="P458" s="202"/>
    </row>
    <row r="459">
      <c r="A459" s="198" t="s">
        <v>40</v>
      </c>
      <c r="B459" s="199">
        <f>2.5*B439</f>
        <v>1562.5</v>
      </c>
      <c r="C459" s="199" t="str">
        <f t="shared" ref="C459:D459" si="178">C456</f>
        <v/>
      </c>
      <c r="D459" s="199" t="str">
        <f t="shared" si="178"/>
        <v/>
      </c>
      <c r="E459" s="199"/>
      <c r="F459" s="199" t="str">
        <f>F456</f>
        <v/>
      </c>
      <c r="G459" s="199"/>
      <c r="H459" s="199">
        <f>4*H439</f>
        <v>3750</v>
      </c>
      <c r="I459" s="199">
        <f>4*I456</f>
        <v>0</v>
      </c>
      <c r="J459" s="199">
        <f>J439*2</f>
        <v>1102.941176</v>
      </c>
      <c r="K459" s="199"/>
      <c r="L459" s="199"/>
      <c r="M459" s="199"/>
      <c r="N459" s="199"/>
      <c r="O459" s="199"/>
      <c r="P459" s="199">
        <f>SUM(B459:K459)</f>
        <v>6415.441176</v>
      </c>
    </row>
    <row r="460">
      <c r="A460" s="200" t="s">
        <v>209</v>
      </c>
      <c r="B460" s="201">
        <f>B456*8</f>
        <v>0</v>
      </c>
      <c r="C460" s="210">
        <f>C439*16</f>
        <v>10000</v>
      </c>
      <c r="D460" s="201">
        <f>D456*8</f>
        <v>0</v>
      </c>
      <c r="E460" s="210"/>
      <c r="F460" s="210"/>
      <c r="G460" s="210">
        <f>G456*8</f>
        <v>0</v>
      </c>
      <c r="H460" s="201">
        <f t="shared" ref="H460:I460" si="179">H456*6</f>
        <v>0</v>
      </c>
      <c r="I460" s="199">
        <f t="shared" si="179"/>
        <v>0</v>
      </c>
      <c r="J460" s="201">
        <f>6*J456</f>
        <v>0</v>
      </c>
      <c r="K460" s="201">
        <f>K456*6</f>
        <v>0</v>
      </c>
      <c r="L460" s="199"/>
      <c r="M460" s="201"/>
      <c r="N460" s="201"/>
      <c r="O460" s="201"/>
      <c r="P460" s="201">
        <f>SUM(B460:J460)</f>
        <v>10000</v>
      </c>
    </row>
    <row r="461">
      <c r="A461" s="200" t="s">
        <v>120</v>
      </c>
      <c r="B461" s="212"/>
      <c r="C461" s="212"/>
      <c r="D461" s="212"/>
      <c r="E461" s="213"/>
      <c r="F461" s="213"/>
      <c r="G461" s="212"/>
      <c r="H461" s="212"/>
      <c r="I461" s="212"/>
      <c r="J461" s="212"/>
      <c r="K461" s="212"/>
      <c r="L461" s="212"/>
      <c r="M461" s="214"/>
      <c r="N461" s="212"/>
      <c r="O461" s="212"/>
      <c r="P461" s="212"/>
      <c r="Q461" s="72" t="s">
        <v>219</v>
      </c>
    </row>
    <row r="462">
      <c r="A462" s="205" t="s">
        <v>118</v>
      </c>
      <c r="B462" s="208">
        <f>B436+B459+B460-B458</f>
        <v>31562.5</v>
      </c>
      <c r="C462" s="207">
        <f>C435</f>
        <v>30000</v>
      </c>
      <c r="D462" s="208">
        <f>D436+D459+D460-D458</f>
        <v>22000</v>
      </c>
      <c r="E462" s="207"/>
      <c r="F462" s="207">
        <f>F435</f>
        <v>22000</v>
      </c>
      <c r="G462" s="226">
        <v>37500.0</v>
      </c>
      <c r="H462" s="206">
        <f>H435+H459</f>
        <v>48750</v>
      </c>
      <c r="I462" s="206">
        <f>I436</f>
        <v>25000</v>
      </c>
      <c r="J462" s="206">
        <f>J436-J459</f>
        <v>36397.05882</v>
      </c>
      <c r="K462" s="206">
        <f>K437</f>
        <v>20000</v>
      </c>
      <c r="L462" s="206">
        <f>L436</f>
        <v>18000</v>
      </c>
      <c r="M462" s="226">
        <v>7600.0</v>
      </c>
      <c r="N462" s="209"/>
      <c r="O462" s="209"/>
      <c r="P462" s="220">
        <f>SUM(B462:M462)</f>
        <v>298809.5588</v>
      </c>
    </row>
    <row r="463">
      <c r="A463" s="126" t="s">
        <v>0</v>
      </c>
      <c r="B463" s="127" t="s">
        <v>90</v>
      </c>
      <c r="C463" s="127" t="s">
        <v>3</v>
      </c>
      <c r="D463" s="127" t="s">
        <v>136</v>
      </c>
      <c r="E463" s="183"/>
      <c r="F463" s="183" t="s">
        <v>155</v>
      </c>
      <c r="G463" s="183" t="s">
        <v>195</v>
      </c>
      <c r="H463" s="129" t="s">
        <v>221</v>
      </c>
      <c r="I463" s="129" t="s">
        <v>51</v>
      </c>
      <c r="J463" s="129" t="s">
        <v>228</v>
      </c>
      <c r="K463" s="129" t="s">
        <v>231</v>
      </c>
      <c r="L463" s="129" t="s">
        <v>232</v>
      </c>
      <c r="M463" s="129"/>
      <c r="N463" s="128"/>
      <c r="O463" s="129"/>
      <c r="P463" s="128" t="s">
        <v>110</v>
      </c>
    </row>
    <row r="464">
      <c r="A464" s="228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</row>
    <row r="465">
      <c r="A465" s="195" t="s">
        <v>236</v>
      </c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7"/>
    </row>
    <row r="466">
      <c r="A466" s="198" t="s">
        <v>116</v>
      </c>
      <c r="B466" s="210"/>
      <c r="C466" s="199"/>
      <c r="D466" s="199"/>
      <c r="E466" s="199"/>
      <c r="F466" s="199"/>
      <c r="G466" s="199"/>
      <c r="H466" s="199"/>
      <c r="I466" s="199"/>
      <c r="J466" s="221"/>
      <c r="K466" s="199"/>
      <c r="L466" s="199"/>
      <c r="M466" s="199"/>
      <c r="N466" s="202"/>
      <c r="O466" s="202"/>
      <c r="P466" s="202"/>
    </row>
    <row r="467">
      <c r="A467" s="198" t="s">
        <v>40</v>
      </c>
      <c r="B467" s="199"/>
      <c r="C467" s="199"/>
      <c r="D467" s="233">
        <f>1*D439</f>
        <v>458.3333333</v>
      </c>
      <c r="E467" s="233"/>
      <c r="F467" s="233"/>
      <c r="G467" s="233"/>
      <c r="H467" s="221" t="s">
        <v>237</v>
      </c>
      <c r="I467" s="233"/>
      <c r="J467" s="233"/>
      <c r="K467" s="233"/>
      <c r="L467" s="199"/>
      <c r="M467" s="199"/>
      <c r="N467" s="199"/>
      <c r="O467" s="199"/>
      <c r="P467" s="199">
        <f>SUM(B467:K467)</f>
        <v>458.3333333</v>
      </c>
    </row>
    <row r="468">
      <c r="A468" s="200" t="s">
        <v>209</v>
      </c>
      <c r="B468" s="201">
        <f>B439*16</f>
        <v>10000</v>
      </c>
      <c r="C468" s="201">
        <f t="shared" ref="C468:D468" si="180">C439*8</f>
        <v>5000</v>
      </c>
      <c r="D468" s="201">
        <f t="shared" si="180"/>
        <v>3666.666667</v>
      </c>
      <c r="E468" s="201"/>
      <c r="F468" s="201">
        <f>F439*8</f>
        <v>3666.666667</v>
      </c>
      <c r="G468" s="210">
        <f t="shared" ref="G468:I468" si="181">G439*16</f>
        <v>12500</v>
      </c>
      <c r="H468" s="201">
        <f t="shared" si="181"/>
        <v>15000</v>
      </c>
      <c r="I468" s="201">
        <f t="shared" si="181"/>
        <v>8333.333333</v>
      </c>
      <c r="J468" s="201">
        <f>J439*20</f>
        <v>11029.41176</v>
      </c>
      <c r="K468" s="201">
        <f>K439*6</f>
        <v>3333.333333</v>
      </c>
      <c r="L468" s="201">
        <f>L439*8</f>
        <v>3000</v>
      </c>
      <c r="M468" s="201"/>
      <c r="N468" s="201"/>
      <c r="O468" s="201"/>
      <c r="P468" s="201">
        <f>SUM(B468:J468)</f>
        <v>69196.07843</v>
      </c>
    </row>
    <row r="469">
      <c r="A469" s="200" t="s">
        <v>120</v>
      </c>
      <c r="B469" s="212"/>
      <c r="C469" s="212"/>
      <c r="D469" s="212"/>
      <c r="E469" s="213"/>
      <c r="F469" s="213"/>
      <c r="G469" s="212"/>
      <c r="H469" s="212"/>
      <c r="I469" s="212"/>
      <c r="J469" s="212"/>
      <c r="K469" s="212"/>
      <c r="L469" s="212"/>
      <c r="M469" s="214"/>
      <c r="N469" s="212"/>
      <c r="O469" s="212"/>
      <c r="P469" s="212"/>
      <c r="Q469" s="72" t="s">
        <v>219</v>
      </c>
    </row>
    <row r="470">
      <c r="A470" s="205" t="s">
        <v>118</v>
      </c>
      <c r="B470" s="208">
        <f t="shared" ref="B470:D470" si="182">B436+B467+B468-B466</f>
        <v>40000</v>
      </c>
      <c r="C470" s="208">
        <f t="shared" si="182"/>
        <v>35000</v>
      </c>
      <c r="D470" s="234">
        <f t="shared" si="182"/>
        <v>26125</v>
      </c>
      <c r="E470" s="206"/>
      <c r="F470" s="234">
        <f>F436+F467+F468-F466</f>
        <v>25666.66667</v>
      </c>
      <c r="G470" s="234">
        <f>G459+G467+G468-G466+G437</f>
        <v>50000</v>
      </c>
      <c r="H470" s="206" t="str">
        <f t="shared" ref="H470:I470" si="183">H436+H467+H468-H466</f>
        <v>#VALUE!</v>
      </c>
      <c r="I470" s="234">
        <f t="shared" si="183"/>
        <v>33333.33333</v>
      </c>
      <c r="J470" s="234">
        <f>J436+J467+J468-J466-3318</f>
        <v>45211.41176</v>
      </c>
      <c r="K470" s="234">
        <f t="shared" ref="K470:L470" si="184">K436+K467+K468-K466</f>
        <v>23333.33333</v>
      </c>
      <c r="L470" s="208">
        <f t="shared" si="184"/>
        <v>21000</v>
      </c>
      <c r="M470" s="226"/>
      <c r="N470" s="209"/>
      <c r="O470" s="209"/>
      <c r="P470" s="209" t="str">
        <f>SUM(B470:M470)</f>
        <v>#VALUE!</v>
      </c>
    </row>
    <row r="471">
      <c r="A471" s="126" t="s">
        <v>0</v>
      </c>
      <c r="B471" s="127" t="s">
        <v>90</v>
      </c>
      <c r="C471" s="127" t="s">
        <v>3</v>
      </c>
      <c r="D471" s="127" t="s">
        <v>136</v>
      </c>
      <c r="E471" s="183"/>
      <c r="F471" s="183" t="s">
        <v>155</v>
      </c>
      <c r="G471" s="183" t="s">
        <v>195</v>
      </c>
      <c r="H471" s="129" t="s">
        <v>221</v>
      </c>
      <c r="I471" s="129" t="s">
        <v>51</v>
      </c>
      <c r="J471" s="129" t="s">
        <v>228</v>
      </c>
      <c r="K471" s="129" t="s">
        <v>231</v>
      </c>
      <c r="L471" s="129" t="s">
        <v>232</v>
      </c>
      <c r="M471" s="129"/>
      <c r="N471" s="128"/>
      <c r="O471" s="129"/>
      <c r="P471" s="128" t="s">
        <v>110</v>
      </c>
    </row>
    <row r="472">
      <c r="A472" s="228"/>
      <c r="B472" s="232"/>
      <c r="C472" s="232"/>
      <c r="D472" s="232"/>
      <c r="E472" s="232"/>
      <c r="F472" s="232"/>
      <c r="G472" s="232"/>
      <c r="H472" s="232" t="s">
        <v>238</v>
      </c>
      <c r="I472" s="232" t="s">
        <v>238</v>
      </c>
      <c r="J472" s="232"/>
      <c r="K472" s="232"/>
      <c r="L472" s="232"/>
      <c r="M472" s="232"/>
      <c r="N472" s="232"/>
      <c r="O472" s="232"/>
      <c r="P472" s="232"/>
      <c r="Q472" s="228"/>
    </row>
    <row r="473">
      <c r="A473" s="195" t="s">
        <v>239</v>
      </c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7"/>
    </row>
    <row r="474">
      <c r="A474" s="198" t="s">
        <v>116</v>
      </c>
      <c r="B474" s="210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202"/>
      <c r="O474" s="202"/>
      <c r="P474" s="202"/>
    </row>
    <row r="475">
      <c r="A475" s="198" t="s">
        <v>40</v>
      </c>
      <c r="B475" s="199" t="str">
        <f t="shared" ref="B475:D475" si="185">B472</f>
        <v/>
      </c>
      <c r="C475" s="199" t="str">
        <f t="shared" si="185"/>
        <v/>
      </c>
      <c r="D475" s="199" t="str">
        <f t="shared" si="185"/>
        <v/>
      </c>
      <c r="E475" s="199"/>
      <c r="F475" s="199" t="str">
        <f>F472</f>
        <v/>
      </c>
      <c r="G475" s="199"/>
      <c r="H475" s="199"/>
      <c r="I475" s="199" t="str">
        <f>4*I472</f>
        <v>#VALUE!</v>
      </c>
      <c r="J475" s="199"/>
      <c r="K475" s="199"/>
      <c r="L475" s="199"/>
      <c r="M475" s="199"/>
      <c r="N475" s="199"/>
      <c r="O475" s="199"/>
      <c r="P475" s="199" t="str">
        <f>SUM(B475:K475)</f>
        <v>#VALUE!</v>
      </c>
    </row>
    <row r="476">
      <c r="A476" s="200" t="s">
        <v>209</v>
      </c>
      <c r="B476" s="201">
        <f t="shared" ref="B476:D476" si="186">B472*8</f>
        <v>0</v>
      </c>
      <c r="C476" s="210">
        <f t="shared" si="186"/>
        <v>0</v>
      </c>
      <c r="D476" s="201">
        <f t="shared" si="186"/>
        <v>0</v>
      </c>
      <c r="E476" s="210"/>
      <c r="F476" s="210"/>
      <c r="G476" s="210">
        <f>G472*8</f>
        <v>0</v>
      </c>
      <c r="H476" s="201" t="str">
        <f t="shared" ref="H476:I476" si="187">H472*6</f>
        <v>#VALUE!</v>
      </c>
      <c r="I476" s="199" t="str">
        <f t="shared" si="187"/>
        <v>#VALUE!</v>
      </c>
      <c r="J476" s="201">
        <f>6*J472</f>
        <v>0</v>
      </c>
      <c r="K476" s="201">
        <f>K472*6</f>
        <v>0</v>
      </c>
      <c r="L476" s="199"/>
      <c r="M476" s="201"/>
      <c r="N476" s="201"/>
      <c r="O476" s="201"/>
      <c r="P476" s="201" t="str">
        <f>SUM(B476:J476)</f>
        <v>#VALUE!</v>
      </c>
    </row>
    <row r="477">
      <c r="A477" s="200" t="s">
        <v>120</v>
      </c>
      <c r="B477" s="212"/>
      <c r="C477" s="212"/>
      <c r="D477" s="212"/>
      <c r="E477" s="213"/>
      <c r="F477" s="213"/>
      <c r="G477" s="212"/>
      <c r="H477" s="212"/>
      <c r="I477" s="212"/>
      <c r="J477" s="212"/>
      <c r="K477" s="212"/>
      <c r="L477" s="212"/>
      <c r="M477" s="214"/>
      <c r="N477" s="212"/>
      <c r="O477" s="212"/>
      <c r="P477" s="212"/>
      <c r="Q477" s="72" t="s">
        <v>219</v>
      </c>
    </row>
    <row r="478">
      <c r="A478" s="205" t="s">
        <v>118</v>
      </c>
      <c r="B478" s="208">
        <f t="shared" ref="B478:D478" si="188">B467+B475+B476-B474</f>
        <v>0</v>
      </c>
      <c r="C478" s="207">
        <f t="shared" si="188"/>
        <v>0</v>
      </c>
      <c r="D478" s="208">
        <f t="shared" si="188"/>
        <v>458.3333333</v>
      </c>
      <c r="E478" s="207"/>
      <c r="F478" s="207">
        <f>F467+F476+F475-F474</f>
        <v>0</v>
      </c>
      <c r="G478" s="234">
        <f>G467+G475+G476-G474</f>
        <v>0</v>
      </c>
      <c r="H478" s="206" t="str">
        <f t="shared" ref="H478:K478" si="189">H467+H475+H476</f>
        <v>#VALUE!</v>
      </c>
      <c r="I478" s="206" t="str">
        <f t="shared" si="189"/>
        <v>#VALUE!</v>
      </c>
      <c r="J478" s="234">
        <f t="shared" si="189"/>
        <v>0</v>
      </c>
      <c r="K478" s="234">
        <f t="shared" si="189"/>
        <v>0</v>
      </c>
      <c r="L478" s="206"/>
      <c r="M478" s="226">
        <v>7600.0</v>
      </c>
      <c r="N478" s="209"/>
      <c r="O478" s="209"/>
      <c r="P478" s="209" t="str">
        <f>SUM(B478:M478)</f>
        <v>#VALUE!</v>
      </c>
    </row>
    <row r="479">
      <c r="A479" s="126" t="s">
        <v>0</v>
      </c>
      <c r="B479" s="127" t="s">
        <v>90</v>
      </c>
      <c r="C479" s="127" t="s">
        <v>3</v>
      </c>
      <c r="D479" s="127" t="s">
        <v>136</v>
      </c>
      <c r="E479" s="183"/>
      <c r="F479" s="183" t="s">
        <v>155</v>
      </c>
      <c r="G479" s="183" t="s">
        <v>195</v>
      </c>
      <c r="H479" s="129" t="s">
        <v>221</v>
      </c>
      <c r="I479" s="129" t="s">
        <v>51</v>
      </c>
      <c r="J479" s="129" t="s">
        <v>228</v>
      </c>
      <c r="K479" s="129" t="s">
        <v>231</v>
      </c>
      <c r="L479" s="129" t="s">
        <v>232</v>
      </c>
      <c r="M479" s="129"/>
      <c r="N479" s="128"/>
      <c r="O479" s="129"/>
      <c r="P479" s="128" t="s">
        <v>110</v>
      </c>
    </row>
    <row r="480">
      <c r="A480" s="235"/>
      <c r="B480" s="38"/>
      <c r="C480" s="37"/>
      <c r="D480" s="37"/>
      <c r="E480" s="236"/>
      <c r="F480" s="236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235"/>
    </row>
    <row r="481">
      <c r="A481" s="228"/>
      <c r="B481" s="232"/>
      <c r="C481" s="232"/>
      <c r="D481" s="232"/>
      <c r="E481" s="232"/>
      <c r="F481" s="232"/>
      <c r="G481" s="232"/>
      <c r="H481" s="232"/>
      <c r="I481" s="232"/>
      <c r="J481" s="232"/>
      <c r="K481" s="232"/>
      <c r="L481" s="232"/>
      <c r="M481" s="232"/>
      <c r="N481" s="232"/>
      <c r="O481" s="232"/>
      <c r="P481" s="232"/>
      <c r="Q481" s="228"/>
    </row>
    <row r="482">
      <c r="A482" s="126" t="s">
        <v>0</v>
      </c>
      <c r="B482" s="127" t="s">
        <v>90</v>
      </c>
      <c r="C482" s="127" t="s">
        <v>3</v>
      </c>
      <c r="D482" s="127" t="s">
        <v>136</v>
      </c>
      <c r="E482" s="183"/>
      <c r="F482" s="183" t="s">
        <v>155</v>
      </c>
      <c r="G482" s="183" t="s">
        <v>195</v>
      </c>
      <c r="H482" s="129" t="s">
        <v>51</v>
      </c>
      <c r="I482" s="129" t="s">
        <v>228</v>
      </c>
      <c r="J482" s="129" t="s">
        <v>231</v>
      </c>
      <c r="K482" s="129" t="s">
        <v>232</v>
      </c>
      <c r="L482" s="129"/>
      <c r="M482" s="128"/>
      <c r="N482" s="128"/>
      <c r="O482" s="128" t="s">
        <v>110</v>
      </c>
    </row>
    <row r="483">
      <c r="A483" s="130" t="s">
        <v>44</v>
      </c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2"/>
    </row>
    <row r="484">
      <c r="A484" s="133" t="s">
        <v>111</v>
      </c>
      <c r="B484" s="134">
        <v>35000.0</v>
      </c>
      <c r="C484" s="134">
        <v>37500.0</v>
      </c>
      <c r="D484" s="134">
        <v>22000.0</v>
      </c>
      <c r="E484" s="134"/>
      <c r="F484" s="134">
        <v>25000.0</v>
      </c>
      <c r="G484" s="134">
        <v>42500.0</v>
      </c>
      <c r="H484" s="134">
        <v>37500.0</v>
      </c>
      <c r="I484" s="134">
        <v>37500.0</v>
      </c>
      <c r="J484" s="134">
        <v>23000.0</v>
      </c>
      <c r="K484" s="134">
        <v>18000.0</v>
      </c>
      <c r="L484" s="134"/>
      <c r="M484" s="217"/>
      <c r="N484" s="217"/>
      <c r="O484" s="136">
        <f t="shared" ref="O484:O487" si="190">SUM(B484:L484)</f>
        <v>278000</v>
      </c>
    </row>
    <row r="485">
      <c r="A485" s="137"/>
      <c r="B485" s="134">
        <v>35000.0</v>
      </c>
      <c r="C485" s="134">
        <v>37500.0</v>
      </c>
      <c r="D485" s="134">
        <v>22000.0</v>
      </c>
      <c r="E485" s="134"/>
      <c r="F485" s="134">
        <v>25000.0</v>
      </c>
      <c r="G485" s="134">
        <v>42500.0</v>
      </c>
      <c r="H485" s="134">
        <v>37500.0</v>
      </c>
      <c r="I485" s="134">
        <v>37500.0</v>
      </c>
      <c r="J485" s="134">
        <v>23000.0</v>
      </c>
      <c r="K485" s="134">
        <v>18000.0</v>
      </c>
      <c r="L485" s="134"/>
      <c r="M485" s="217"/>
      <c r="N485" s="217"/>
      <c r="O485" s="136">
        <f t="shared" si="190"/>
        <v>278000</v>
      </c>
    </row>
    <row r="486">
      <c r="A486" s="137"/>
      <c r="B486" s="134">
        <v>35000.0</v>
      </c>
      <c r="C486" s="134">
        <v>37500.0</v>
      </c>
      <c r="D486" s="134">
        <v>22000.0</v>
      </c>
      <c r="E486" s="134"/>
      <c r="F486" s="134">
        <v>25000.0</v>
      </c>
      <c r="G486" s="134">
        <v>42500.0</v>
      </c>
      <c r="H486" s="134">
        <v>37500.0</v>
      </c>
      <c r="I486" s="134">
        <v>37500.0</v>
      </c>
      <c r="J486" s="134">
        <v>23000.0</v>
      </c>
      <c r="K486" s="134">
        <v>18000.0</v>
      </c>
      <c r="L486" s="134"/>
      <c r="M486" s="134"/>
      <c r="N486" s="134"/>
      <c r="O486" s="136">
        <f t="shared" si="190"/>
        <v>278000</v>
      </c>
    </row>
    <row r="487">
      <c r="A487" s="138"/>
      <c r="B487" s="134">
        <v>35000.0</v>
      </c>
      <c r="C487" s="134">
        <v>37500.0</v>
      </c>
      <c r="D487" s="134">
        <v>22000.0</v>
      </c>
      <c r="E487" s="134"/>
      <c r="F487" s="134">
        <v>25000.0</v>
      </c>
      <c r="G487" s="134">
        <v>42500.0</v>
      </c>
      <c r="H487" s="134">
        <v>37500.0</v>
      </c>
      <c r="I487" s="134">
        <v>37500.0</v>
      </c>
      <c r="J487" s="134">
        <v>23000.0</v>
      </c>
      <c r="K487" s="134">
        <v>18000.0</v>
      </c>
      <c r="L487" s="134"/>
      <c r="M487" s="134"/>
      <c r="N487" s="225"/>
      <c r="O487" s="139">
        <f t="shared" si="190"/>
        <v>278000</v>
      </c>
    </row>
    <row r="488">
      <c r="A488" s="140" t="s">
        <v>113</v>
      </c>
      <c r="B488" s="141">
        <f t="shared" ref="B488:D488" si="191">SUM(B484:B487)</f>
        <v>140000</v>
      </c>
      <c r="C488" s="141">
        <f t="shared" si="191"/>
        <v>150000</v>
      </c>
      <c r="D488" s="141">
        <f t="shared" si="191"/>
        <v>88000</v>
      </c>
      <c r="E488" s="141"/>
      <c r="F488" s="141">
        <f t="shared" ref="F488:M488" si="192">SUM(F484:F487)</f>
        <v>100000</v>
      </c>
      <c r="G488" s="141">
        <f t="shared" si="192"/>
        <v>170000</v>
      </c>
      <c r="H488" s="141">
        <f t="shared" si="192"/>
        <v>150000</v>
      </c>
      <c r="I488" s="141">
        <f t="shared" si="192"/>
        <v>150000</v>
      </c>
      <c r="J488" s="141">
        <f t="shared" si="192"/>
        <v>92000</v>
      </c>
      <c r="K488" s="141">
        <f t="shared" si="192"/>
        <v>72000</v>
      </c>
      <c r="L488" s="141">
        <f t="shared" si="192"/>
        <v>0</v>
      </c>
      <c r="M488" s="141">
        <f t="shared" si="192"/>
        <v>0</v>
      </c>
      <c r="N488" s="141"/>
      <c r="O488" s="141">
        <f>SUM(O484:O487)</f>
        <v>1112000</v>
      </c>
    </row>
    <row r="489">
      <c r="A489" s="157" t="s">
        <v>138</v>
      </c>
      <c r="B489" s="158">
        <f>B485/6/8</f>
        <v>729.1666667</v>
      </c>
      <c r="C489" s="158">
        <f>C484/8/6</f>
        <v>781.25</v>
      </c>
      <c r="D489" s="158">
        <f>D484/6/8</f>
        <v>458.3333333</v>
      </c>
      <c r="E489" s="158"/>
      <c r="F489" s="158">
        <f t="shared" ref="F489:I489" si="193">F484/6/8</f>
        <v>520.8333333</v>
      </c>
      <c r="G489" s="158">
        <f t="shared" si="193"/>
        <v>885.4166667</v>
      </c>
      <c r="H489" s="158">
        <f t="shared" si="193"/>
        <v>781.25</v>
      </c>
      <c r="I489" s="158">
        <f t="shared" si="193"/>
        <v>781.25</v>
      </c>
      <c r="J489" s="158">
        <f>J485/68</f>
        <v>338.2352941</v>
      </c>
      <c r="K489" s="158">
        <f>K484/6/6</f>
        <v>500</v>
      </c>
      <c r="L489" s="158">
        <f t="shared" ref="L489:M489" si="194">L484/6/8</f>
        <v>0</v>
      </c>
      <c r="M489" s="159">
        <f t="shared" si="194"/>
        <v>0</v>
      </c>
      <c r="N489" s="159">
        <f t="shared" ref="N489:O489" si="195">N487/6/8</f>
        <v>0</v>
      </c>
      <c r="O489" s="159">
        <f t="shared" si="195"/>
        <v>5791.666667</v>
      </c>
      <c r="P489" s="122"/>
    </row>
    <row r="490">
      <c r="A490" s="195" t="s">
        <v>240</v>
      </c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7"/>
    </row>
    <row r="491">
      <c r="A491" s="198" t="s">
        <v>116</v>
      </c>
      <c r="B491" s="210"/>
      <c r="C491" s="199"/>
      <c r="D491" s="199"/>
      <c r="E491" s="199"/>
      <c r="F491" s="199"/>
      <c r="G491" s="199"/>
      <c r="H491" s="199"/>
      <c r="I491" s="221">
        <v>3640.0</v>
      </c>
      <c r="J491" s="199"/>
      <c r="K491" s="199"/>
      <c r="L491" s="199"/>
      <c r="M491" s="202"/>
      <c r="N491" s="202"/>
      <c r="O491" s="202"/>
    </row>
    <row r="492">
      <c r="A492" s="198" t="s">
        <v>40</v>
      </c>
      <c r="B492" s="199">
        <f>3*B489</f>
        <v>2187.5</v>
      </c>
      <c r="C492" s="199"/>
      <c r="D492" s="199">
        <f>3*D489</f>
        <v>1375</v>
      </c>
      <c r="E492" s="199"/>
      <c r="F492" s="199"/>
      <c r="G492" s="199"/>
      <c r="H492" s="199"/>
      <c r="I492" s="221">
        <f>(-9*I489)</f>
        <v>-7031.25</v>
      </c>
      <c r="J492" s="199">
        <f>10*J489</f>
        <v>3382.352941</v>
      </c>
      <c r="K492" s="199"/>
      <c r="L492" s="199"/>
      <c r="M492" s="199"/>
      <c r="N492" s="199"/>
      <c r="O492" s="199">
        <f>SUM(B492:J492)</f>
        <v>-86.39705882</v>
      </c>
    </row>
    <row r="493">
      <c r="A493" s="200" t="s">
        <v>209</v>
      </c>
      <c r="B493" s="201"/>
      <c r="C493" s="210"/>
      <c r="D493" s="201"/>
      <c r="E493" s="210"/>
      <c r="F493" s="210"/>
      <c r="G493" s="210"/>
      <c r="H493" s="199"/>
      <c r="I493" s="201"/>
      <c r="J493" s="201"/>
      <c r="K493" s="199"/>
      <c r="L493" s="201"/>
      <c r="M493" s="201"/>
      <c r="N493" s="201"/>
      <c r="O493" s="201">
        <f>SUM(B493:I493)</f>
        <v>0</v>
      </c>
    </row>
    <row r="494">
      <c r="A494" s="200" t="s">
        <v>120</v>
      </c>
      <c r="B494" s="212"/>
      <c r="C494" s="212"/>
      <c r="D494" s="212"/>
      <c r="E494" s="213"/>
      <c r="F494" s="213"/>
      <c r="G494" s="212"/>
      <c r="H494" s="212"/>
      <c r="I494" s="212"/>
      <c r="J494" s="212"/>
      <c r="K494" s="212"/>
      <c r="L494" s="214"/>
      <c r="M494" s="212"/>
      <c r="N494" s="212"/>
      <c r="O494" s="212"/>
      <c r="P494" s="72" t="s">
        <v>219</v>
      </c>
    </row>
    <row r="495">
      <c r="A495" s="205" t="s">
        <v>118</v>
      </c>
      <c r="B495" s="208">
        <f t="shared" ref="B495:D495" si="196">B484+B492+B493-B491</f>
        <v>37187.5</v>
      </c>
      <c r="C495" s="207">
        <f t="shared" si="196"/>
        <v>37500</v>
      </c>
      <c r="D495" s="208">
        <f t="shared" si="196"/>
        <v>23375</v>
      </c>
      <c r="E495" s="207"/>
      <c r="F495" s="207">
        <f>F484+F493+F492-F491</f>
        <v>25000</v>
      </c>
      <c r="G495" s="219">
        <f>G484+G492+G493-G491</f>
        <v>42500</v>
      </c>
      <c r="H495" s="206">
        <f>I484+H492+H493</f>
        <v>37500</v>
      </c>
      <c r="I495" s="208">
        <f>I484+I492+I493-I491</f>
        <v>26828.75</v>
      </c>
      <c r="J495" s="208">
        <f>J484+J492+J493</f>
        <v>26382.35294</v>
      </c>
      <c r="K495" s="206">
        <f>K484+K492-K491+K493</f>
        <v>18000</v>
      </c>
      <c r="L495" s="226"/>
      <c r="M495" s="209"/>
      <c r="N495" s="209"/>
      <c r="O495" s="220">
        <f>SUM(B495:L495)</f>
        <v>274273.6029</v>
      </c>
    </row>
    <row r="496">
      <c r="A496" s="126" t="s">
        <v>0</v>
      </c>
      <c r="B496" s="127" t="s">
        <v>90</v>
      </c>
      <c r="C496" s="127" t="s">
        <v>3</v>
      </c>
      <c r="D496" s="127" t="s">
        <v>136</v>
      </c>
      <c r="E496" s="183"/>
      <c r="F496" s="183" t="s">
        <v>155</v>
      </c>
      <c r="G496" s="183" t="s">
        <v>195</v>
      </c>
      <c r="H496" s="129" t="s">
        <v>51</v>
      </c>
      <c r="I496" s="129" t="s">
        <v>228</v>
      </c>
      <c r="J496" s="129" t="s">
        <v>231</v>
      </c>
      <c r="K496" s="129" t="s">
        <v>232</v>
      </c>
      <c r="L496" s="129"/>
      <c r="M496" s="128"/>
      <c r="N496" s="129"/>
      <c r="O496" s="128" t="s">
        <v>110</v>
      </c>
    </row>
    <row r="497">
      <c r="A497" s="215"/>
      <c r="B497" s="216"/>
      <c r="C497" s="216"/>
      <c r="D497" s="216"/>
      <c r="E497" s="216"/>
      <c r="F497" s="216"/>
      <c r="G497" s="216"/>
      <c r="H497" s="216"/>
      <c r="I497" s="216"/>
      <c r="J497" s="216"/>
      <c r="K497" s="216"/>
      <c r="L497" s="216"/>
      <c r="M497" s="216"/>
      <c r="N497" s="216"/>
      <c r="O497" s="216"/>
      <c r="P497" s="216"/>
      <c r="Q497" s="35"/>
    </row>
    <row r="498">
      <c r="A498" s="195" t="s">
        <v>241</v>
      </c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7"/>
    </row>
    <row r="499">
      <c r="A499" s="198" t="s">
        <v>116</v>
      </c>
      <c r="B499" s="210"/>
      <c r="C499" s="199"/>
      <c r="D499" s="199"/>
      <c r="E499" s="199"/>
      <c r="F499" s="199"/>
      <c r="G499" s="199"/>
      <c r="H499" s="199"/>
      <c r="I499" s="221">
        <f>4200</f>
        <v>4200</v>
      </c>
      <c r="J499" s="199"/>
      <c r="K499" s="199"/>
      <c r="L499" s="199"/>
      <c r="M499" s="202"/>
      <c r="N499" s="202"/>
      <c r="O499" s="202"/>
    </row>
    <row r="500">
      <c r="A500" s="198" t="s">
        <v>40</v>
      </c>
      <c r="B500" s="199" t="str">
        <f>3*#REF!</f>
        <v>#REF!</v>
      </c>
      <c r="C500" s="199">
        <f>8*C489</f>
        <v>6250</v>
      </c>
      <c r="D500" s="221" t="s">
        <v>242</v>
      </c>
      <c r="E500" s="199"/>
      <c r="F500" s="199"/>
      <c r="G500" s="199"/>
      <c r="H500" s="199"/>
      <c r="I500" s="221">
        <f>5*I489</f>
        <v>3906.25</v>
      </c>
      <c r="J500" s="199" t="str">
        <f>10*#REF!</f>
        <v>#REF!</v>
      </c>
      <c r="K500" s="199"/>
      <c r="L500" s="199"/>
      <c r="M500" s="199"/>
      <c r="N500" s="199"/>
      <c r="O500" s="199" t="str">
        <f>SUM(B500:J500)</f>
        <v>#REF!</v>
      </c>
    </row>
    <row r="501">
      <c r="A501" s="200" t="s">
        <v>209</v>
      </c>
      <c r="B501" s="201"/>
      <c r="C501" s="210"/>
      <c r="D501" s="201"/>
      <c r="E501" s="210"/>
      <c r="F501" s="210"/>
      <c r="G501" s="210"/>
      <c r="H501" s="199"/>
      <c r="I501" s="201"/>
      <c r="J501" s="201"/>
      <c r="K501" s="199"/>
      <c r="L501" s="201"/>
      <c r="M501" s="201"/>
      <c r="N501" s="201"/>
      <c r="O501" s="201">
        <f>SUM(B501:I501)</f>
        <v>0</v>
      </c>
    </row>
    <row r="502">
      <c r="A502" s="200" t="s">
        <v>120</v>
      </c>
      <c r="B502" s="212"/>
      <c r="C502" s="212"/>
      <c r="D502" s="212"/>
      <c r="E502" s="213"/>
      <c r="F502" s="213"/>
      <c r="G502" s="212"/>
      <c r="H502" s="212"/>
      <c r="I502" s="212"/>
      <c r="J502" s="212"/>
      <c r="K502" s="212"/>
      <c r="L502" s="214"/>
      <c r="M502" s="212"/>
      <c r="N502" s="212"/>
      <c r="O502" s="212"/>
      <c r="P502" s="72" t="s">
        <v>219</v>
      </c>
    </row>
    <row r="503">
      <c r="A503" s="205" t="s">
        <v>118</v>
      </c>
      <c r="B503" s="206">
        <f t="shared" ref="B503:C503" si="197">B487</f>
        <v>35000</v>
      </c>
      <c r="C503" s="207">
        <f t="shared" si="197"/>
        <v>37500</v>
      </c>
      <c r="D503" s="208"/>
      <c r="E503" s="207"/>
      <c r="F503" s="207">
        <f t="shared" ref="F503:H503" si="198">F485</f>
        <v>25000</v>
      </c>
      <c r="G503" s="206">
        <f t="shared" si="198"/>
        <v>42500</v>
      </c>
      <c r="H503" s="206">
        <f t="shared" si="198"/>
        <v>37500</v>
      </c>
      <c r="I503" s="206">
        <f>I484-I499-I500</f>
        <v>29393.75</v>
      </c>
      <c r="J503" s="206">
        <f>J485</f>
        <v>23000</v>
      </c>
      <c r="K503" s="206">
        <f>K484</f>
        <v>18000</v>
      </c>
      <c r="L503" s="226"/>
      <c r="M503" s="209"/>
      <c r="N503" s="209"/>
      <c r="O503" s="209">
        <f>SUM(B503:L503)</f>
        <v>247893.75</v>
      </c>
    </row>
    <row r="504">
      <c r="A504" s="126" t="s">
        <v>0</v>
      </c>
      <c r="B504" s="127" t="s">
        <v>90</v>
      </c>
      <c r="C504" s="127" t="s">
        <v>3</v>
      </c>
      <c r="D504" s="127" t="s">
        <v>136</v>
      </c>
      <c r="E504" s="183"/>
      <c r="F504" s="183" t="s">
        <v>155</v>
      </c>
      <c r="G504" s="183" t="s">
        <v>195</v>
      </c>
      <c r="H504" s="129" t="s">
        <v>51</v>
      </c>
      <c r="I504" s="129" t="s">
        <v>228</v>
      </c>
      <c r="J504" s="129" t="s">
        <v>231</v>
      </c>
      <c r="K504" s="129" t="s">
        <v>232</v>
      </c>
      <c r="L504" s="129"/>
      <c r="M504" s="128"/>
      <c r="N504" s="129"/>
      <c r="O504" s="128" t="s">
        <v>110</v>
      </c>
    </row>
    <row r="505">
      <c r="A505" s="237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</row>
    <row r="506">
      <c r="A506" s="126" t="s">
        <v>0</v>
      </c>
      <c r="B506" s="127" t="s">
        <v>90</v>
      </c>
      <c r="C506" s="127" t="s">
        <v>3</v>
      </c>
      <c r="D506" s="183" t="s">
        <v>243</v>
      </c>
      <c r="E506" s="183"/>
      <c r="F506" s="183" t="s">
        <v>155</v>
      </c>
      <c r="G506" s="183" t="s">
        <v>195</v>
      </c>
      <c r="H506" s="129" t="s">
        <v>51</v>
      </c>
      <c r="I506" s="129" t="s">
        <v>228</v>
      </c>
      <c r="J506" s="129" t="s">
        <v>231</v>
      </c>
      <c r="K506" s="129" t="s">
        <v>232</v>
      </c>
      <c r="L506" s="129" t="s">
        <v>244</v>
      </c>
      <c r="M506" s="128"/>
      <c r="N506" s="128"/>
      <c r="O506" s="128" t="s">
        <v>110</v>
      </c>
    </row>
    <row r="507">
      <c r="A507" s="130" t="s">
        <v>52</v>
      </c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2"/>
    </row>
    <row r="508">
      <c r="A508" s="133" t="s">
        <v>111</v>
      </c>
      <c r="B508" s="134">
        <v>35000.0</v>
      </c>
      <c r="C508" s="134">
        <v>37500.0</v>
      </c>
      <c r="D508" s="134">
        <v>35000.0</v>
      </c>
      <c r="E508" s="134"/>
      <c r="F508" s="134">
        <v>25000.0</v>
      </c>
      <c r="G508" s="134">
        <v>42500.0</v>
      </c>
      <c r="H508" s="134">
        <v>37500.0</v>
      </c>
      <c r="I508" s="134">
        <v>37500.0</v>
      </c>
      <c r="J508" s="134">
        <v>23000.0</v>
      </c>
      <c r="K508" s="134">
        <v>18000.0</v>
      </c>
      <c r="L508" s="134">
        <v>27500.0</v>
      </c>
      <c r="M508" s="134">
        <v>27500.0</v>
      </c>
      <c r="N508" s="217"/>
      <c r="O508" s="136">
        <f t="shared" ref="O508:O511" si="199">SUM(B508:L508)</f>
        <v>318500</v>
      </c>
    </row>
    <row r="509">
      <c r="A509" s="137"/>
      <c r="B509" s="134">
        <v>35000.0</v>
      </c>
      <c r="C509" s="134">
        <v>37500.0</v>
      </c>
      <c r="D509" s="134">
        <v>35000.0</v>
      </c>
      <c r="E509" s="134"/>
      <c r="F509" s="134">
        <v>25000.0</v>
      </c>
      <c r="G509" s="134">
        <v>42500.0</v>
      </c>
      <c r="H509" s="134">
        <v>37500.0</v>
      </c>
      <c r="I509" s="134">
        <v>37500.0</v>
      </c>
      <c r="J509" s="134">
        <v>23000.0</v>
      </c>
      <c r="K509" s="134">
        <v>18000.0</v>
      </c>
      <c r="L509" s="134">
        <v>27500.0</v>
      </c>
      <c r="M509" s="134">
        <v>27500.0</v>
      </c>
      <c r="N509" s="217"/>
      <c r="O509" s="136">
        <f t="shared" si="199"/>
        <v>318500</v>
      </c>
    </row>
    <row r="510">
      <c r="A510" s="137"/>
      <c r="B510" s="134">
        <v>35000.0</v>
      </c>
      <c r="C510" s="134">
        <v>37500.0</v>
      </c>
      <c r="D510" s="134">
        <v>35000.0</v>
      </c>
      <c r="E510" s="134"/>
      <c r="F510" s="134">
        <v>25000.0</v>
      </c>
      <c r="G510" s="134">
        <v>42500.0</v>
      </c>
      <c r="H510" s="134">
        <v>37500.0</v>
      </c>
      <c r="I510" s="134">
        <v>37500.0</v>
      </c>
      <c r="J510" s="134">
        <v>23000.0</v>
      </c>
      <c r="K510" s="134">
        <v>18000.0</v>
      </c>
      <c r="L510" s="134">
        <v>27500.0</v>
      </c>
      <c r="M510" s="134">
        <v>27500.0</v>
      </c>
      <c r="N510" s="134"/>
      <c r="O510" s="136">
        <f t="shared" si="199"/>
        <v>318500</v>
      </c>
    </row>
    <row r="511">
      <c r="A511" s="138"/>
      <c r="B511" s="134">
        <v>35000.0</v>
      </c>
      <c r="C511" s="134">
        <v>37500.0</v>
      </c>
      <c r="D511" s="134">
        <v>35000.0</v>
      </c>
      <c r="E511" s="134"/>
      <c r="F511" s="134">
        <v>25000.0</v>
      </c>
      <c r="G511" s="134">
        <v>42500.0</v>
      </c>
      <c r="H511" s="134">
        <v>37500.0</v>
      </c>
      <c r="I511" s="134">
        <v>37500.0</v>
      </c>
      <c r="J511" s="134">
        <v>23000.0</v>
      </c>
      <c r="K511" s="134">
        <v>18000.0</v>
      </c>
      <c r="L511" s="134">
        <v>27500.0</v>
      </c>
      <c r="M511" s="134">
        <v>27500.0</v>
      </c>
      <c r="N511" s="225"/>
      <c r="O511" s="139">
        <f t="shared" si="199"/>
        <v>318500</v>
      </c>
    </row>
    <row r="512">
      <c r="A512" s="140" t="s">
        <v>113</v>
      </c>
      <c r="B512" s="141">
        <f t="shared" ref="B512:D512" si="200">SUM(B508:B511)</f>
        <v>140000</v>
      </c>
      <c r="C512" s="141">
        <f t="shared" si="200"/>
        <v>150000</v>
      </c>
      <c r="D512" s="141">
        <f t="shared" si="200"/>
        <v>140000</v>
      </c>
      <c r="E512" s="141"/>
      <c r="F512" s="141">
        <f t="shared" ref="F512:M512" si="201">SUM(F508:F511)</f>
        <v>100000</v>
      </c>
      <c r="G512" s="141">
        <f t="shared" si="201"/>
        <v>170000</v>
      </c>
      <c r="H512" s="141">
        <f t="shared" si="201"/>
        <v>150000</v>
      </c>
      <c r="I512" s="141">
        <f t="shared" si="201"/>
        <v>150000</v>
      </c>
      <c r="J512" s="141">
        <f t="shared" si="201"/>
        <v>92000</v>
      </c>
      <c r="K512" s="141">
        <f t="shared" si="201"/>
        <v>72000</v>
      </c>
      <c r="L512" s="141">
        <f t="shared" si="201"/>
        <v>110000</v>
      </c>
      <c r="M512" s="141">
        <f t="shared" si="201"/>
        <v>110000</v>
      </c>
      <c r="N512" s="141"/>
      <c r="O512" s="141">
        <f>SUM(O508:O511)</f>
        <v>1274000</v>
      </c>
    </row>
    <row r="513">
      <c r="A513" s="157" t="s">
        <v>138</v>
      </c>
      <c r="B513" s="158">
        <f>B509/6/8</f>
        <v>729.1666667</v>
      </c>
      <c r="C513" s="158">
        <f>C508/8/6</f>
        <v>781.25</v>
      </c>
      <c r="D513" s="158">
        <f>D508/6/8</f>
        <v>729.1666667</v>
      </c>
      <c r="E513" s="158"/>
      <c r="F513" s="158">
        <f t="shared" ref="F513:I513" si="202">F508/6/8</f>
        <v>520.8333333</v>
      </c>
      <c r="G513" s="158">
        <f t="shared" si="202"/>
        <v>885.4166667</v>
      </c>
      <c r="H513" s="158">
        <f t="shared" si="202"/>
        <v>781.25</v>
      </c>
      <c r="I513" s="158">
        <f t="shared" si="202"/>
        <v>781.25</v>
      </c>
      <c r="J513" s="158">
        <f>J509/68</f>
        <v>338.2352941</v>
      </c>
      <c r="K513" s="158">
        <f>K508/4/6</f>
        <v>750</v>
      </c>
      <c r="L513" s="158">
        <f t="shared" ref="L513:M513" si="203">L508/6/8</f>
        <v>572.9166667</v>
      </c>
      <c r="M513" s="159">
        <f t="shared" si="203"/>
        <v>572.9166667</v>
      </c>
      <c r="N513" s="159">
        <f t="shared" ref="N513:O513" si="204">N511/6/8</f>
        <v>0</v>
      </c>
      <c r="O513" s="159">
        <f t="shared" si="204"/>
        <v>6635.416667</v>
      </c>
      <c r="P513" s="122"/>
    </row>
    <row r="514">
      <c r="A514" s="228"/>
      <c r="B514" s="232"/>
      <c r="C514" s="232"/>
      <c r="D514" s="232"/>
      <c r="E514" s="232"/>
      <c r="F514" s="232"/>
      <c r="G514" s="232"/>
      <c r="H514" s="232"/>
      <c r="I514" s="232"/>
      <c r="J514" s="232"/>
      <c r="K514" s="232"/>
      <c r="L514" s="232"/>
      <c r="M514" s="232"/>
      <c r="N514" s="232"/>
      <c r="O514" s="232"/>
      <c r="P514" s="232"/>
      <c r="Q514" s="228"/>
    </row>
    <row r="515">
      <c r="A515" s="195" t="s">
        <v>245</v>
      </c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7"/>
    </row>
    <row r="516">
      <c r="A516" s="198" t="s">
        <v>116</v>
      </c>
      <c r="B516" s="210"/>
      <c r="C516" s="199"/>
      <c r="D516" s="199"/>
      <c r="E516" s="199"/>
      <c r="F516" s="199"/>
      <c r="G516" s="199"/>
      <c r="H516" s="199"/>
      <c r="I516" s="221"/>
      <c r="J516" s="199"/>
      <c r="K516" s="199"/>
      <c r="L516" s="199"/>
      <c r="M516" s="202"/>
      <c r="N516" s="202"/>
      <c r="O516" s="202"/>
    </row>
    <row r="517">
      <c r="A517" s="198" t="s">
        <v>40</v>
      </c>
      <c r="B517" s="199">
        <f t="shared" ref="B517:C517" si="205">3*B513</f>
        <v>2187.5</v>
      </c>
      <c r="C517" s="199">
        <f t="shared" si="205"/>
        <v>2343.75</v>
      </c>
      <c r="D517" s="221">
        <f>16*D513</f>
        <v>11666.66667</v>
      </c>
      <c r="E517" s="199"/>
      <c r="F517" s="199"/>
      <c r="G517" s="199"/>
      <c r="H517" s="199"/>
      <c r="I517" s="221">
        <f>13*I513</f>
        <v>10156.25</v>
      </c>
      <c r="J517" s="199"/>
      <c r="K517" s="199"/>
      <c r="L517" s="199"/>
      <c r="M517" s="199"/>
      <c r="N517" s="199"/>
      <c r="O517" s="199"/>
    </row>
    <row r="518">
      <c r="A518" s="200" t="s">
        <v>209</v>
      </c>
      <c r="B518" s="201"/>
      <c r="C518" s="210"/>
      <c r="D518" s="211" t="s">
        <v>246</v>
      </c>
      <c r="E518" s="210"/>
      <c r="F518" s="210"/>
      <c r="G518" s="210"/>
      <c r="H518" s="199"/>
      <c r="I518" s="201"/>
      <c r="J518" s="201"/>
      <c r="K518" s="199"/>
      <c r="L518" s="201"/>
      <c r="M518" s="201"/>
      <c r="N518" s="201"/>
      <c r="O518" s="201"/>
    </row>
    <row r="519">
      <c r="A519" s="200" t="s">
        <v>120</v>
      </c>
      <c r="B519" s="212"/>
      <c r="C519" s="212"/>
      <c r="D519" s="212"/>
      <c r="E519" s="213"/>
      <c r="F519" s="213"/>
      <c r="G519" s="212"/>
      <c r="H519" s="212"/>
      <c r="I519" s="212"/>
      <c r="J519" s="212"/>
      <c r="K519" s="212"/>
      <c r="L519" s="214"/>
      <c r="M519" s="212"/>
      <c r="N519" s="212"/>
      <c r="O519" s="212"/>
      <c r="P519" s="72" t="s">
        <v>219</v>
      </c>
    </row>
    <row r="520">
      <c r="A520" s="205" t="s">
        <v>118</v>
      </c>
      <c r="B520" s="206">
        <f>B510</f>
        <v>35000</v>
      </c>
      <c r="C520" s="207">
        <f>C510+C517</f>
        <v>39843.75</v>
      </c>
      <c r="D520" s="208"/>
      <c r="E520" s="207"/>
      <c r="F520" s="207">
        <f t="shared" ref="F520:G520" si="206">F510</f>
        <v>25000</v>
      </c>
      <c r="G520" s="206">
        <f t="shared" si="206"/>
        <v>42500</v>
      </c>
      <c r="H520" s="206">
        <f>H511</f>
        <v>37500</v>
      </c>
      <c r="I520" s="206">
        <f>I510-I517</f>
        <v>27343.75</v>
      </c>
      <c r="J520" s="206">
        <f>J511</f>
        <v>23000</v>
      </c>
      <c r="K520" s="206">
        <f>K510</f>
        <v>18000</v>
      </c>
      <c r="L520" s="226">
        <f>L513*24</f>
        <v>13750</v>
      </c>
      <c r="M520" s="209"/>
      <c r="N520" s="209"/>
      <c r="O520" s="209">
        <f>SUM(B520:L520)</f>
        <v>261937.5</v>
      </c>
    </row>
    <row r="521">
      <c r="A521" s="126" t="s">
        <v>0</v>
      </c>
      <c r="B521" s="127" t="s">
        <v>90</v>
      </c>
      <c r="C521" s="127" t="s">
        <v>3</v>
      </c>
      <c r="D521" s="183" t="s">
        <v>243</v>
      </c>
      <c r="E521" s="183"/>
      <c r="F521" s="183" t="s">
        <v>155</v>
      </c>
      <c r="G521" s="183" t="s">
        <v>195</v>
      </c>
      <c r="H521" s="129" t="s">
        <v>51</v>
      </c>
      <c r="I521" s="129" t="s">
        <v>228</v>
      </c>
      <c r="J521" s="129" t="s">
        <v>231</v>
      </c>
      <c r="K521" s="129" t="s">
        <v>232</v>
      </c>
      <c r="L521" s="129" t="s">
        <v>244</v>
      </c>
      <c r="M521" s="129" t="s">
        <v>247</v>
      </c>
      <c r="N521" s="129"/>
      <c r="O521" s="128" t="s">
        <v>110</v>
      </c>
    </row>
    <row r="522">
      <c r="A522" s="228"/>
      <c r="B522" s="232"/>
      <c r="C522" s="232"/>
      <c r="D522" s="232"/>
      <c r="E522" s="232"/>
      <c r="F522" s="232"/>
      <c r="G522" s="232"/>
      <c r="H522" s="232"/>
      <c r="I522" s="232"/>
      <c r="J522" s="232"/>
      <c r="K522" s="232"/>
      <c r="L522" s="232"/>
      <c r="M522" s="232"/>
      <c r="N522" s="232"/>
      <c r="O522" s="232"/>
      <c r="P522" s="232"/>
      <c r="Q522" s="228"/>
    </row>
    <row r="523">
      <c r="A523" s="195" t="s">
        <v>248</v>
      </c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7"/>
    </row>
    <row r="524">
      <c r="A524" s="198" t="s">
        <v>116</v>
      </c>
      <c r="B524" s="210"/>
      <c r="C524" s="199"/>
      <c r="D524" s="199"/>
      <c r="E524" s="199"/>
      <c r="F524" s="199"/>
      <c r="G524" s="199"/>
      <c r="H524" s="199"/>
      <c r="I524" s="221"/>
      <c r="J524" s="199"/>
      <c r="K524" s="199"/>
      <c r="L524" s="199"/>
      <c r="M524" s="202"/>
      <c r="N524" s="202"/>
      <c r="O524" s="202"/>
    </row>
    <row r="525">
      <c r="A525" s="198" t="s">
        <v>40</v>
      </c>
      <c r="B525" s="199">
        <f>2*B513</f>
        <v>1458.333333</v>
      </c>
      <c r="C525" s="199"/>
      <c r="D525" s="221"/>
      <c r="E525" s="199"/>
      <c r="F525" s="199">
        <f>F513</f>
        <v>520.8333333</v>
      </c>
      <c r="G525" s="199"/>
      <c r="H525" s="199">
        <f>12*H513</f>
        <v>9375</v>
      </c>
      <c r="I525" s="221"/>
      <c r="J525" s="199"/>
      <c r="K525" s="199"/>
      <c r="L525" s="199">
        <f>5*L513</f>
        <v>2864.583333</v>
      </c>
      <c r="M525" s="199"/>
      <c r="N525" s="199"/>
      <c r="O525" s="199"/>
    </row>
    <row r="526">
      <c r="A526" s="200" t="s">
        <v>209</v>
      </c>
      <c r="B526" s="201">
        <f>8*B513</f>
        <v>5833.333333</v>
      </c>
      <c r="C526" s="222">
        <f>16*C513</f>
        <v>12500</v>
      </c>
      <c r="D526" s="211"/>
      <c r="E526" s="210"/>
      <c r="F526" s="210">
        <f t="shared" ref="F526:G526" si="207">16*F513</f>
        <v>8333.333333</v>
      </c>
      <c r="G526" s="199">
        <f t="shared" si="207"/>
        <v>14166.66667</v>
      </c>
      <c r="H526" s="199">
        <f>24*H513</f>
        <v>18750</v>
      </c>
      <c r="I526" s="201"/>
      <c r="J526" s="201">
        <f>16*J513</f>
        <v>5411.764706</v>
      </c>
      <c r="K526" s="199"/>
      <c r="L526" s="201">
        <f t="shared" ref="L526:M526" si="208">16*L513</f>
        <v>9166.666667</v>
      </c>
      <c r="M526" s="201">
        <f t="shared" si="208"/>
        <v>9166.666667</v>
      </c>
      <c r="N526" s="201"/>
      <c r="O526" s="201"/>
    </row>
    <row r="527">
      <c r="A527" s="200" t="s">
        <v>120</v>
      </c>
      <c r="B527" s="212"/>
      <c r="C527" s="212"/>
      <c r="D527" s="212"/>
      <c r="E527" s="213"/>
      <c r="F527" s="213"/>
      <c r="G527" s="212"/>
      <c r="H527" s="212"/>
      <c r="I527" s="212"/>
      <c r="J527" s="212"/>
      <c r="K527" s="212"/>
      <c r="L527" s="214"/>
      <c r="M527" s="212"/>
      <c r="N527" s="212"/>
      <c r="O527" s="212"/>
      <c r="P527" s="72" t="s">
        <v>219</v>
      </c>
    </row>
    <row r="528">
      <c r="A528" s="205" t="s">
        <v>118</v>
      </c>
      <c r="B528" s="208">
        <f>B511+B526+B525</f>
        <v>42291.66667</v>
      </c>
      <c r="C528" s="207">
        <f>C511+C526</f>
        <v>50000</v>
      </c>
      <c r="D528" s="208">
        <f>D511</f>
        <v>35000</v>
      </c>
      <c r="E528" s="207"/>
      <c r="F528" s="207">
        <f>F511+F526+F525</f>
        <v>33854.16667</v>
      </c>
      <c r="G528" s="206">
        <f>G511+G525+G526</f>
        <v>56666.66667</v>
      </c>
      <c r="H528" s="206">
        <f>H511+H526-H525</f>
        <v>46875</v>
      </c>
      <c r="I528" s="208">
        <f>I518-I525</f>
        <v>0</v>
      </c>
      <c r="J528" s="208">
        <f>J511+J526</f>
        <v>28411.76471</v>
      </c>
      <c r="K528" s="226">
        <v>0.0</v>
      </c>
      <c r="L528" s="238">
        <f>L511+L526+L525</f>
        <v>39531.25</v>
      </c>
      <c r="M528" s="220">
        <f>M511+M526</f>
        <v>36666.66667</v>
      </c>
      <c r="N528" s="209"/>
      <c r="O528" s="220">
        <f>SUM(B528:L528)</f>
        <v>332630.5147</v>
      </c>
    </row>
    <row r="529">
      <c r="A529" s="126" t="s">
        <v>0</v>
      </c>
      <c r="B529" s="127" t="s">
        <v>90</v>
      </c>
      <c r="C529" s="127" t="s">
        <v>3</v>
      </c>
      <c r="D529" s="183" t="s">
        <v>243</v>
      </c>
      <c r="E529" s="183"/>
      <c r="F529" s="183" t="s">
        <v>155</v>
      </c>
      <c r="G529" s="183" t="s">
        <v>195</v>
      </c>
      <c r="H529" s="129" t="s">
        <v>51</v>
      </c>
      <c r="I529" s="129" t="s">
        <v>237</v>
      </c>
      <c r="J529" s="129" t="s">
        <v>231</v>
      </c>
      <c r="K529" s="129" t="s">
        <v>232</v>
      </c>
      <c r="L529" s="129" t="s">
        <v>244</v>
      </c>
      <c r="M529" s="129" t="s">
        <v>247</v>
      </c>
      <c r="N529" s="129"/>
      <c r="O529" s="128" t="s">
        <v>110</v>
      </c>
    </row>
    <row r="530">
      <c r="A530" s="228"/>
      <c r="B530" s="232"/>
      <c r="C530" s="232"/>
      <c r="D530" s="232"/>
      <c r="E530" s="232"/>
      <c r="F530" s="232"/>
      <c r="G530" s="232"/>
      <c r="H530" s="232"/>
      <c r="I530" s="232"/>
      <c r="J530" s="232"/>
      <c r="K530" s="232"/>
      <c r="L530" s="232"/>
      <c r="M530" s="232"/>
      <c r="N530" s="232"/>
      <c r="O530" s="232"/>
      <c r="P530" s="232"/>
      <c r="Q530" s="228"/>
    </row>
    <row r="531">
      <c r="A531" s="195" t="s">
        <v>249</v>
      </c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7"/>
    </row>
    <row r="532">
      <c r="A532" s="198" t="s">
        <v>116</v>
      </c>
      <c r="B532" s="210"/>
      <c r="C532" s="199"/>
      <c r="D532" s="199"/>
      <c r="E532" s="199"/>
      <c r="F532" s="199"/>
      <c r="G532" s="199"/>
      <c r="H532" s="199"/>
      <c r="I532" s="221"/>
      <c r="J532" s="199"/>
      <c r="K532" s="199"/>
      <c r="L532" s="199"/>
      <c r="M532" s="202"/>
      <c r="N532" s="202"/>
      <c r="O532" s="202"/>
    </row>
    <row r="533">
      <c r="A533" s="198" t="s">
        <v>40</v>
      </c>
      <c r="B533" s="199"/>
      <c r="C533" s="199">
        <f>6*C513</f>
        <v>4687.5</v>
      </c>
      <c r="D533" s="221"/>
      <c r="E533" s="199"/>
      <c r="F533" s="199"/>
      <c r="G533" s="199"/>
      <c r="H533" s="199"/>
      <c r="I533" s="221"/>
      <c r="J533" s="199"/>
      <c r="K533" s="199">
        <f>4*K513</f>
        <v>3000</v>
      </c>
      <c r="L533" s="199"/>
      <c r="M533" s="199"/>
      <c r="N533" s="199"/>
      <c r="O533" s="199"/>
    </row>
    <row r="534">
      <c r="A534" s="200" t="s">
        <v>250</v>
      </c>
      <c r="B534" s="201"/>
      <c r="C534" s="222">
        <f>8*C513</f>
        <v>6250</v>
      </c>
      <c r="D534" s="211"/>
      <c r="E534" s="210"/>
      <c r="F534" s="210"/>
      <c r="G534" s="199"/>
      <c r="H534" s="199"/>
      <c r="I534" s="201"/>
      <c r="J534" s="201"/>
      <c r="K534" s="199"/>
      <c r="L534" s="201"/>
      <c r="M534" s="201"/>
      <c r="N534" s="201"/>
      <c r="O534" s="201"/>
    </row>
    <row r="535">
      <c r="A535" s="200" t="s">
        <v>251</v>
      </c>
      <c r="B535" s="212"/>
      <c r="C535" s="212"/>
      <c r="D535" s="212"/>
      <c r="E535" s="239"/>
      <c r="F535" s="239">
        <v>25000.0</v>
      </c>
      <c r="G535" s="212"/>
      <c r="H535" s="212"/>
      <c r="I535" s="212"/>
      <c r="J535" s="212"/>
      <c r="K535" s="212"/>
      <c r="L535" s="214"/>
      <c r="M535" s="212"/>
      <c r="N535" s="212"/>
      <c r="O535" s="212"/>
      <c r="P535" s="72" t="s">
        <v>219</v>
      </c>
    </row>
    <row r="536">
      <c r="A536" s="205" t="s">
        <v>118</v>
      </c>
      <c r="B536" s="206">
        <f>B511</f>
        <v>35000</v>
      </c>
      <c r="C536" s="207">
        <f>C511+C533+C535+C534</f>
        <v>48437.5</v>
      </c>
      <c r="D536" s="238">
        <v>35000.0</v>
      </c>
      <c r="E536" s="207"/>
      <c r="F536" s="207">
        <f>F509+F535</f>
        <v>50000</v>
      </c>
      <c r="G536" s="206">
        <f>G508</f>
        <v>42500</v>
      </c>
      <c r="H536" s="226">
        <f>37500-H533</f>
        <v>37500</v>
      </c>
      <c r="I536" s="208">
        <f>I526-I533</f>
        <v>0</v>
      </c>
      <c r="J536" s="206">
        <f>J510</f>
        <v>23000</v>
      </c>
      <c r="K536" s="226">
        <f>K511-K533</f>
        <v>15000</v>
      </c>
      <c r="L536" s="226">
        <f t="shared" ref="L536:M536" si="209">L511</f>
        <v>27500</v>
      </c>
      <c r="M536" s="209">
        <f t="shared" si="209"/>
        <v>27500</v>
      </c>
      <c r="N536" s="209"/>
      <c r="O536" s="209">
        <f>SUM(B536:L536)</f>
        <v>313937.5</v>
      </c>
    </row>
    <row r="537">
      <c r="A537" s="126" t="s">
        <v>0</v>
      </c>
      <c r="B537" s="127" t="s">
        <v>90</v>
      </c>
      <c r="C537" s="127" t="s">
        <v>3</v>
      </c>
      <c r="D537" s="183" t="s">
        <v>243</v>
      </c>
      <c r="E537" s="183"/>
      <c r="F537" s="183" t="s">
        <v>155</v>
      </c>
      <c r="G537" s="183" t="s">
        <v>195</v>
      </c>
      <c r="H537" s="129" t="s">
        <v>51</v>
      </c>
      <c r="I537" s="129" t="s">
        <v>237</v>
      </c>
      <c r="J537" s="129" t="s">
        <v>231</v>
      </c>
      <c r="K537" s="129" t="s">
        <v>232</v>
      </c>
      <c r="L537" s="129" t="s">
        <v>244</v>
      </c>
      <c r="M537" s="129" t="s">
        <v>247</v>
      </c>
      <c r="N537" s="129"/>
      <c r="O537" s="128" t="s">
        <v>110</v>
      </c>
    </row>
    <row r="538">
      <c r="A538" s="215"/>
      <c r="B538" s="216"/>
      <c r="C538" s="216"/>
      <c r="D538" s="216"/>
      <c r="E538" s="216"/>
      <c r="F538" s="216"/>
      <c r="G538" s="216"/>
      <c r="H538" s="216"/>
      <c r="I538" s="216"/>
      <c r="J538" s="216"/>
      <c r="K538" s="216"/>
      <c r="L538" s="216"/>
      <c r="M538" s="216"/>
      <c r="N538" s="216"/>
      <c r="O538" s="216"/>
      <c r="P538" s="216"/>
      <c r="Q538" s="35"/>
    </row>
    <row r="539">
      <c r="A539" s="126" t="s">
        <v>0</v>
      </c>
      <c r="B539" s="127" t="s">
        <v>90</v>
      </c>
      <c r="C539" s="127" t="s">
        <v>3</v>
      </c>
      <c r="D539" s="183" t="s">
        <v>243</v>
      </c>
      <c r="E539" s="183"/>
      <c r="F539" s="183" t="s">
        <v>155</v>
      </c>
      <c r="G539" s="183" t="s">
        <v>195</v>
      </c>
      <c r="H539" s="129" t="s">
        <v>51</v>
      </c>
      <c r="I539" s="129" t="s">
        <v>231</v>
      </c>
      <c r="J539" s="129" t="s">
        <v>232</v>
      </c>
      <c r="K539" s="129" t="s">
        <v>244</v>
      </c>
      <c r="L539" s="129" t="s">
        <v>252</v>
      </c>
      <c r="M539" s="128"/>
      <c r="N539" s="128" t="s">
        <v>110</v>
      </c>
    </row>
    <row r="540">
      <c r="A540" s="130" t="s">
        <v>59</v>
      </c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2"/>
    </row>
    <row r="541">
      <c r="A541" s="133" t="s">
        <v>111</v>
      </c>
      <c r="B541" s="134">
        <v>37500.0</v>
      </c>
      <c r="C541" s="134">
        <v>37500.0</v>
      </c>
      <c r="D541" s="134">
        <v>35000.0</v>
      </c>
      <c r="E541" s="134"/>
      <c r="F541" s="134">
        <v>30000.0</v>
      </c>
      <c r="G541" s="134">
        <v>42500.0</v>
      </c>
      <c r="H541" s="134">
        <v>35000.0</v>
      </c>
      <c r="I541" s="134">
        <v>23000.0</v>
      </c>
      <c r="J541" s="134">
        <v>18000.0</v>
      </c>
      <c r="K541" s="134">
        <v>27500.0</v>
      </c>
      <c r="L541" s="134">
        <v>27500.0</v>
      </c>
      <c r="M541" s="217"/>
      <c r="N541" s="136">
        <f t="shared" ref="N541:N544" si="210">SUM(B541:K541)</f>
        <v>286000</v>
      </c>
    </row>
    <row r="542">
      <c r="A542" s="137"/>
      <c r="B542" s="134">
        <v>37500.0</v>
      </c>
      <c r="C542" s="134">
        <v>37500.0</v>
      </c>
      <c r="D542" s="134">
        <v>35000.0</v>
      </c>
      <c r="E542" s="134"/>
      <c r="F542" s="134">
        <v>30000.0</v>
      </c>
      <c r="G542" s="134">
        <v>42500.0</v>
      </c>
      <c r="H542" s="134">
        <v>35000.0</v>
      </c>
      <c r="I542" s="134">
        <v>23000.0</v>
      </c>
      <c r="J542" s="134">
        <v>18000.0</v>
      </c>
      <c r="K542" s="134">
        <v>27500.0</v>
      </c>
      <c r="L542" s="134">
        <v>27500.0</v>
      </c>
      <c r="M542" s="217"/>
      <c r="N542" s="136">
        <f t="shared" si="210"/>
        <v>286000</v>
      </c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</row>
    <row r="543">
      <c r="A543" s="137"/>
      <c r="B543" s="134">
        <v>37500.0</v>
      </c>
      <c r="C543" s="134">
        <v>37500.0</v>
      </c>
      <c r="D543" s="134">
        <v>35000.0</v>
      </c>
      <c r="E543" s="134"/>
      <c r="F543" s="134">
        <v>30000.0</v>
      </c>
      <c r="G543" s="134">
        <v>42500.0</v>
      </c>
      <c r="H543" s="134">
        <v>35000.0</v>
      </c>
      <c r="I543" s="134">
        <v>23000.0</v>
      </c>
      <c r="J543" s="134">
        <v>18000.0</v>
      </c>
      <c r="K543" s="134">
        <v>27500.0</v>
      </c>
      <c r="L543" s="134">
        <v>27500.0</v>
      </c>
      <c r="M543" s="134"/>
      <c r="N543" s="136">
        <f t="shared" si="210"/>
        <v>286000</v>
      </c>
    </row>
    <row r="544">
      <c r="A544" s="138"/>
      <c r="B544" s="134">
        <v>37500.0</v>
      </c>
      <c r="C544" s="134">
        <v>37500.0</v>
      </c>
      <c r="D544" s="134">
        <v>35000.0</v>
      </c>
      <c r="E544" s="134"/>
      <c r="F544" s="134">
        <v>30000.0</v>
      </c>
      <c r="G544" s="134">
        <v>42500.0</v>
      </c>
      <c r="H544" s="134">
        <v>35000.0</v>
      </c>
      <c r="I544" s="134">
        <v>23000.0</v>
      </c>
      <c r="J544" s="134">
        <v>18000.0</v>
      </c>
      <c r="K544" s="134">
        <v>27500.0</v>
      </c>
      <c r="L544" s="134">
        <v>27500.0</v>
      </c>
      <c r="M544" s="225"/>
      <c r="N544" s="139">
        <f t="shared" si="210"/>
        <v>286000</v>
      </c>
    </row>
    <row r="545">
      <c r="A545" s="140" t="s">
        <v>113</v>
      </c>
      <c r="B545" s="141">
        <f t="shared" ref="B545:D545" si="211">SUM(B541:B544)</f>
        <v>150000</v>
      </c>
      <c r="C545" s="141">
        <f t="shared" si="211"/>
        <v>150000</v>
      </c>
      <c r="D545" s="141">
        <f t="shared" si="211"/>
        <v>140000</v>
      </c>
      <c r="E545" s="141"/>
      <c r="F545" s="141">
        <f t="shared" ref="F545:L545" si="212">SUM(F541:F544)</f>
        <v>120000</v>
      </c>
      <c r="G545" s="141">
        <f t="shared" si="212"/>
        <v>170000</v>
      </c>
      <c r="H545" s="141">
        <f t="shared" si="212"/>
        <v>140000</v>
      </c>
      <c r="I545" s="141">
        <f t="shared" si="212"/>
        <v>92000</v>
      </c>
      <c r="J545" s="141">
        <f t="shared" si="212"/>
        <v>72000</v>
      </c>
      <c r="K545" s="141">
        <f t="shared" si="212"/>
        <v>110000</v>
      </c>
      <c r="L545" s="141">
        <f t="shared" si="212"/>
        <v>110000</v>
      </c>
      <c r="M545" s="141"/>
      <c r="N545" s="141">
        <f>SUM(N541:N544)</f>
        <v>1144000</v>
      </c>
    </row>
    <row r="546">
      <c r="A546" s="157" t="s">
        <v>138</v>
      </c>
      <c r="B546" s="158">
        <f>B542/6/8</f>
        <v>781.25</v>
      </c>
      <c r="C546" s="158">
        <f>C541/8/6</f>
        <v>781.25</v>
      </c>
      <c r="D546" s="158">
        <f>D541/6/8</f>
        <v>729.1666667</v>
      </c>
      <c r="E546" s="158"/>
      <c r="F546" s="158">
        <f t="shared" ref="F546:H546" si="213">F541/6/8</f>
        <v>625</v>
      </c>
      <c r="G546" s="158">
        <f t="shared" si="213"/>
        <v>885.4166667</v>
      </c>
      <c r="H546" s="158">
        <f t="shared" si="213"/>
        <v>729.1666667</v>
      </c>
      <c r="I546" s="158">
        <f>I542/6/8</f>
        <v>479.1666667</v>
      </c>
      <c r="J546" s="158">
        <f>J541/4/6</f>
        <v>750</v>
      </c>
      <c r="K546" s="158">
        <f t="shared" ref="K546:L546" si="214">K541/6/8</f>
        <v>572.9166667</v>
      </c>
      <c r="L546" s="159">
        <f t="shared" si="214"/>
        <v>572.9166667</v>
      </c>
      <c r="M546" s="159">
        <f t="shared" ref="M546:N546" si="215">M544/6/8</f>
        <v>0</v>
      </c>
      <c r="N546" s="159">
        <f t="shared" si="215"/>
        <v>5958.333333</v>
      </c>
      <c r="O546" s="122"/>
    </row>
    <row r="547">
      <c r="A547" s="228"/>
      <c r="B547" s="232"/>
      <c r="C547" s="232"/>
      <c r="D547" s="232"/>
      <c r="E547" s="232"/>
      <c r="F547" s="232"/>
      <c r="G547" s="232"/>
      <c r="H547" s="232"/>
      <c r="I547" s="232"/>
      <c r="J547" s="232"/>
      <c r="K547" s="232"/>
      <c r="L547" s="232"/>
      <c r="M547" s="232"/>
      <c r="N547" s="232"/>
      <c r="O547" s="232"/>
      <c r="P547" s="232"/>
      <c r="Q547" s="228"/>
    </row>
    <row r="548">
      <c r="A548" s="195" t="s">
        <v>253</v>
      </c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7"/>
    </row>
    <row r="549">
      <c r="A549" s="198" t="s">
        <v>116</v>
      </c>
      <c r="B549" s="210"/>
      <c r="C549" s="199"/>
      <c r="D549" s="199"/>
      <c r="E549" s="199"/>
      <c r="F549" s="199"/>
      <c r="G549" s="199"/>
      <c r="H549" s="199"/>
      <c r="I549" s="199"/>
      <c r="J549" s="199"/>
      <c r="K549" s="199"/>
      <c r="L549" s="202"/>
      <c r="M549" s="202"/>
      <c r="N549" s="202"/>
    </row>
    <row r="550">
      <c r="A550" s="198" t="s">
        <v>40</v>
      </c>
      <c r="B550" s="199"/>
      <c r="C550" s="199">
        <f>3*C546</f>
        <v>2343.75</v>
      </c>
      <c r="D550" s="221">
        <f>D546*8</f>
        <v>5833.333333</v>
      </c>
      <c r="E550" s="199"/>
      <c r="F550" s="199">
        <f>F546</f>
        <v>625</v>
      </c>
      <c r="G550" s="199"/>
      <c r="H550" s="199"/>
      <c r="I550" s="199"/>
      <c r="J550" s="199"/>
      <c r="K550" s="199"/>
      <c r="L550" s="199"/>
      <c r="M550" s="199"/>
      <c r="N550" s="199"/>
    </row>
    <row r="551">
      <c r="A551" s="200" t="s">
        <v>250</v>
      </c>
      <c r="B551" s="201"/>
      <c r="C551" s="222"/>
      <c r="D551" s="211"/>
      <c r="E551" s="210"/>
      <c r="F551" s="210"/>
      <c r="G551" s="199"/>
      <c r="H551" s="199"/>
      <c r="I551" s="201"/>
      <c r="J551" s="199"/>
      <c r="K551" s="201"/>
      <c r="L551" s="201"/>
      <c r="M551" s="201"/>
      <c r="N551" s="201"/>
    </row>
    <row r="552">
      <c r="A552" s="200" t="s">
        <v>251</v>
      </c>
      <c r="B552" s="212"/>
      <c r="C552" s="212"/>
      <c r="D552" s="212"/>
      <c r="E552" s="239"/>
      <c r="F552" s="239"/>
      <c r="G552" s="212"/>
      <c r="H552" s="212"/>
      <c r="I552" s="212"/>
      <c r="J552" s="212"/>
      <c r="K552" s="214"/>
      <c r="L552" s="212"/>
      <c r="M552" s="212"/>
      <c r="N552" s="212"/>
      <c r="O552" s="72" t="s">
        <v>219</v>
      </c>
    </row>
    <row r="553">
      <c r="A553" s="205" t="s">
        <v>118</v>
      </c>
      <c r="B553" s="206"/>
      <c r="C553" s="207">
        <f>C544+C550</f>
        <v>39843.75</v>
      </c>
      <c r="D553" s="238">
        <f>35000-D550</f>
        <v>29166.66667</v>
      </c>
      <c r="E553" s="207"/>
      <c r="F553" s="207">
        <f>F544+F550</f>
        <v>30625</v>
      </c>
      <c r="G553" s="206">
        <f>G541</f>
        <v>42500</v>
      </c>
      <c r="H553" s="226">
        <f>H544</f>
        <v>35000</v>
      </c>
      <c r="I553" s="206">
        <f>I543</f>
        <v>23000</v>
      </c>
      <c r="J553" s="226">
        <f>J544</f>
        <v>18000</v>
      </c>
      <c r="K553" s="226">
        <f t="shared" ref="K553:L553" si="216">K543</f>
        <v>27500</v>
      </c>
      <c r="L553" s="209">
        <f t="shared" si="216"/>
        <v>27500</v>
      </c>
      <c r="M553" s="209"/>
      <c r="N553" s="209">
        <f>SUM(B553:K553)</f>
        <v>245635.4167</v>
      </c>
    </row>
    <row r="554">
      <c r="A554" s="126" t="s">
        <v>0</v>
      </c>
      <c r="B554" s="127" t="s">
        <v>90</v>
      </c>
      <c r="C554" s="127" t="s">
        <v>3</v>
      </c>
      <c r="D554" s="183" t="s">
        <v>243</v>
      </c>
      <c r="E554" s="183"/>
      <c r="F554" s="183" t="s">
        <v>155</v>
      </c>
      <c r="G554" s="183" t="s">
        <v>195</v>
      </c>
      <c r="H554" s="129" t="s">
        <v>51</v>
      </c>
      <c r="I554" s="129" t="s">
        <v>231</v>
      </c>
      <c r="J554" s="129" t="s">
        <v>232</v>
      </c>
      <c r="K554" s="129" t="s">
        <v>244</v>
      </c>
      <c r="L554" s="129" t="s">
        <v>247</v>
      </c>
      <c r="M554" s="129"/>
      <c r="N554" s="128" t="s">
        <v>110</v>
      </c>
    </row>
    <row r="555">
      <c r="A555" s="228"/>
      <c r="B555" s="232"/>
      <c r="C555" s="232"/>
      <c r="D555" s="232"/>
      <c r="E555" s="232"/>
      <c r="F555" s="232"/>
      <c r="G555" s="232"/>
      <c r="H555" s="232"/>
      <c r="I555" s="232"/>
      <c r="J555" s="232"/>
      <c r="K555" s="232"/>
      <c r="L555" s="232"/>
      <c r="M555" s="232"/>
      <c r="N555" s="232"/>
      <c r="O555" s="232"/>
      <c r="P555" s="232"/>
      <c r="Q555" s="228"/>
    </row>
    <row r="556">
      <c r="A556" s="195" t="s">
        <v>254</v>
      </c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7"/>
    </row>
    <row r="557">
      <c r="A557" s="198" t="s">
        <v>116</v>
      </c>
      <c r="B557" s="210"/>
      <c r="C557" s="199"/>
      <c r="D557" s="199"/>
      <c r="E557" s="199"/>
      <c r="F557" s="199"/>
      <c r="G557" s="199"/>
      <c r="H557" s="199"/>
      <c r="I557" s="199"/>
      <c r="J557" s="199"/>
      <c r="K557" s="199"/>
      <c r="L557" s="202"/>
      <c r="M557" s="202"/>
      <c r="N557" s="202"/>
    </row>
    <row r="558">
      <c r="A558" s="198" t="s">
        <v>40</v>
      </c>
      <c r="B558" s="199">
        <f>2*B546</f>
        <v>1562.5</v>
      </c>
      <c r="C558" s="199">
        <f>C546*5</f>
        <v>3906.25</v>
      </c>
      <c r="D558" s="221">
        <f>D546*8</f>
        <v>5833.333333</v>
      </c>
      <c r="E558" s="199"/>
      <c r="F558" s="199"/>
      <c r="G558" s="199"/>
      <c r="H558" s="221">
        <f>4*H546</f>
        <v>2916.666667</v>
      </c>
      <c r="I558" s="199"/>
      <c r="J558" s="199"/>
      <c r="K558" s="199">
        <f>2*K546</f>
        <v>1145.833333</v>
      </c>
      <c r="L558" s="199"/>
      <c r="M558" s="199"/>
      <c r="N558" s="199"/>
    </row>
    <row r="559">
      <c r="A559" s="200" t="s">
        <v>250</v>
      </c>
      <c r="B559" s="211"/>
      <c r="C559" s="222"/>
      <c r="D559" s="211"/>
      <c r="E559" s="210"/>
      <c r="F559" s="210"/>
      <c r="G559" s="199"/>
      <c r="H559" s="199"/>
      <c r="I559" s="201"/>
      <c r="J559" s="199"/>
      <c r="K559" s="201"/>
      <c r="L559" s="201"/>
      <c r="M559" s="201"/>
      <c r="N559" s="201"/>
    </row>
    <row r="560">
      <c r="A560" s="200" t="s">
        <v>255</v>
      </c>
      <c r="B560" s="214">
        <v>35000.0</v>
      </c>
      <c r="C560" s="214">
        <v>37500.0</v>
      </c>
      <c r="D560" s="212"/>
      <c r="E560" s="239"/>
      <c r="F560" s="239">
        <v>25000.0</v>
      </c>
      <c r="G560" s="214">
        <v>42500.0</v>
      </c>
      <c r="H560" s="214">
        <v>37500.0</v>
      </c>
      <c r="I560" s="212"/>
      <c r="J560" s="212"/>
      <c r="K560" s="214"/>
      <c r="L560" s="212"/>
      <c r="M560" s="212"/>
      <c r="N560" s="212"/>
      <c r="O560" s="72" t="s">
        <v>219</v>
      </c>
    </row>
    <row r="561">
      <c r="A561" s="205" t="s">
        <v>118</v>
      </c>
      <c r="B561" s="206">
        <f>B544+B560</f>
        <v>72500</v>
      </c>
      <c r="C561" s="207">
        <f>C552+C558+C542+C560</f>
        <v>78906.25</v>
      </c>
      <c r="D561" s="238">
        <f>35000-D558</f>
        <v>29166.66667</v>
      </c>
      <c r="E561" s="207"/>
      <c r="F561" s="207">
        <f>F544+F560</f>
        <v>55000</v>
      </c>
      <c r="G561" s="206">
        <f>G542+G560</f>
        <v>85000</v>
      </c>
      <c r="H561" s="226">
        <f>H558+H560</f>
        <v>40416.66667</v>
      </c>
      <c r="I561" s="206">
        <f>I544</f>
        <v>23000</v>
      </c>
      <c r="J561" s="226">
        <f>J542</f>
        <v>18000</v>
      </c>
      <c r="K561" s="226">
        <f>K542+K558</f>
        <v>28645.83333</v>
      </c>
      <c r="L561" s="209">
        <f>L544</f>
        <v>27500</v>
      </c>
      <c r="M561" s="209"/>
      <c r="N561" s="209">
        <f>SUM(B561:K561)</f>
        <v>430635.4167</v>
      </c>
    </row>
    <row r="562">
      <c r="A562" s="126" t="s">
        <v>0</v>
      </c>
      <c r="B562" s="127" t="s">
        <v>90</v>
      </c>
      <c r="C562" s="127" t="s">
        <v>3</v>
      </c>
      <c r="D562" s="183" t="s">
        <v>243</v>
      </c>
      <c r="E562" s="183"/>
      <c r="F562" s="183" t="s">
        <v>155</v>
      </c>
      <c r="G562" s="183" t="s">
        <v>195</v>
      </c>
      <c r="H562" s="129" t="s">
        <v>51</v>
      </c>
      <c r="I562" s="129" t="s">
        <v>231</v>
      </c>
      <c r="J562" s="129" t="s">
        <v>232</v>
      </c>
      <c r="K562" s="129" t="s">
        <v>244</v>
      </c>
      <c r="L562" s="129" t="s">
        <v>247</v>
      </c>
      <c r="M562" s="129"/>
      <c r="N562" s="128" t="s">
        <v>110</v>
      </c>
    </row>
    <row r="563">
      <c r="A563" s="228"/>
      <c r="B563" s="232"/>
      <c r="C563" s="232"/>
      <c r="D563" s="232"/>
      <c r="E563" s="232"/>
      <c r="F563" s="232"/>
      <c r="G563" s="232"/>
      <c r="H563" s="232"/>
      <c r="I563" s="232"/>
      <c r="J563" s="232"/>
      <c r="K563" s="232"/>
      <c r="L563" s="232"/>
      <c r="M563" s="232"/>
      <c r="N563" s="232"/>
      <c r="O563" s="232"/>
      <c r="P563" s="232"/>
      <c r="Q563" s="228"/>
    </row>
    <row r="564">
      <c r="A564" s="195" t="s">
        <v>256</v>
      </c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7"/>
    </row>
    <row r="565">
      <c r="A565" s="198" t="s">
        <v>116</v>
      </c>
      <c r="B565" s="210"/>
      <c r="C565" s="199"/>
      <c r="D565" s="199"/>
      <c r="E565" s="199"/>
      <c r="F565" s="199"/>
      <c r="G565" s="199"/>
      <c r="H565" s="199"/>
      <c r="I565" s="199"/>
      <c r="J565" s="199"/>
      <c r="K565" s="199"/>
      <c r="L565" s="202"/>
      <c r="M565" s="202"/>
      <c r="N565" s="202"/>
    </row>
    <row r="566">
      <c r="A566" s="198" t="s">
        <v>40</v>
      </c>
      <c r="B566" s="199">
        <f>3*B546</f>
        <v>2343.75</v>
      </c>
      <c r="C566" s="199">
        <f>5*C546</f>
        <v>3906.25</v>
      </c>
      <c r="D566" s="221">
        <f>D546*16</f>
        <v>11666.66667</v>
      </c>
      <c r="E566" s="199"/>
      <c r="F566" s="199">
        <f>2*F546</f>
        <v>1250</v>
      </c>
      <c r="G566" s="199">
        <f>1*G546</f>
        <v>885.4166667</v>
      </c>
      <c r="H566" s="221">
        <f>2*H546</f>
        <v>1458.333333</v>
      </c>
      <c r="I566" s="199"/>
      <c r="J566" s="199"/>
      <c r="K566" s="199"/>
      <c r="L566" s="199"/>
      <c r="M566" s="199"/>
      <c r="N566" s="199"/>
    </row>
    <row r="567">
      <c r="A567" s="200" t="s">
        <v>250</v>
      </c>
      <c r="B567" s="211"/>
      <c r="C567" s="222"/>
      <c r="D567" s="211"/>
      <c r="E567" s="210"/>
      <c r="F567" s="210"/>
      <c r="G567" s="199"/>
      <c r="H567" s="199"/>
      <c r="I567" s="201"/>
      <c r="J567" s="199"/>
      <c r="K567" s="201"/>
      <c r="L567" s="201"/>
      <c r="M567" s="201"/>
      <c r="N567" s="201"/>
    </row>
    <row r="568">
      <c r="A568" s="200" t="s">
        <v>255</v>
      </c>
      <c r="B568" s="214"/>
      <c r="C568" s="214"/>
      <c r="D568" s="212"/>
      <c r="E568" s="239"/>
      <c r="F568" s="239"/>
      <c r="G568" s="214"/>
      <c r="H568" s="214"/>
      <c r="I568" s="212"/>
      <c r="J568" s="212"/>
      <c r="K568" s="214"/>
      <c r="L568" s="212"/>
      <c r="M568" s="212"/>
      <c r="N568" s="212"/>
      <c r="O568" s="72" t="s">
        <v>219</v>
      </c>
    </row>
    <row r="569">
      <c r="A569" s="205" t="s">
        <v>118</v>
      </c>
      <c r="B569" s="206">
        <f t="shared" ref="B569:C569" si="217">B544+B566</f>
        <v>39843.75</v>
      </c>
      <c r="C569" s="207">
        <f t="shared" si="217"/>
        <v>41406.25</v>
      </c>
      <c r="D569" s="238">
        <f>D542-D566</f>
        <v>23333.33333</v>
      </c>
      <c r="E569" s="207"/>
      <c r="F569" s="207">
        <f>F543</f>
        <v>30000</v>
      </c>
      <c r="G569" s="206">
        <f t="shared" ref="G569:H569" si="218">G543+G566</f>
        <v>43385.41667</v>
      </c>
      <c r="H569" s="226">
        <f t="shared" si="218"/>
        <v>36458.33333</v>
      </c>
      <c r="I569" s="206">
        <f>I542</f>
        <v>23000</v>
      </c>
      <c r="J569" s="226">
        <f>J543</f>
        <v>18000</v>
      </c>
      <c r="K569" s="226">
        <f>K544</f>
        <v>27500</v>
      </c>
      <c r="L569" s="209">
        <f>L543</f>
        <v>27500</v>
      </c>
      <c r="M569" s="209"/>
      <c r="N569" s="209">
        <f>SUM(B569:K569)</f>
        <v>282927.0833</v>
      </c>
    </row>
    <row r="570">
      <c r="A570" s="126" t="s">
        <v>0</v>
      </c>
      <c r="B570" s="127" t="s">
        <v>90</v>
      </c>
      <c r="C570" s="127" t="s">
        <v>3</v>
      </c>
      <c r="D570" s="183" t="s">
        <v>243</v>
      </c>
      <c r="E570" s="183"/>
      <c r="F570" s="183" t="s">
        <v>155</v>
      </c>
      <c r="G570" s="183" t="s">
        <v>195</v>
      </c>
      <c r="H570" s="129" t="s">
        <v>51</v>
      </c>
      <c r="I570" s="129" t="s">
        <v>231</v>
      </c>
      <c r="J570" s="129" t="s">
        <v>232</v>
      </c>
      <c r="K570" s="129" t="s">
        <v>244</v>
      </c>
      <c r="L570" s="129" t="s">
        <v>247</v>
      </c>
      <c r="M570" s="129"/>
      <c r="N570" s="128" t="s">
        <v>110</v>
      </c>
    </row>
    <row r="571">
      <c r="D571" s="240">
        <f>D569+D561+D553</f>
        <v>81666.66667</v>
      </c>
      <c r="I571" s="72">
        <v>150.0</v>
      </c>
    </row>
    <row r="572">
      <c r="A572" s="195" t="s">
        <v>257</v>
      </c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7"/>
    </row>
    <row r="573">
      <c r="A573" s="198" t="s">
        <v>116</v>
      </c>
      <c r="B573" s="210"/>
      <c r="C573" s="199"/>
      <c r="D573" s="199"/>
      <c r="E573" s="199"/>
      <c r="F573" s="199"/>
      <c r="G573" s="199"/>
      <c r="H573" s="199"/>
      <c r="I573" s="199"/>
      <c r="J573" s="199"/>
      <c r="K573" s="199"/>
      <c r="L573" s="202"/>
      <c r="M573" s="202"/>
      <c r="N573" s="202"/>
    </row>
    <row r="574">
      <c r="A574" s="198" t="s">
        <v>40</v>
      </c>
      <c r="B574" s="199">
        <f>2*B546</f>
        <v>1562.5</v>
      </c>
      <c r="C574" s="199">
        <f>7*C546</f>
        <v>5468.75</v>
      </c>
      <c r="D574" s="221" t="s">
        <v>258</v>
      </c>
      <c r="E574" s="199"/>
      <c r="F574" s="199"/>
      <c r="G574" s="199">
        <f>1*G546</f>
        <v>885.4166667</v>
      </c>
      <c r="H574" s="221">
        <f>7*H546</f>
        <v>5104.166667</v>
      </c>
      <c r="I574" s="199"/>
      <c r="J574" s="199"/>
      <c r="K574" s="199"/>
      <c r="L574" s="199"/>
      <c r="M574" s="199"/>
      <c r="N574" s="199"/>
      <c r="R574" s="72" t="s">
        <v>164</v>
      </c>
    </row>
    <row r="575">
      <c r="A575" s="200" t="s">
        <v>250</v>
      </c>
      <c r="B575" s="211"/>
      <c r="C575" s="222"/>
      <c r="D575" s="211"/>
      <c r="E575" s="210"/>
      <c r="F575" s="210"/>
      <c r="G575" s="199"/>
      <c r="H575" s="199"/>
      <c r="I575" s="199"/>
      <c r="J575" s="199"/>
      <c r="K575" s="201"/>
      <c r="L575" s="201"/>
      <c r="M575" s="201"/>
      <c r="N575" s="201"/>
    </row>
    <row r="576">
      <c r="A576" s="200" t="s">
        <v>259</v>
      </c>
      <c r="B576" s="214"/>
      <c r="C576" s="214"/>
      <c r="D576" s="212"/>
      <c r="E576" s="239"/>
      <c r="F576" s="239"/>
      <c r="G576" s="214"/>
      <c r="H576" s="214"/>
      <c r="I576" s="212"/>
      <c r="J576" s="212"/>
      <c r="K576" s="214"/>
      <c r="L576" s="212"/>
      <c r="M576" s="212"/>
      <c r="N576" s="212"/>
      <c r="O576" s="72" t="s">
        <v>219</v>
      </c>
    </row>
    <row r="577">
      <c r="A577" s="205" t="s">
        <v>118</v>
      </c>
      <c r="B577" s="206">
        <f>B544</f>
        <v>37500</v>
      </c>
      <c r="C577" s="207">
        <f>C544+C574</f>
        <v>42968.75</v>
      </c>
      <c r="D577" s="238"/>
      <c r="E577" s="207"/>
      <c r="F577" s="207">
        <f>F543</f>
        <v>30000</v>
      </c>
      <c r="G577" s="206">
        <f t="shared" ref="G577:H577" si="219">G544+G574</f>
        <v>43385.41667</v>
      </c>
      <c r="H577" s="226">
        <f t="shared" si="219"/>
        <v>40104.16667</v>
      </c>
      <c r="I577" s="226">
        <f>I583</f>
        <v>35000</v>
      </c>
      <c r="J577" s="226"/>
      <c r="K577" s="226"/>
      <c r="L577" s="209">
        <f>K544</f>
        <v>27500</v>
      </c>
      <c r="M577" s="209"/>
      <c r="N577" s="209">
        <f>SUM(B577:K577)</f>
        <v>228958.3333</v>
      </c>
    </row>
    <row r="578">
      <c r="A578" s="126" t="s">
        <v>0</v>
      </c>
      <c r="B578" s="127" t="s">
        <v>90</v>
      </c>
      <c r="C578" s="127" t="s">
        <v>3</v>
      </c>
      <c r="D578" s="183" t="s">
        <v>243</v>
      </c>
      <c r="E578" s="183"/>
      <c r="F578" s="183" t="s">
        <v>155</v>
      </c>
      <c r="G578" s="183" t="s">
        <v>195</v>
      </c>
      <c r="H578" s="129" t="s">
        <v>51</v>
      </c>
      <c r="I578" s="129" t="s">
        <v>260</v>
      </c>
      <c r="J578" s="129" t="s">
        <v>232</v>
      </c>
      <c r="K578" s="129" t="s">
        <v>244</v>
      </c>
      <c r="L578" s="129" t="s">
        <v>247</v>
      </c>
      <c r="M578" s="129"/>
      <c r="N578" s="128" t="s">
        <v>110</v>
      </c>
    </row>
    <row r="579">
      <c r="A579" s="241"/>
      <c r="B579" s="225"/>
      <c r="C579" s="225"/>
      <c r="D579" s="225"/>
      <c r="E579" s="225"/>
      <c r="F579" s="225"/>
      <c r="G579" s="242"/>
      <c r="H579" s="225"/>
      <c r="I579" s="225"/>
      <c r="J579" s="242"/>
      <c r="K579" s="225"/>
      <c r="L579" s="242"/>
      <c r="M579" s="225"/>
      <c r="N579" s="225"/>
      <c r="O579" s="225"/>
      <c r="P579" s="225"/>
      <c r="Q579" s="218"/>
    </row>
    <row r="580">
      <c r="A580" s="243"/>
      <c r="B580" s="218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</row>
    <row r="581">
      <c r="A581" s="126" t="s">
        <v>0</v>
      </c>
      <c r="B581" s="127" t="s">
        <v>90</v>
      </c>
      <c r="C581" s="127" t="s">
        <v>3</v>
      </c>
      <c r="D581" s="183" t="s">
        <v>261</v>
      </c>
      <c r="E581" s="183"/>
      <c r="F581" s="183" t="s">
        <v>155</v>
      </c>
      <c r="G581" s="183" t="s">
        <v>195</v>
      </c>
      <c r="H581" s="129" t="s">
        <v>260</v>
      </c>
      <c r="I581" s="129" t="s">
        <v>51</v>
      </c>
      <c r="J581" s="129" t="s">
        <v>232</v>
      </c>
      <c r="K581" s="129" t="s">
        <v>244</v>
      </c>
      <c r="L581" s="129" t="s">
        <v>252</v>
      </c>
      <c r="M581" s="129" t="s">
        <v>262</v>
      </c>
      <c r="N581" s="128" t="s">
        <v>110</v>
      </c>
    </row>
    <row r="582">
      <c r="A582" s="130" t="s">
        <v>80</v>
      </c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2"/>
    </row>
    <row r="583">
      <c r="A583" s="133" t="s">
        <v>111</v>
      </c>
      <c r="B583" s="134">
        <v>40000.0</v>
      </c>
      <c r="C583" s="134">
        <v>40000.0</v>
      </c>
      <c r="D583" s="134">
        <v>28200.0</v>
      </c>
      <c r="E583" s="134"/>
      <c r="F583" s="134">
        <v>30000.0</v>
      </c>
      <c r="G583" s="134">
        <v>42500.0</v>
      </c>
      <c r="H583" s="134">
        <v>37500.0</v>
      </c>
      <c r="I583" s="134">
        <v>35000.0</v>
      </c>
      <c r="J583" s="134">
        <v>27500.0</v>
      </c>
      <c r="K583" s="134">
        <v>30000.0</v>
      </c>
      <c r="L583" s="134">
        <v>27500.0</v>
      </c>
      <c r="M583" s="134">
        <v>37500.0</v>
      </c>
      <c r="N583" s="136">
        <f t="shared" ref="N583:N586" si="220">SUM(B583:K583)</f>
        <v>310700</v>
      </c>
    </row>
    <row r="584">
      <c r="A584" s="137"/>
      <c r="B584" s="134">
        <v>40000.0</v>
      </c>
      <c r="C584" s="134">
        <v>40000.0</v>
      </c>
      <c r="D584" s="134">
        <v>28200.0</v>
      </c>
      <c r="E584" s="134"/>
      <c r="F584" s="134">
        <v>30000.0</v>
      </c>
      <c r="G584" s="134">
        <v>42500.0</v>
      </c>
      <c r="H584" s="134">
        <v>37500.0</v>
      </c>
      <c r="I584" s="134">
        <v>35000.0</v>
      </c>
      <c r="J584" s="134">
        <v>27500.0</v>
      </c>
      <c r="K584" s="134">
        <v>30000.0</v>
      </c>
      <c r="L584" s="134">
        <v>27500.0</v>
      </c>
      <c r="M584" s="134">
        <v>37500.0</v>
      </c>
      <c r="N584" s="136">
        <f t="shared" si="220"/>
        <v>310700</v>
      </c>
      <c r="Q584" s="91"/>
    </row>
    <row r="585">
      <c r="A585" s="137"/>
      <c r="B585" s="134">
        <v>40000.0</v>
      </c>
      <c r="C585" s="134">
        <v>40000.0</v>
      </c>
      <c r="D585" s="134">
        <v>28200.0</v>
      </c>
      <c r="E585" s="134"/>
      <c r="F585" s="134">
        <v>30000.0</v>
      </c>
      <c r="G585" s="134">
        <v>42500.0</v>
      </c>
      <c r="H585" s="134">
        <v>37500.0</v>
      </c>
      <c r="I585" s="134">
        <v>35000.0</v>
      </c>
      <c r="J585" s="134">
        <v>27500.0</v>
      </c>
      <c r="K585" s="134">
        <v>30000.0</v>
      </c>
      <c r="L585" s="134">
        <v>27500.0</v>
      </c>
      <c r="M585" s="134">
        <v>37500.0</v>
      </c>
      <c r="N585" s="136">
        <f t="shared" si="220"/>
        <v>310700</v>
      </c>
    </row>
    <row r="586">
      <c r="A586" s="138"/>
      <c r="B586" s="134">
        <v>40000.0</v>
      </c>
      <c r="C586" s="134">
        <v>40000.0</v>
      </c>
      <c r="D586" s="134">
        <v>28200.0</v>
      </c>
      <c r="E586" s="134"/>
      <c r="F586" s="134">
        <v>30000.0</v>
      </c>
      <c r="G586" s="134">
        <v>42500.0</v>
      </c>
      <c r="H586" s="134">
        <v>37500.0</v>
      </c>
      <c r="I586" s="134">
        <v>35000.0</v>
      </c>
      <c r="J586" s="134">
        <v>27500.0</v>
      </c>
      <c r="K586" s="134">
        <v>30000.0</v>
      </c>
      <c r="L586" s="134">
        <v>27500.0</v>
      </c>
      <c r="M586" s="134">
        <v>37500.0</v>
      </c>
      <c r="N586" s="139">
        <f t="shared" si="220"/>
        <v>310700</v>
      </c>
    </row>
    <row r="587">
      <c r="A587" s="140" t="s">
        <v>113</v>
      </c>
      <c r="B587" s="141">
        <f t="shared" ref="B587:D587" si="221">SUM(B583:B586)</f>
        <v>160000</v>
      </c>
      <c r="C587" s="141">
        <f t="shared" si="221"/>
        <v>160000</v>
      </c>
      <c r="D587" s="141">
        <f t="shared" si="221"/>
        <v>112800</v>
      </c>
      <c r="E587" s="141"/>
      <c r="F587" s="141">
        <f t="shared" ref="F587:N587" si="222">SUM(F583:F586)</f>
        <v>120000</v>
      </c>
      <c r="G587" s="141">
        <f t="shared" si="222"/>
        <v>170000</v>
      </c>
      <c r="H587" s="141">
        <f t="shared" si="222"/>
        <v>150000</v>
      </c>
      <c r="I587" s="141">
        <f t="shared" si="222"/>
        <v>140000</v>
      </c>
      <c r="J587" s="141">
        <f t="shared" si="222"/>
        <v>110000</v>
      </c>
      <c r="K587" s="141">
        <f t="shared" si="222"/>
        <v>120000</v>
      </c>
      <c r="L587" s="141">
        <f t="shared" si="222"/>
        <v>110000</v>
      </c>
      <c r="M587" s="141">
        <f t="shared" si="222"/>
        <v>150000</v>
      </c>
      <c r="N587" s="141">
        <f t="shared" si="222"/>
        <v>1242800</v>
      </c>
    </row>
    <row r="588">
      <c r="A588" s="157" t="s">
        <v>138</v>
      </c>
      <c r="B588" s="158">
        <f>B584/6/8</f>
        <v>833.3333333</v>
      </c>
      <c r="C588" s="158">
        <f>C583/8/6</f>
        <v>833.3333333</v>
      </c>
      <c r="D588" s="158">
        <f>D583/6/8</f>
        <v>587.5</v>
      </c>
      <c r="E588" s="158"/>
      <c r="F588" s="158">
        <f t="shared" ref="F588:H588" si="223">F583/6/8</f>
        <v>625</v>
      </c>
      <c r="G588" s="158">
        <f t="shared" si="223"/>
        <v>885.4166667</v>
      </c>
      <c r="H588" s="158">
        <f t="shared" si="223"/>
        <v>781.25</v>
      </c>
      <c r="I588" s="158">
        <f>I584/6/8</f>
        <v>729.1666667</v>
      </c>
      <c r="J588" s="158">
        <f>J583/8/6</f>
        <v>572.9166667</v>
      </c>
      <c r="K588" s="158">
        <f t="shared" ref="K588:L588" si="224">K583/6/8</f>
        <v>625</v>
      </c>
      <c r="L588" s="159">
        <f t="shared" si="224"/>
        <v>572.9166667</v>
      </c>
      <c r="M588" s="159">
        <f t="shared" ref="M588:N588" si="225">M586/6/8</f>
        <v>781.25</v>
      </c>
      <c r="N588" s="159">
        <f t="shared" si="225"/>
        <v>6472.916667</v>
      </c>
      <c r="O588" s="122"/>
    </row>
    <row r="589">
      <c r="A589" s="243"/>
      <c r="B589" s="244"/>
      <c r="C589" s="244"/>
      <c r="D589" s="244"/>
      <c r="E589" s="244"/>
      <c r="F589" s="244"/>
      <c r="G589" s="244"/>
      <c r="H589" s="244"/>
      <c r="I589" s="244"/>
      <c r="J589" s="244"/>
      <c r="K589" s="244"/>
      <c r="L589" s="244"/>
      <c r="M589" s="244"/>
      <c r="N589" s="244"/>
      <c r="O589" s="244"/>
      <c r="P589" s="244"/>
      <c r="Q589" s="243"/>
    </row>
    <row r="590">
      <c r="A590" s="195" t="s">
        <v>263</v>
      </c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7"/>
    </row>
    <row r="591">
      <c r="A591" s="198" t="s">
        <v>116</v>
      </c>
      <c r="B591" s="210"/>
      <c r="C591" s="199"/>
      <c r="D591" s="199">
        <f>D588*16</f>
        <v>9400</v>
      </c>
      <c r="E591" s="199"/>
      <c r="F591" s="199"/>
      <c r="G591" s="199"/>
      <c r="H591" s="199"/>
      <c r="I591" s="199"/>
      <c r="J591" s="199"/>
      <c r="K591" s="199"/>
      <c r="L591" s="202"/>
      <c r="M591" s="202"/>
      <c r="N591" s="202"/>
    </row>
    <row r="592">
      <c r="A592" s="198" t="s">
        <v>40</v>
      </c>
      <c r="B592" s="199">
        <f>2*B564</f>
        <v>0</v>
      </c>
      <c r="C592" s="199">
        <f>1*C588</f>
        <v>833.3333333</v>
      </c>
      <c r="D592" s="221"/>
      <c r="E592" s="199"/>
      <c r="F592" s="199">
        <f>F588*1.5</f>
        <v>937.5</v>
      </c>
      <c r="G592" s="199">
        <f>1*G564</f>
        <v>0</v>
      </c>
      <c r="H592" s="221">
        <f>7*H564</f>
        <v>0</v>
      </c>
      <c r="I592" s="199">
        <f>5*I588</f>
        <v>3645.833333</v>
      </c>
      <c r="J592" s="199">
        <f>3.5*J588</f>
        <v>2005.208333</v>
      </c>
      <c r="K592" s="199"/>
      <c r="L592" s="199"/>
      <c r="M592" s="221">
        <f>(20+5+5)*H588</f>
        <v>23437.5</v>
      </c>
      <c r="N592" s="199"/>
      <c r="O592" s="221" t="s">
        <v>264</v>
      </c>
    </row>
    <row r="593">
      <c r="A593" s="200" t="s">
        <v>265</v>
      </c>
      <c r="B593" s="211">
        <f t="shared" ref="B593:C593" si="226">B588*8</f>
        <v>6666.666667</v>
      </c>
      <c r="C593" s="222">
        <f t="shared" si="226"/>
        <v>6666.666667</v>
      </c>
      <c r="D593" s="211"/>
      <c r="E593" s="210"/>
      <c r="F593" s="210">
        <f t="shared" ref="F593:G593" si="227">F588*8</f>
        <v>5000</v>
      </c>
      <c r="G593" s="199">
        <f t="shared" si="227"/>
        <v>7083.333333</v>
      </c>
      <c r="H593" s="199"/>
      <c r="I593" s="221" t="s">
        <v>121</v>
      </c>
      <c r="J593" s="199">
        <f>4*J588</f>
        <v>2291.666667</v>
      </c>
      <c r="K593" s="201"/>
      <c r="L593" s="201"/>
      <c r="M593" s="211"/>
      <c r="N593" s="201"/>
      <c r="O593" s="211" t="s">
        <v>266</v>
      </c>
    </row>
    <row r="594">
      <c r="A594" s="200" t="s">
        <v>259</v>
      </c>
      <c r="B594" s="214"/>
      <c r="C594" s="214"/>
      <c r="D594" s="214" t="s">
        <v>267</v>
      </c>
      <c r="E594" s="239"/>
      <c r="F594" s="239"/>
      <c r="G594" s="214">
        <v>25000.0</v>
      </c>
      <c r="H594" s="214"/>
      <c r="I594" s="212"/>
      <c r="J594" s="212"/>
      <c r="K594" s="214"/>
      <c r="L594" s="212"/>
      <c r="M594" s="214"/>
      <c r="N594" s="212"/>
      <c r="O594" s="214" t="s">
        <v>268</v>
      </c>
    </row>
    <row r="595">
      <c r="A595" s="205" t="s">
        <v>118</v>
      </c>
      <c r="B595" s="208">
        <f>B583+B593</f>
        <v>46666.66667</v>
      </c>
      <c r="C595" s="207">
        <f>C583+C592+C593</f>
        <v>47500</v>
      </c>
      <c r="D595" s="238">
        <f>D585-D591</f>
        <v>18800</v>
      </c>
      <c r="E595" s="207"/>
      <c r="F595" s="207">
        <f>F583+F593+F592</f>
        <v>35937.5</v>
      </c>
      <c r="G595" s="206">
        <f>G586+G593+G594</f>
        <v>74583.33333</v>
      </c>
      <c r="H595" s="226">
        <f>H583</f>
        <v>37500</v>
      </c>
      <c r="I595" s="226">
        <f>I583+I592</f>
        <v>38645.83333</v>
      </c>
      <c r="J595" s="226">
        <f>J583+J592+J593</f>
        <v>31796.875</v>
      </c>
      <c r="K595" s="226">
        <f t="shared" ref="K595:L595" si="228">K583</f>
        <v>30000</v>
      </c>
      <c r="L595" s="209">
        <f t="shared" si="228"/>
        <v>27500</v>
      </c>
      <c r="M595" s="209"/>
      <c r="N595" s="220">
        <f>SUM(B595:K595)</f>
        <v>361430.2083</v>
      </c>
    </row>
    <row r="596">
      <c r="A596" s="126" t="s">
        <v>0</v>
      </c>
      <c r="B596" s="127" t="s">
        <v>90</v>
      </c>
      <c r="C596" s="127" t="s">
        <v>3</v>
      </c>
      <c r="D596" s="183" t="s">
        <v>269</v>
      </c>
      <c r="E596" s="183"/>
      <c r="F596" s="183" t="s">
        <v>155</v>
      </c>
      <c r="G596" s="183" t="s">
        <v>195</v>
      </c>
      <c r="H596" s="129" t="s">
        <v>260</v>
      </c>
      <c r="I596" s="129" t="s">
        <v>51</v>
      </c>
      <c r="J596" s="129" t="s">
        <v>232</v>
      </c>
      <c r="K596" s="129" t="s">
        <v>244</v>
      </c>
      <c r="L596" s="129" t="s">
        <v>247</v>
      </c>
      <c r="M596" s="129" t="s">
        <v>262</v>
      </c>
      <c r="N596" s="128" t="s">
        <v>110</v>
      </c>
    </row>
    <row r="597">
      <c r="A597" s="243"/>
      <c r="B597" s="244"/>
      <c r="C597" s="244"/>
      <c r="D597" s="244"/>
      <c r="E597" s="244"/>
      <c r="F597" s="244"/>
      <c r="G597" s="244"/>
      <c r="H597" s="244"/>
      <c r="I597" s="244"/>
      <c r="J597" s="244"/>
      <c r="K597" s="244"/>
      <c r="L597" s="244"/>
      <c r="M597" s="245"/>
      <c r="N597" s="244"/>
      <c r="O597" s="244"/>
      <c r="P597" s="244"/>
      <c r="Q597" s="243"/>
    </row>
    <row r="598">
      <c r="A598" s="195" t="s">
        <v>270</v>
      </c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7"/>
    </row>
    <row r="599">
      <c r="A599" s="198" t="s">
        <v>116</v>
      </c>
      <c r="B599" s="210"/>
      <c r="C599" s="199"/>
      <c r="D599" s="199"/>
      <c r="E599" s="199"/>
      <c r="F599" s="199"/>
      <c r="G599" s="199"/>
      <c r="H599" s="199"/>
      <c r="I599" s="199"/>
      <c r="J599" s="199"/>
      <c r="K599" s="199"/>
      <c r="L599" s="202"/>
      <c r="M599" s="202"/>
      <c r="N599" s="202"/>
    </row>
    <row r="600">
      <c r="A600" s="198" t="s">
        <v>40</v>
      </c>
      <c r="B600" s="199"/>
      <c r="C600" s="199">
        <f>C588*8</f>
        <v>6666.666667</v>
      </c>
      <c r="D600" s="221"/>
      <c r="E600" s="199"/>
      <c r="F600" s="199">
        <f>5*F588</f>
        <v>3125</v>
      </c>
      <c r="G600" s="199"/>
      <c r="H600" s="221"/>
      <c r="I600" s="199">
        <f>I588*7</f>
        <v>5104.166667</v>
      </c>
      <c r="J600" s="199"/>
      <c r="K600" s="199"/>
      <c r="L600" s="199"/>
      <c r="M600" s="221">
        <f>M588*6</f>
        <v>4687.5</v>
      </c>
      <c r="N600" s="199"/>
      <c r="O600" s="221"/>
    </row>
    <row r="601">
      <c r="A601" s="200"/>
      <c r="B601" s="211"/>
      <c r="C601" s="222">
        <f>C588*5</f>
        <v>4166.666667</v>
      </c>
      <c r="D601" s="211"/>
      <c r="E601" s="210"/>
      <c r="F601" s="210"/>
      <c r="G601" s="199"/>
      <c r="H601" s="199"/>
      <c r="I601" s="221"/>
      <c r="J601" s="199"/>
      <c r="K601" s="201"/>
      <c r="L601" s="201"/>
      <c r="M601" s="211"/>
      <c r="N601" s="201"/>
      <c r="O601" s="211"/>
    </row>
    <row r="602">
      <c r="A602" s="200" t="s">
        <v>271</v>
      </c>
      <c r="B602" s="214"/>
      <c r="C602" s="214">
        <v>20000.0</v>
      </c>
      <c r="D602" s="214"/>
      <c r="E602" s="239"/>
      <c r="F602" s="239">
        <v>10000.0</v>
      </c>
      <c r="G602" s="214"/>
      <c r="H602" s="214"/>
      <c r="I602" s="212"/>
      <c r="J602" s="212"/>
      <c r="K602" s="214"/>
      <c r="L602" s="212"/>
      <c r="M602" s="214"/>
      <c r="N602" s="212"/>
      <c r="O602" s="214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</row>
    <row r="603">
      <c r="A603" s="205" t="s">
        <v>118</v>
      </c>
      <c r="B603" s="206">
        <f>B586</f>
        <v>40000</v>
      </c>
      <c r="C603" s="207">
        <f>C586+C600+C601+C602</f>
        <v>70833.33333</v>
      </c>
      <c r="D603" s="238"/>
      <c r="E603" s="207"/>
      <c r="F603" s="207">
        <f>F586+F600+F602</f>
        <v>43125</v>
      </c>
      <c r="G603" s="206">
        <f>G586</f>
        <v>42500</v>
      </c>
      <c r="H603" s="226">
        <f>H584</f>
        <v>37500</v>
      </c>
      <c r="I603" s="226">
        <f>I585+I600</f>
        <v>40104.16667</v>
      </c>
      <c r="J603" s="226">
        <v>27500.0</v>
      </c>
      <c r="K603" s="226">
        <f>K586</f>
        <v>30000</v>
      </c>
      <c r="L603" s="209">
        <f>L585</f>
        <v>27500</v>
      </c>
      <c r="M603" s="209">
        <f>M585-M600</f>
        <v>32812.5</v>
      </c>
      <c r="N603" s="209">
        <f>SUM(B603:K603)</f>
        <v>331562.5</v>
      </c>
    </row>
    <row r="604">
      <c r="A604" s="126" t="s">
        <v>0</v>
      </c>
      <c r="B604" s="127" t="s">
        <v>90</v>
      </c>
      <c r="C604" s="127" t="s">
        <v>3</v>
      </c>
      <c r="D604" s="183"/>
      <c r="E604" s="183"/>
      <c r="F604" s="183" t="s">
        <v>155</v>
      </c>
      <c r="G604" s="183" t="s">
        <v>195</v>
      </c>
      <c r="H604" s="129" t="s">
        <v>260</v>
      </c>
      <c r="I604" s="129" t="s">
        <v>51</v>
      </c>
      <c r="J604" s="129" t="s">
        <v>232</v>
      </c>
      <c r="K604" s="129" t="s">
        <v>244</v>
      </c>
      <c r="L604" s="129" t="s">
        <v>247</v>
      </c>
      <c r="M604" s="129" t="s">
        <v>262</v>
      </c>
      <c r="N604" s="128" t="s">
        <v>110</v>
      </c>
    </row>
    <row r="605">
      <c r="A605" s="243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3"/>
    </row>
    <row r="606">
      <c r="A606" s="195" t="s">
        <v>272</v>
      </c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7"/>
    </row>
    <row r="607">
      <c r="A607" s="198" t="s">
        <v>116</v>
      </c>
      <c r="B607" s="210"/>
      <c r="C607" s="199"/>
      <c r="D607" s="199"/>
      <c r="E607" s="199"/>
      <c r="F607" s="199"/>
      <c r="G607" s="199"/>
      <c r="H607" s="199"/>
      <c r="I607" s="199"/>
      <c r="J607" s="199"/>
      <c r="K607" s="199"/>
      <c r="L607" s="202"/>
      <c r="M607" s="202"/>
      <c r="N607" s="202"/>
    </row>
    <row r="608">
      <c r="A608" s="198" t="s">
        <v>40</v>
      </c>
      <c r="B608" s="199"/>
      <c r="C608" s="221">
        <v>6600.0</v>
      </c>
      <c r="D608" s="221"/>
      <c r="E608" s="199"/>
      <c r="F608" s="199">
        <f>4*F588</f>
        <v>2500</v>
      </c>
      <c r="G608" s="199"/>
      <c r="H608" s="221"/>
      <c r="I608" s="199"/>
      <c r="J608" s="199"/>
      <c r="K608" s="199"/>
      <c r="L608" s="199">
        <f>6*L588</f>
        <v>3437.5</v>
      </c>
      <c r="M608" s="221">
        <f>5*M588</f>
        <v>3906.25</v>
      </c>
      <c r="N608" s="199"/>
      <c r="O608" s="221"/>
    </row>
    <row r="609">
      <c r="A609" s="200" t="s">
        <v>200</v>
      </c>
      <c r="B609" s="211"/>
      <c r="C609" s="222">
        <v>20000.0</v>
      </c>
      <c r="D609" s="211"/>
      <c r="E609" s="210"/>
      <c r="F609" s="210"/>
      <c r="G609" s="199"/>
      <c r="H609" s="199"/>
      <c r="I609" s="221"/>
      <c r="J609" s="199"/>
      <c r="K609" s="201"/>
      <c r="L609" s="201"/>
      <c r="M609" s="211"/>
      <c r="N609" s="201"/>
      <c r="O609" s="211"/>
    </row>
    <row r="610">
      <c r="A610" s="200" t="s">
        <v>271</v>
      </c>
      <c r="B610" s="214">
        <f t="shared" ref="B610:B611" si="229">B585</f>
        <v>40000</v>
      </c>
      <c r="C610" s="214">
        <f>5*C588</f>
        <v>4166.666667</v>
      </c>
      <c r="D610" s="214"/>
      <c r="E610" s="239"/>
      <c r="F610" s="239">
        <v>10000.0</v>
      </c>
      <c r="G610" s="214"/>
      <c r="H610" s="214"/>
      <c r="I610" s="212"/>
      <c r="J610" s="212"/>
      <c r="K610" s="214"/>
      <c r="L610" s="212"/>
      <c r="M610" s="214"/>
      <c r="N610" s="212"/>
      <c r="O610" s="214"/>
      <c r="R610">
        <f>SUM(Q609+Q607)</f>
        <v>0</v>
      </c>
    </row>
    <row r="611">
      <c r="A611" s="205" t="s">
        <v>118</v>
      </c>
      <c r="B611" s="206">
        <f t="shared" si="229"/>
        <v>40000</v>
      </c>
      <c r="C611" s="207">
        <f>C594+C608+C609+C610+C586</f>
        <v>70766.66667</v>
      </c>
      <c r="D611" s="238"/>
      <c r="E611" s="207"/>
      <c r="F611" s="207">
        <f>F586+F610+F608</f>
        <v>42500</v>
      </c>
      <c r="G611" s="206">
        <f>G594</f>
        <v>25000</v>
      </c>
      <c r="H611" s="226">
        <f t="shared" ref="H611:I611" si="230">H586</f>
        <v>37500</v>
      </c>
      <c r="I611" s="226">
        <f t="shared" si="230"/>
        <v>35000</v>
      </c>
      <c r="J611" s="226">
        <f>J603</f>
        <v>27500</v>
      </c>
      <c r="K611" s="226">
        <f>K586</f>
        <v>30000</v>
      </c>
      <c r="L611" s="209">
        <f>L583+L608</f>
        <v>30937.5</v>
      </c>
      <c r="M611" s="209">
        <f>M586-M608</f>
        <v>33593.75</v>
      </c>
      <c r="N611" s="209">
        <f>SUM(B611:K611)</f>
        <v>308266.6667</v>
      </c>
    </row>
    <row r="612">
      <c r="A612" s="126" t="s">
        <v>0</v>
      </c>
      <c r="B612" s="127" t="s">
        <v>90</v>
      </c>
      <c r="C612" s="127" t="s">
        <v>3</v>
      </c>
      <c r="D612" s="183"/>
      <c r="E612" s="183"/>
      <c r="F612" s="183" t="s">
        <v>155</v>
      </c>
      <c r="G612" s="183" t="s">
        <v>195</v>
      </c>
      <c r="H612" s="129" t="s">
        <v>260</v>
      </c>
      <c r="I612" s="129" t="s">
        <v>51</v>
      </c>
      <c r="J612" s="129" t="s">
        <v>232</v>
      </c>
      <c r="K612" s="129" t="s">
        <v>244</v>
      </c>
      <c r="L612" s="129" t="s">
        <v>247</v>
      </c>
      <c r="M612" s="129" t="s">
        <v>262</v>
      </c>
      <c r="N612" s="128" t="s">
        <v>110</v>
      </c>
    </row>
    <row r="613">
      <c r="A613" s="243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3"/>
    </row>
    <row r="614">
      <c r="A614" s="195" t="s">
        <v>273</v>
      </c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7"/>
    </row>
    <row r="615">
      <c r="A615" s="198" t="s">
        <v>116</v>
      </c>
      <c r="B615" s="210"/>
      <c r="C615" s="199"/>
      <c r="D615" s="199"/>
      <c r="E615" s="199"/>
      <c r="F615" s="199"/>
      <c r="G615" s="199"/>
      <c r="H615" s="199"/>
      <c r="I615" s="199"/>
      <c r="J615" s="199"/>
      <c r="K615" s="199"/>
      <c r="L615" s="202"/>
      <c r="M615" s="202"/>
      <c r="N615" s="202"/>
    </row>
    <row r="616">
      <c r="A616" s="198" t="s">
        <v>40</v>
      </c>
      <c r="B616" s="199"/>
      <c r="C616" s="221">
        <f>C588*6</f>
        <v>5000</v>
      </c>
      <c r="D616" s="221"/>
      <c r="E616" s="199"/>
      <c r="F616" s="199">
        <f>3*F588</f>
        <v>1875</v>
      </c>
      <c r="G616" s="199"/>
      <c r="H616" s="221"/>
      <c r="I616" s="199">
        <f>5*I588</f>
        <v>3645.833333</v>
      </c>
      <c r="J616" s="199"/>
      <c r="K616" s="199"/>
      <c r="L616" s="199"/>
      <c r="M616" s="221"/>
      <c r="N616" s="199"/>
      <c r="O616" s="221"/>
    </row>
    <row r="617">
      <c r="A617" s="200" t="s">
        <v>200</v>
      </c>
      <c r="B617" s="211"/>
      <c r="C617" s="222">
        <v>20000.0</v>
      </c>
      <c r="D617" s="211"/>
      <c r="E617" s="222"/>
      <c r="F617" s="222">
        <v>10000.0</v>
      </c>
      <c r="G617" s="199"/>
      <c r="H617" s="199"/>
      <c r="I617" s="221"/>
      <c r="J617" s="199"/>
      <c r="K617" s="201"/>
      <c r="L617" s="201"/>
      <c r="M617" s="211"/>
      <c r="N617" s="201"/>
      <c r="O617" s="211"/>
    </row>
    <row r="618">
      <c r="A618" s="200" t="s">
        <v>209</v>
      </c>
      <c r="B618" s="214" t="s">
        <v>274</v>
      </c>
      <c r="C618" s="214">
        <f>C588*8</f>
        <v>6666.666667</v>
      </c>
      <c r="D618" s="214"/>
      <c r="E618" s="239"/>
      <c r="F618" s="239">
        <f>F588*8</f>
        <v>5000</v>
      </c>
      <c r="G618" s="214"/>
      <c r="H618" s="214">
        <f t="shared" ref="H618:J618" si="231">8*H588</f>
        <v>6250</v>
      </c>
      <c r="I618" s="214">
        <f t="shared" si="231"/>
        <v>5833.333333</v>
      </c>
      <c r="J618" s="214">
        <f t="shared" si="231"/>
        <v>4583.333333</v>
      </c>
      <c r="K618" s="214" t="s">
        <v>275</v>
      </c>
      <c r="L618" s="214">
        <f t="shared" ref="L618:M618" si="232">8*L588</f>
        <v>4583.333333</v>
      </c>
      <c r="M618" s="214">
        <f t="shared" si="232"/>
        <v>6250</v>
      </c>
      <c r="N618" s="212"/>
      <c r="O618" s="214"/>
    </row>
    <row r="619">
      <c r="A619" s="205" t="s">
        <v>118</v>
      </c>
      <c r="B619" s="206">
        <f>B611</f>
        <v>40000</v>
      </c>
      <c r="C619" s="207">
        <f>C586+C618+C617+C616</f>
        <v>71666.66667</v>
      </c>
      <c r="D619" s="238"/>
      <c r="E619" s="207"/>
      <c r="F619" s="207">
        <f>F586+F618+F617+F616</f>
        <v>46875</v>
      </c>
      <c r="G619" s="206">
        <f>G585</f>
        <v>42500</v>
      </c>
      <c r="H619" s="226">
        <f>H586+H618</f>
        <v>43750</v>
      </c>
      <c r="I619" s="226">
        <f>I586+I618+I616</f>
        <v>44479.16667</v>
      </c>
      <c r="J619" s="226">
        <f>J611+J618</f>
        <v>32083.33333</v>
      </c>
      <c r="K619" s="226">
        <v>20000.0</v>
      </c>
      <c r="L619" s="209">
        <f>L585+L618</f>
        <v>32083.33333</v>
      </c>
      <c r="M619" s="209">
        <f>M586+M618</f>
        <v>43750</v>
      </c>
      <c r="N619" s="209">
        <f>SUM(B619:K619)</f>
        <v>341354.1667</v>
      </c>
    </row>
    <row r="620">
      <c r="A620" s="126" t="s">
        <v>0</v>
      </c>
      <c r="B620" s="127" t="s">
        <v>90</v>
      </c>
      <c r="C620" s="127" t="s">
        <v>3</v>
      </c>
      <c r="D620" s="183"/>
      <c r="E620" s="183"/>
      <c r="F620" s="183" t="s">
        <v>155</v>
      </c>
      <c r="G620" s="183" t="s">
        <v>195</v>
      </c>
      <c r="H620" s="129" t="s">
        <v>260</v>
      </c>
      <c r="I620" s="129" t="s">
        <v>51</v>
      </c>
      <c r="J620" s="129" t="s">
        <v>232</v>
      </c>
      <c r="K620" s="129" t="s">
        <v>244</v>
      </c>
      <c r="L620" s="129" t="s">
        <v>247</v>
      </c>
      <c r="M620" s="129" t="s">
        <v>262</v>
      </c>
      <c r="N620" s="128" t="s">
        <v>110</v>
      </c>
    </row>
    <row r="621">
      <c r="A621" s="241"/>
      <c r="B621" s="246"/>
      <c r="C621" s="246"/>
      <c r="D621" s="246"/>
      <c r="E621" s="246"/>
      <c r="F621" s="246"/>
      <c r="G621" s="246"/>
      <c r="H621" s="246"/>
      <c r="I621" s="246"/>
      <c r="J621" s="246"/>
      <c r="K621" s="246"/>
      <c r="L621" s="246"/>
      <c r="M621" s="246"/>
      <c r="N621" s="246"/>
      <c r="O621" s="246"/>
      <c r="P621" s="246"/>
      <c r="Q621" s="241"/>
    </row>
    <row r="622">
      <c r="A622" s="195" t="s">
        <v>276</v>
      </c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7"/>
    </row>
    <row r="623">
      <c r="A623" s="198" t="s">
        <v>116</v>
      </c>
      <c r="B623" s="210"/>
      <c r="C623" s="199"/>
      <c r="D623" s="199"/>
      <c r="E623" s="199"/>
      <c r="F623" s="199"/>
      <c r="G623" s="199"/>
      <c r="H623" s="199"/>
      <c r="I623" s="199"/>
      <c r="J623" s="199"/>
      <c r="K623" s="199"/>
      <c r="L623" s="202"/>
      <c r="M623" s="202"/>
      <c r="N623" s="202"/>
    </row>
    <row r="624">
      <c r="A624" s="198" t="s">
        <v>40</v>
      </c>
      <c r="B624" s="199"/>
      <c r="C624" s="221">
        <f>4*C588</f>
        <v>3333.333333</v>
      </c>
      <c r="D624" s="221"/>
      <c r="E624" s="199"/>
      <c r="F624" s="199">
        <f>5*F588</f>
        <v>3125</v>
      </c>
      <c r="G624" s="199"/>
      <c r="H624" s="221"/>
      <c r="I624" s="199">
        <f>13*I588</f>
        <v>9479.166667</v>
      </c>
      <c r="J624" s="199"/>
      <c r="K624" s="199"/>
      <c r="L624" s="199"/>
      <c r="M624" s="221"/>
      <c r="N624" s="199"/>
      <c r="O624" s="221"/>
    </row>
    <row r="625">
      <c r="A625" s="200" t="s">
        <v>200</v>
      </c>
      <c r="B625" s="211"/>
      <c r="C625" s="222">
        <v>20000.0</v>
      </c>
      <c r="D625" s="211"/>
      <c r="E625" s="222"/>
      <c r="F625" s="222"/>
      <c r="G625" s="199"/>
      <c r="H625" s="199"/>
      <c r="I625" s="221"/>
      <c r="J625" s="199"/>
      <c r="K625" s="201"/>
      <c r="L625" s="201"/>
      <c r="M625" s="211"/>
      <c r="N625" s="201"/>
      <c r="O625" s="211"/>
    </row>
    <row r="626">
      <c r="A626" s="200" t="s">
        <v>209</v>
      </c>
      <c r="B626" s="214"/>
      <c r="C626" s="214">
        <f>8*C588</f>
        <v>6666.666667</v>
      </c>
      <c r="D626" s="214"/>
      <c r="E626" s="239"/>
      <c r="F626" s="239"/>
      <c r="G626" s="214"/>
      <c r="H626" s="214"/>
      <c r="I626" s="214"/>
      <c r="J626" s="214"/>
      <c r="K626" s="214" t="s">
        <v>275</v>
      </c>
      <c r="L626" s="214"/>
      <c r="M626" s="214"/>
      <c r="N626" s="212"/>
      <c r="O626" s="214"/>
    </row>
    <row r="627">
      <c r="A627" s="205" t="s">
        <v>118</v>
      </c>
      <c r="B627" s="206">
        <f>B619</f>
        <v>40000</v>
      </c>
      <c r="C627" s="207">
        <f>C594+C626+C625+C624</f>
        <v>30000</v>
      </c>
      <c r="D627" s="238"/>
      <c r="E627" s="207"/>
      <c r="F627" s="207">
        <f>F586+F624</f>
        <v>33125</v>
      </c>
      <c r="G627" s="206">
        <f t="shared" ref="G627:H627" si="233">G583</f>
        <v>42500</v>
      </c>
      <c r="H627" s="226">
        <f t="shared" si="233"/>
        <v>37500</v>
      </c>
      <c r="I627" s="226">
        <f>I586+I624</f>
        <v>44479.16667</v>
      </c>
      <c r="J627" s="226">
        <f>J586</f>
        <v>27500</v>
      </c>
      <c r="K627" s="226">
        <v>20000.0</v>
      </c>
      <c r="L627" s="209">
        <f>L586</f>
        <v>27500</v>
      </c>
      <c r="M627" s="209">
        <f>M585</f>
        <v>37500</v>
      </c>
      <c r="N627" s="209">
        <f>SUM(B627:K627)</f>
        <v>275104.1667</v>
      </c>
    </row>
    <row r="628">
      <c r="A628" s="126" t="s">
        <v>0</v>
      </c>
      <c r="B628" s="127" t="s">
        <v>90</v>
      </c>
      <c r="C628" s="127" t="s">
        <v>3</v>
      </c>
      <c r="D628" s="183"/>
      <c r="E628" s="183"/>
      <c r="F628" s="183" t="s">
        <v>155</v>
      </c>
      <c r="G628" s="183" t="s">
        <v>195</v>
      </c>
      <c r="H628" s="129" t="s">
        <v>260</v>
      </c>
      <c r="I628" s="129" t="s">
        <v>51</v>
      </c>
      <c r="J628" s="129" t="s">
        <v>232</v>
      </c>
      <c r="K628" s="129" t="s">
        <v>244</v>
      </c>
      <c r="L628" s="129" t="s">
        <v>247</v>
      </c>
      <c r="M628" s="129" t="s">
        <v>262</v>
      </c>
      <c r="N628" s="128" t="s">
        <v>110</v>
      </c>
    </row>
    <row r="629">
      <c r="A629" s="243"/>
      <c r="B629" s="244"/>
      <c r="C629" s="244"/>
      <c r="D629" s="244"/>
      <c r="E629" s="244"/>
      <c r="F629" s="244"/>
      <c r="G629" s="244"/>
      <c r="H629" s="244"/>
      <c r="I629" s="244"/>
      <c r="J629" s="244"/>
      <c r="K629" s="244"/>
      <c r="L629" s="244"/>
      <c r="M629" s="244"/>
      <c r="N629" s="244"/>
      <c r="O629" s="244"/>
      <c r="P629" s="244"/>
      <c r="Q629" s="243"/>
    </row>
    <row r="630">
      <c r="A630" s="126" t="s">
        <v>0</v>
      </c>
      <c r="B630" s="127" t="s">
        <v>90</v>
      </c>
      <c r="C630" s="127" t="s">
        <v>3</v>
      </c>
      <c r="D630" s="183"/>
      <c r="E630" s="183"/>
      <c r="F630" s="183" t="s">
        <v>155</v>
      </c>
      <c r="G630" s="183" t="s">
        <v>195</v>
      </c>
      <c r="H630" s="129" t="s">
        <v>260</v>
      </c>
      <c r="I630" s="129" t="s">
        <v>51</v>
      </c>
      <c r="J630" s="129" t="s">
        <v>232</v>
      </c>
      <c r="K630" s="129" t="s">
        <v>244</v>
      </c>
      <c r="L630" s="129" t="s">
        <v>252</v>
      </c>
      <c r="M630" s="129" t="s">
        <v>262</v>
      </c>
      <c r="N630" s="128" t="s">
        <v>110</v>
      </c>
    </row>
    <row r="631">
      <c r="A631" s="130" t="s">
        <v>94</v>
      </c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2"/>
    </row>
    <row r="632">
      <c r="A632" s="133" t="s">
        <v>111</v>
      </c>
      <c r="B632" s="134">
        <v>50000.0</v>
      </c>
      <c r="C632" s="134">
        <v>40000.0</v>
      </c>
      <c r="D632" s="134"/>
      <c r="E632" s="134"/>
      <c r="F632" s="134">
        <v>30000.0</v>
      </c>
      <c r="G632" s="134">
        <v>55000.0</v>
      </c>
      <c r="H632" s="134">
        <v>37500.0</v>
      </c>
      <c r="I632" s="134">
        <v>40000.0</v>
      </c>
      <c r="J632" s="134">
        <v>27500.0</v>
      </c>
      <c r="K632" s="134">
        <v>30000.0</v>
      </c>
      <c r="L632" s="134">
        <v>27500.0</v>
      </c>
      <c r="M632" s="134">
        <v>37500.0</v>
      </c>
      <c r="N632" s="136">
        <f t="shared" ref="N632:N635" si="234">SUM(B632:K632)</f>
        <v>310000</v>
      </c>
    </row>
    <row r="633">
      <c r="A633" s="137"/>
      <c r="B633" s="134">
        <v>50000.0</v>
      </c>
      <c r="C633" s="134">
        <v>40000.0</v>
      </c>
      <c r="D633" s="134"/>
      <c r="E633" s="134"/>
      <c r="F633" s="134">
        <v>30000.0</v>
      </c>
      <c r="G633" s="134">
        <v>55000.0</v>
      </c>
      <c r="H633" s="134">
        <v>37500.0</v>
      </c>
      <c r="I633" s="134">
        <v>40000.0</v>
      </c>
      <c r="J633" s="134">
        <v>27500.0</v>
      </c>
      <c r="K633" s="134">
        <v>30000.0</v>
      </c>
      <c r="L633" s="134">
        <v>27500.0</v>
      </c>
      <c r="M633" s="134">
        <v>37500.0</v>
      </c>
      <c r="N633" s="136">
        <f t="shared" si="234"/>
        <v>310000</v>
      </c>
      <c r="Q633" s="91"/>
    </row>
    <row r="634">
      <c r="A634" s="137"/>
      <c r="B634" s="134">
        <v>50000.0</v>
      </c>
      <c r="C634" s="134">
        <v>40000.0</v>
      </c>
      <c r="D634" s="134"/>
      <c r="E634" s="134"/>
      <c r="F634" s="134">
        <v>30000.0</v>
      </c>
      <c r="G634" s="134">
        <v>55000.0</v>
      </c>
      <c r="H634" s="134">
        <v>37500.0</v>
      </c>
      <c r="I634" s="134">
        <v>40000.0</v>
      </c>
      <c r="J634" s="134">
        <v>27500.0</v>
      </c>
      <c r="K634" s="134">
        <v>30000.0</v>
      </c>
      <c r="L634" s="134">
        <v>27500.0</v>
      </c>
      <c r="M634" s="134">
        <v>37500.0</v>
      </c>
      <c r="N634" s="136">
        <f t="shared" si="234"/>
        <v>310000</v>
      </c>
    </row>
    <row r="635">
      <c r="A635" s="138"/>
      <c r="B635" s="134">
        <v>50000.0</v>
      </c>
      <c r="C635" s="134">
        <v>40000.0</v>
      </c>
      <c r="D635" s="134"/>
      <c r="E635" s="134"/>
      <c r="F635" s="134">
        <v>30000.0</v>
      </c>
      <c r="G635" s="134">
        <v>55000.0</v>
      </c>
      <c r="H635" s="134">
        <v>37500.0</v>
      </c>
      <c r="I635" s="134">
        <v>40000.0</v>
      </c>
      <c r="J635" s="134">
        <v>27500.0</v>
      </c>
      <c r="K635" s="134">
        <v>30000.0</v>
      </c>
      <c r="L635" s="134">
        <v>27500.0</v>
      </c>
      <c r="M635" s="134">
        <v>37500.0</v>
      </c>
      <c r="N635" s="139">
        <f t="shared" si="234"/>
        <v>310000</v>
      </c>
    </row>
    <row r="636">
      <c r="A636" s="140" t="s">
        <v>113</v>
      </c>
      <c r="B636" s="141">
        <f t="shared" ref="B636:D636" si="235">SUM(B632:B635)</f>
        <v>200000</v>
      </c>
      <c r="C636" s="141">
        <f t="shared" si="235"/>
        <v>160000</v>
      </c>
      <c r="D636" s="141">
        <f t="shared" si="235"/>
        <v>0</v>
      </c>
      <c r="E636" s="141"/>
      <c r="F636" s="141">
        <f t="shared" ref="F636:N636" si="236">SUM(F632:F635)</f>
        <v>120000</v>
      </c>
      <c r="G636" s="141">
        <f t="shared" si="236"/>
        <v>220000</v>
      </c>
      <c r="H636" s="141">
        <f t="shared" si="236"/>
        <v>150000</v>
      </c>
      <c r="I636" s="141">
        <f t="shared" si="236"/>
        <v>160000</v>
      </c>
      <c r="J636" s="141">
        <f t="shared" si="236"/>
        <v>110000</v>
      </c>
      <c r="K636" s="141">
        <f t="shared" si="236"/>
        <v>120000</v>
      </c>
      <c r="L636" s="141">
        <f t="shared" si="236"/>
        <v>110000</v>
      </c>
      <c r="M636" s="141">
        <f t="shared" si="236"/>
        <v>150000</v>
      </c>
      <c r="N636" s="141">
        <f t="shared" si="236"/>
        <v>1240000</v>
      </c>
    </row>
    <row r="637">
      <c r="A637" s="157" t="s">
        <v>138</v>
      </c>
      <c r="B637" s="158">
        <f>B633/6/8</f>
        <v>1041.666667</v>
      </c>
      <c r="C637" s="158">
        <f>C632/8/6</f>
        <v>833.3333333</v>
      </c>
      <c r="D637" s="158">
        <f>D632/6/8</f>
        <v>0</v>
      </c>
      <c r="E637" s="158"/>
      <c r="F637" s="158">
        <f t="shared" ref="F637:H637" si="237">F632/6/8</f>
        <v>625</v>
      </c>
      <c r="G637" s="158">
        <f t="shared" si="237"/>
        <v>1145.833333</v>
      </c>
      <c r="H637" s="158">
        <f t="shared" si="237"/>
        <v>781.25</v>
      </c>
      <c r="I637" s="158">
        <f>I633/6/8</f>
        <v>833.3333333</v>
      </c>
      <c r="J637" s="158">
        <f>J632/8/6</f>
        <v>572.9166667</v>
      </c>
      <c r="K637" s="158">
        <f t="shared" ref="K637:L637" si="238">K632/6/8</f>
        <v>625</v>
      </c>
      <c r="L637" s="159">
        <f t="shared" si="238"/>
        <v>572.9166667</v>
      </c>
      <c r="M637" s="159">
        <f t="shared" ref="M637:N637" si="239">M635/6/8</f>
        <v>781.25</v>
      </c>
      <c r="N637" s="159">
        <f t="shared" si="239"/>
        <v>6458.333333</v>
      </c>
      <c r="O637" s="122"/>
    </row>
    <row r="638">
      <c r="A638" s="247"/>
    </row>
    <row r="639">
      <c r="A639" s="195" t="s">
        <v>277</v>
      </c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7"/>
    </row>
    <row r="640">
      <c r="A640" s="200" t="s">
        <v>278</v>
      </c>
      <c r="B640" s="222">
        <v>15000.0</v>
      </c>
      <c r="C640" s="221">
        <v>15000.0</v>
      </c>
      <c r="D640" s="199"/>
      <c r="E640" s="199"/>
      <c r="F640" s="199"/>
      <c r="G640" s="221">
        <v>15000.0</v>
      </c>
      <c r="H640" s="199"/>
      <c r="I640" s="221">
        <v>15000.0</v>
      </c>
      <c r="J640" s="199"/>
      <c r="K640" s="199"/>
      <c r="L640" s="202"/>
      <c r="M640" s="202"/>
      <c r="N640" s="202"/>
    </row>
    <row r="641">
      <c r="A641" s="198" t="s">
        <v>40</v>
      </c>
      <c r="B641" s="199">
        <f>3*B637</f>
        <v>3125</v>
      </c>
      <c r="C641" s="221">
        <f>10*C637</f>
        <v>8333.333333</v>
      </c>
      <c r="D641" s="221"/>
      <c r="E641" s="199"/>
      <c r="F641" s="199">
        <f>5*F637</f>
        <v>3125</v>
      </c>
      <c r="G641" s="199"/>
      <c r="H641" s="221"/>
      <c r="I641" s="199">
        <f>5*I637</f>
        <v>4166.666667</v>
      </c>
      <c r="J641" s="199"/>
      <c r="K641" s="199"/>
      <c r="L641" s="199"/>
      <c r="M641" s="221"/>
      <c r="N641" s="199"/>
      <c r="O641" s="221"/>
    </row>
    <row r="642">
      <c r="A642" s="200" t="s">
        <v>200</v>
      </c>
      <c r="B642" s="211"/>
      <c r="C642" s="222">
        <v>20000.0</v>
      </c>
      <c r="D642" s="211"/>
      <c r="E642" s="222"/>
      <c r="F642" s="222">
        <v>10000.0</v>
      </c>
      <c r="G642" s="199"/>
      <c r="H642" s="199"/>
      <c r="I642" s="221"/>
      <c r="J642" s="199"/>
      <c r="K642" s="201"/>
      <c r="L642" s="201"/>
      <c r="M642" s="211"/>
      <c r="N642" s="201"/>
      <c r="O642" s="211"/>
    </row>
    <row r="643">
      <c r="A643" s="200" t="s">
        <v>209</v>
      </c>
      <c r="B643" s="214"/>
      <c r="C643" s="214">
        <f>8*C605</f>
        <v>0</v>
      </c>
      <c r="D643" s="214"/>
      <c r="E643" s="239"/>
      <c r="F643" s="239"/>
      <c r="G643" s="214"/>
      <c r="H643" s="214"/>
      <c r="I643" s="214"/>
      <c r="J643" s="214"/>
      <c r="K643" s="214" t="s">
        <v>279</v>
      </c>
      <c r="L643" s="214"/>
      <c r="M643" s="214"/>
      <c r="N643" s="212"/>
      <c r="O643" s="214"/>
    </row>
    <row r="644">
      <c r="A644" s="205" t="s">
        <v>118</v>
      </c>
      <c r="B644" s="219">
        <f>B635+B640</f>
        <v>65000</v>
      </c>
      <c r="C644" s="207">
        <f>C635+C642+C641+C640+C643</f>
        <v>83333.33333</v>
      </c>
      <c r="D644" s="238"/>
      <c r="E644" s="207"/>
      <c r="F644" s="207">
        <f>F635+F642</f>
        <v>40000</v>
      </c>
      <c r="G644" s="206">
        <f>G635+G640</f>
        <v>70000</v>
      </c>
      <c r="H644" s="226">
        <f>H635</f>
        <v>37500</v>
      </c>
      <c r="I644" s="226">
        <f>I635+I640+I641</f>
        <v>59166.66667</v>
      </c>
      <c r="J644" s="226">
        <f>J603</f>
        <v>27500</v>
      </c>
      <c r="K644" s="226">
        <v>20000.0</v>
      </c>
      <c r="L644" s="209">
        <f>L603</f>
        <v>27500</v>
      </c>
      <c r="M644" s="209">
        <f>M635</f>
        <v>37500</v>
      </c>
      <c r="N644" s="223">
        <f>SUM(B644:K644)</f>
        <v>402500</v>
      </c>
    </row>
    <row r="645">
      <c r="A645" s="126" t="s">
        <v>0</v>
      </c>
      <c r="B645" s="127" t="s">
        <v>90</v>
      </c>
      <c r="C645" s="127" t="s">
        <v>3</v>
      </c>
      <c r="D645" s="183"/>
      <c r="E645" s="183"/>
      <c r="F645" s="183" t="s">
        <v>155</v>
      </c>
      <c r="G645" s="183" t="s">
        <v>195</v>
      </c>
      <c r="H645" s="129" t="s">
        <v>260</v>
      </c>
      <c r="I645" s="129" t="s">
        <v>51</v>
      </c>
      <c r="J645" s="129" t="s">
        <v>232</v>
      </c>
      <c r="K645" s="129" t="s">
        <v>244</v>
      </c>
      <c r="L645" s="129" t="s">
        <v>247</v>
      </c>
      <c r="M645" s="129" t="s">
        <v>262</v>
      </c>
      <c r="N645" s="128" t="s">
        <v>110</v>
      </c>
    </row>
    <row r="646">
      <c r="A646" s="248" t="s">
        <v>280</v>
      </c>
      <c r="B646" s="249" t="s">
        <v>281</v>
      </c>
      <c r="C646" s="249" t="s">
        <v>282</v>
      </c>
      <c r="D646" s="241"/>
      <c r="E646" s="241"/>
      <c r="F646" s="241"/>
      <c r="G646" s="241"/>
      <c r="H646" s="241"/>
      <c r="I646" s="249" t="s">
        <v>283</v>
      </c>
      <c r="J646" s="241"/>
      <c r="K646" s="241"/>
      <c r="L646" s="241"/>
      <c r="M646" s="241"/>
      <c r="N646" s="241"/>
      <c r="O646" s="241"/>
      <c r="P646" s="241"/>
      <c r="Q646" s="243"/>
    </row>
    <row r="647">
      <c r="A647" s="195" t="s">
        <v>284</v>
      </c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7"/>
    </row>
    <row r="648">
      <c r="A648" s="200" t="s">
        <v>285</v>
      </c>
      <c r="B648" s="222">
        <v>15000.0</v>
      </c>
      <c r="C648" s="221">
        <v>15000.0</v>
      </c>
      <c r="D648" s="199"/>
      <c r="E648" s="199"/>
      <c r="F648" s="199"/>
      <c r="G648" s="221">
        <v>15000.0</v>
      </c>
      <c r="H648" s="199"/>
      <c r="I648" s="221">
        <v>15000.0</v>
      </c>
      <c r="J648" s="199"/>
      <c r="K648" s="199"/>
      <c r="L648" s="202"/>
      <c r="M648" s="202"/>
      <c r="N648" s="202"/>
    </row>
    <row r="649">
      <c r="A649" s="198" t="s">
        <v>40</v>
      </c>
      <c r="B649" s="199"/>
      <c r="C649" s="221">
        <f>11*C637</f>
        <v>9166.666667</v>
      </c>
      <c r="D649" s="221"/>
      <c r="E649" s="199"/>
      <c r="F649" s="199">
        <f>3*F637</f>
        <v>1875</v>
      </c>
      <c r="G649" s="199"/>
      <c r="H649" s="221"/>
      <c r="I649" s="199">
        <f>3*I637</f>
        <v>2500</v>
      </c>
      <c r="J649" s="199"/>
      <c r="K649" s="199"/>
      <c r="L649" s="199"/>
      <c r="M649" s="221"/>
      <c r="N649" s="199"/>
      <c r="O649" s="221"/>
    </row>
    <row r="650">
      <c r="A650" s="200" t="s">
        <v>200</v>
      </c>
      <c r="B650" s="211"/>
      <c r="C650" s="222">
        <v>20000.0</v>
      </c>
      <c r="D650" s="211"/>
      <c r="E650" s="222"/>
      <c r="F650" s="222">
        <v>10000.0</v>
      </c>
      <c r="G650" s="199"/>
      <c r="H650" s="199"/>
      <c r="I650" s="221"/>
      <c r="J650" s="199"/>
      <c r="K650" s="201"/>
      <c r="L650" s="201"/>
      <c r="M650" s="211"/>
      <c r="N650" s="201"/>
      <c r="O650" s="211"/>
    </row>
    <row r="651">
      <c r="A651" s="200" t="s">
        <v>209</v>
      </c>
      <c r="B651" s="214"/>
      <c r="C651" s="214">
        <f>8*C613</f>
        <v>0</v>
      </c>
      <c r="D651" s="214"/>
      <c r="E651" s="239"/>
      <c r="F651" s="239"/>
      <c r="G651" s="214"/>
      <c r="H651" s="214"/>
      <c r="I651" s="214"/>
      <c r="J651" s="214"/>
      <c r="K651" s="214" t="s">
        <v>279</v>
      </c>
      <c r="L651" s="214"/>
      <c r="M651" s="214"/>
      <c r="N651" s="212"/>
      <c r="O651" s="214"/>
    </row>
    <row r="652">
      <c r="A652" s="205" t="s">
        <v>118</v>
      </c>
      <c r="B652" s="219">
        <f>B648+B635</f>
        <v>65000</v>
      </c>
      <c r="C652" s="207">
        <f>C643+C650+C649+C648+C651+C635</f>
        <v>84166.66667</v>
      </c>
      <c r="D652" s="238"/>
      <c r="E652" s="207"/>
      <c r="F652" s="207">
        <f>F635+F650+F649</f>
        <v>41875</v>
      </c>
      <c r="G652" s="206">
        <f>G635+G648</f>
        <v>70000</v>
      </c>
      <c r="H652" s="226">
        <f>H635</f>
        <v>37500</v>
      </c>
      <c r="I652" s="226">
        <f>I635+I648+I649</f>
        <v>57500</v>
      </c>
      <c r="J652" s="226">
        <f>J611</f>
        <v>27500</v>
      </c>
      <c r="K652" s="226">
        <v>20000.0</v>
      </c>
      <c r="L652" s="250">
        <f>L635</f>
        <v>27500</v>
      </c>
      <c r="M652" s="250">
        <f>M634</f>
        <v>37500</v>
      </c>
      <c r="N652" s="223">
        <f>SUM(B652:K652)</f>
        <v>403541.6667</v>
      </c>
    </row>
    <row r="653">
      <c r="A653" s="126" t="s">
        <v>0</v>
      </c>
      <c r="B653" s="127" t="s">
        <v>90</v>
      </c>
      <c r="C653" s="127" t="s">
        <v>3</v>
      </c>
      <c r="D653" s="183"/>
      <c r="E653" s="183"/>
      <c r="F653" s="183" t="s">
        <v>155</v>
      </c>
      <c r="G653" s="183" t="s">
        <v>195</v>
      </c>
      <c r="H653" s="129" t="s">
        <v>260</v>
      </c>
      <c r="I653" s="129" t="s">
        <v>51</v>
      </c>
      <c r="J653" s="129" t="s">
        <v>232</v>
      </c>
      <c r="K653" s="129" t="s">
        <v>244</v>
      </c>
      <c r="L653" s="129" t="s">
        <v>247</v>
      </c>
      <c r="M653" s="129" t="s">
        <v>262</v>
      </c>
      <c r="N653" s="128" t="s">
        <v>110</v>
      </c>
    </row>
    <row r="654">
      <c r="A654" s="243"/>
      <c r="B654" s="225"/>
      <c r="C654" s="225"/>
      <c r="D654" s="225"/>
      <c r="E654" s="225"/>
      <c r="F654" s="225"/>
      <c r="G654" s="225"/>
      <c r="H654" s="225"/>
      <c r="I654" s="225"/>
      <c r="J654" s="242"/>
      <c r="K654" s="225"/>
      <c r="L654" s="242"/>
      <c r="M654" s="225"/>
      <c r="N654" s="225"/>
      <c r="O654" s="225"/>
      <c r="P654" s="225"/>
      <c r="Q654" s="218"/>
    </row>
    <row r="655">
      <c r="A655" s="195" t="s">
        <v>286</v>
      </c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7"/>
    </row>
    <row r="656">
      <c r="A656" s="200"/>
      <c r="B656" s="222"/>
      <c r="C656" s="221"/>
      <c r="D656" s="199"/>
      <c r="E656" s="199"/>
      <c r="F656" s="199"/>
      <c r="G656" s="221"/>
      <c r="H656" s="199"/>
      <c r="I656" s="221"/>
      <c r="J656" s="199"/>
      <c r="K656" s="199"/>
      <c r="L656" s="202"/>
      <c r="M656" s="202"/>
      <c r="N656" s="202"/>
    </row>
    <row r="657">
      <c r="A657" s="198" t="s">
        <v>40</v>
      </c>
      <c r="B657" s="199">
        <f>3*B637</f>
        <v>3125</v>
      </c>
      <c r="C657" s="221">
        <f>10*C637</f>
        <v>8333.333333</v>
      </c>
      <c r="D657" s="221"/>
      <c r="E657" s="199"/>
      <c r="F657" s="199">
        <f>5*F637</f>
        <v>3125</v>
      </c>
      <c r="G657" s="199"/>
      <c r="H657" s="221"/>
      <c r="I657" s="199">
        <f>3*I637</f>
        <v>2500</v>
      </c>
      <c r="J657" s="199"/>
      <c r="K657" s="199"/>
      <c r="L657" s="199"/>
      <c r="M657" s="221">
        <f>3*M637</f>
        <v>2343.75</v>
      </c>
      <c r="N657" s="251"/>
      <c r="O657" s="125"/>
    </row>
    <row r="658">
      <c r="A658" s="200" t="s">
        <v>200</v>
      </c>
      <c r="B658" s="211"/>
      <c r="C658" s="222">
        <v>20000.0</v>
      </c>
      <c r="D658" s="211"/>
      <c r="E658" s="222"/>
      <c r="F658" s="222">
        <v>10000.0</v>
      </c>
      <c r="G658" s="199"/>
      <c r="H658" s="199"/>
      <c r="I658" s="221"/>
      <c r="J658" s="199"/>
      <c r="K658" s="201"/>
      <c r="L658" s="201"/>
      <c r="M658" s="211"/>
      <c r="N658" s="252"/>
      <c r="O658" s="253"/>
    </row>
    <row r="659">
      <c r="A659" s="200" t="s">
        <v>209</v>
      </c>
      <c r="B659" s="214"/>
      <c r="C659" s="214"/>
      <c r="D659" s="214"/>
      <c r="E659" s="239"/>
      <c r="F659" s="239"/>
      <c r="G659" s="214"/>
      <c r="H659" s="214"/>
      <c r="I659" s="214"/>
      <c r="J659" s="214"/>
      <c r="K659" s="214" t="s">
        <v>275</v>
      </c>
      <c r="L659" s="214"/>
      <c r="M659" s="214"/>
      <c r="N659" s="254"/>
      <c r="O659" s="125"/>
    </row>
    <row r="660">
      <c r="A660" s="205" t="s">
        <v>118</v>
      </c>
      <c r="B660" s="206">
        <f>B635+B657</f>
        <v>53125</v>
      </c>
      <c r="C660" s="207">
        <f>C635+C658+C657</f>
        <v>68333.33333</v>
      </c>
      <c r="D660" s="238"/>
      <c r="E660" s="207"/>
      <c r="F660" s="207">
        <f>F635+F657+F658</f>
        <v>43125</v>
      </c>
      <c r="G660" s="206">
        <f t="shared" ref="G660:H660" si="240">G635</f>
        <v>55000</v>
      </c>
      <c r="H660" s="226">
        <f t="shared" si="240"/>
        <v>37500</v>
      </c>
      <c r="I660" s="226">
        <f>I635+I657</f>
        <v>42500</v>
      </c>
      <c r="J660" s="226">
        <f>J635</f>
        <v>27500</v>
      </c>
      <c r="K660" s="226">
        <v>20000.0</v>
      </c>
      <c r="L660" s="250">
        <f>L635</f>
        <v>27500</v>
      </c>
      <c r="M660" s="250">
        <f>M635-M657</f>
        <v>35156.25</v>
      </c>
      <c r="N660" s="209">
        <f>SUM(B660:K660)</f>
        <v>347083.3333</v>
      </c>
    </row>
    <row r="661">
      <c r="A661" s="126" t="s">
        <v>0</v>
      </c>
      <c r="B661" s="127" t="s">
        <v>90</v>
      </c>
      <c r="C661" s="127" t="s">
        <v>3</v>
      </c>
      <c r="D661" s="183"/>
      <c r="E661" s="183"/>
      <c r="F661" s="183" t="s">
        <v>155</v>
      </c>
      <c r="G661" s="183" t="s">
        <v>195</v>
      </c>
      <c r="H661" s="129" t="s">
        <v>260</v>
      </c>
      <c r="I661" s="129" t="s">
        <v>51</v>
      </c>
      <c r="J661" s="129" t="s">
        <v>232</v>
      </c>
      <c r="K661" s="129" t="s">
        <v>244</v>
      </c>
      <c r="L661" s="129" t="s">
        <v>247</v>
      </c>
      <c r="M661" s="129" t="s">
        <v>262</v>
      </c>
      <c r="N661" s="128" t="s">
        <v>110</v>
      </c>
    </row>
    <row r="662">
      <c r="A662" s="247"/>
    </row>
    <row r="663">
      <c r="A663" s="195" t="s">
        <v>287</v>
      </c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7"/>
    </row>
    <row r="664">
      <c r="A664" s="200" t="s">
        <v>288</v>
      </c>
      <c r="B664" s="222"/>
      <c r="C664" s="221"/>
      <c r="D664" s="199"/>
      <c r="E664" s="199"/>
      <c r="F664" s="199"/>
      <c r="G664" s="221"/>
      <c r="H664" s="199"/>
      <c r="I664" s="221"/>
      <c r="J664" s="199"/>
      <c r="K664" s="199"/>
      <c r="L664" s="221">
        <v>7000.0</v>
      </c>
      <c r="M664" s="202"/>
      <c r="N664" s="202"/>
    </row>
    <row r="665">
      <c r="A665" s="198" t="s">
        <v>40</v>
      </c>
      <c r="B665" s="199"/>
      <c r="C665" s="221">
        <f>4*C637</f>
        <v>3333.333333</v>
      </c>
      <c r="D665" s="221"/>
      <c r="E665" s="199"/>
      <c r="F665" s="199">
        <f>3*F637</f>
        <v>1875</v>
      </c>
      <c r="G665" s="199"/>
      <c r="H665" s="221"/>
      <c r="I665" s="199">
        <f>2*I637</f>
        <v>1666.666667</v>
      </c>
      <c r="J665" s="199"/>
      <c r="K665" s="199"/>
      <c r="L665" s="199"/>
      <c r="M665" s="221">
        <f>3.5*M637</f>
        <v>2734.375</v>
      </c>
      <c r="N665" s="251"/>
      <c r="O665" s="125"/>
    </row>
    <row r="666">
      <c r="A666" s="200" t="s">
        <v>200</v>
      </c>
      <c r="B666" s="211"/>
      <c r="C666" s="222">
        <v>20000.0</v>
      </c>
      <c r="D666" s="211"/>
      <c r="E666" s="222"/>
      <c r="F666" s="222">
        <v>10000.0</v>
      </c>
      <c r="G666" s="199"/>
      <c r="H666" s="199"/>
      <c r="I666" s="221"/>
      <c r="J666" s="199"/>
      <c r="K666" s="201"/>
      <c r="L666" s="201"/>
      <c r="M666" s="211"/>
      <c r="N666" s="252"/>
      <c r="O666" s="253"/>
    </row>
    <row r="667">
      <c r="A667" s="200" t="s">
        <v>209</v>
      </c>
      <c r="B667" s="214"/>
      <c r="C667" s="214"/>
      <c r="D667" s="214"/>
      <c r="E667" s="239"/>
      <c r="F667" s="239"/>
      <c r="G667" s="214"/>
      <c r="H667" s="214"/>
      <c r="I667" s="214"/>
      <c r="J667" s="214"/>
      <c r="K667" s="214" t="s">
        <v>275</v>
      </c>
      <c r="L667" s="214"/>
      <c r="M667" s="214"/>
      <c r="N667" s="254"/>
      <c r="O667" s="125"/>
    </row>
    <row r="668">
      <c r="A668" s="205" t="s">
        <v>118</v>
      </c>
      <c r="B668" s="206">
        <f>B632</f>
        <v>50000</v>
      </c>
      <c r="C668" s="207">
        <f>C635+C666+C665*C634</f>
        <v>133393333.3</v>
      </c>
      <c r="D668" s="238"/>
      <c r="E668" s="207"/>
      <c r="F668" s="207">
        <f>F634+F665+F666</f>
        <v>41875</v>
      </c>
      <c r="G668" s="206">
        <f t="shared" ref="G668:J668" si="241">G634</f>
        <v>55000</v>
      </c>
      <c r="H668" s="226">
        <f t="shared" si="241"/>
        <v>37500</v>
      </c>
      <c r="I668" s="226">
        <f t="shared" si="241"/>
        <v>40000</v>
      </c>
      <c r="J668" s="226">
        <f t="shared" si="241"/>
        <v>27500</v>
      </c>
      <c r="K668" s="226">
        <v>20000.0</v>
      </c>
      <c r="L668" s="250">
        <f>L634-L664</f>
        <v>20500</v>
      </c>
      <c r="M668" s="250">
        <f>M634</f>
        <v>37500</v>
      </c>
      <c r="N668" s="209">
        <f>SUM(B668:K668)</f>
        <v>133665208.3</v>
      </c>
    </row>
    <row r="669">
      <c r="A669" s="126" t="s">
        <v>0</v>
      </c>
      <c r="B669" s="127" t="s">
        <v>90</v>
      </c>
      <c r="C669" s="127" t="s">
        <v>3</v>
      </c>
      <c r="D669" s="183"/>
      <c r="E669" s="183"/>
      <c r="F669" s="183" t="s">
        <v>155</v>
      </c>
      <c r="G669" s="183" t="s">
        <v>195</v>
      </c>
      <c r="H669" s="129" t="s">
        <v>260</v>
      </c>
      <c r="I669" s="129" t="s">
        <v>51</v>
      </c>
      <c r="J669" s="129" t="s">
        <v>232</v>
      </c>
      <c r="K669" s="129" t="s">
        <v>244</v>
      </c>
      <c r="L669" s="129" t="s">
        <v>247</v>
      </c>
      <c r="M669" s="129" t="s">
        <v>262</v>
      </c>
      <c r="N669" s="128" t="s">
        <v>110</v>
      </c>
    </row>
    <row r="670">
      <c r="A670" s="247"/>
    </row>
    <row r="671">
      <c r="A671" s="126" t="s">
        <v>0</v>
      </c>
      <c r="B671" s="127" t="s">
        <v>90</v>
      </c>
      <c r="C671" s="127" t="s">
        <v>3</v>
      </c>
      <c r="D671" s="183" t="s">
        <v>289</v>
      </c>
      <c r="E671" s="183"/>
      <c r="F671" s="183" t="s">
        <v>155</v>
      </c>
      <c r="G671" s="183" t="s">
        <v>195</v>
      </c>
      <c r="H671" s="129" t="s">
        <v>260</v>
      </c>
      <c r="I671" s="129" t="s">
        <v>51</v>
      </c>
      <c r="J671" s="129" t="s">
        <v>232</v>
      </c>
      <c r="K671" s="129" t="s">
        <v>244</v>
      </c>
      <c r="L671" s="129" t="s">
        <v>252</v>
      </c>
      <c r="M671" s="129" t="s">
        <v>262</v>
      </c>
      <c r="N671" s="128" t="s">
        <v>110</v>
      </c>
    </row>
    <row r="672">
      <c r="A672" s="130" t="s">
        <v>102</v>
      </c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2"/>
    </row>
    <row r="673">
      <c r="A673" s="133" t="s">
        <v>111</v>
      </c>
      <c r="B673" s="134">
        <v>50000.0</v>
      </c>
      <c r="C673" s="134">
        <v>40000.0</v>
      </c>
      <c r="D673" s="134">
        <v>30000.0</v>
      </c>
      <c r="E673" s="134"/>
      <c r="F673" s="134">
        <v>30000.0</v>
      </c>
      <c r="G673" s="134">
        <v>55000.0</v>
      </c>
      <c r="H673" s="134">
        <v>37500.0</v>
      </c>
      <c r="I673" s="134">
        <v>40000.0</v>
      </c>
      <c r="J673" s="134">
        <v>27500.0</v>
      </c>
      <c r="K673" s="134">
        <v>40000.0</v>
      </c>
      <c r="L673" s="134">
        <v>35000.0</v>
      </c>
      <c r="M673" s="134">
        <v>37500.0</v>
      </c>
      <c r="N673" s="136">
        <f t="shared" ref="N673:N676" si="242">SUM(B673:K673)</f>
        <v>350000</v>
      </c>
    </row>
    <row r="674">
      <c r="A674" s="137"/>
      <c r="B674" s="134">
        <v>50000.0</v>
      </c>
      <c r="C674" s="134">
        <v>40000.0</v>
      </c>
      <c r="D674" s="134">
        <v>30000.0</v>
      </c>
      <c r="E674" s="134"/>
      <c r="F674" s="134">
        <v>30000.0</v>
      </c>
      <c r="G674" s="134">
        <v>55000.0</v>
      </c>
      <c r="H674" s="134">
        <v>37500.0</v>
      </c>
      <c r="I674" s="134">
        <v>40000.0</v>
      </c>
      <c r="J674" s="134">
        <v>27500.0</v>
      </c>
      <c r="K674" s="134">
        <v>40000.0</v>
      </c>
      <c r="L674" s="134">
        <v>35000.0</v>
      </c>
      <c r="M674" s="134">
        <v>37500.0</v>
      </c>
      <c r="N674" s="136">
        <f t="shared" si="242"/>
        <v>350000</v>
      </c>
      <c r="Q674" s="91"/>
    </row>
    <row r="675">
      <c r="A675" s="137"/>
      <c r="B675" s="134">
        <v>50000.0</v>
      </c>
      <c r="C675" s="134">
        <v>40000.0</v>
      </c>
      <c r="D675" s="134">
        <v>30000.0</v>
      </c>
      <c r="E675" s="134"/>
      <c r="F675" s="134">
        <v>30000.0</v>
      </c>
      <c r="G675" s="134">
        <v>55000.0</v>
      </c>
      <c r="H675" s="134">
        <v>37500.0</v>
      </c>
      <c r="I675" s="134">
        <v>40000.0</v>
      </c>
      <c r="J675" s="134">
        <v>27500.0</v>
      </c>
      <c r="K675" s="134">
        <v>40000.0</v>
      </c>
      <c r="L675" s="134">
        <v>35000.0</v>
      </c>
      <c r="M675" s="134">
        <v>37500.0</v>
      </c>
      <c r="N675" s="136">
        <f t="shared" si="242"/>
        <v>350000</v>
      </c>
    </row>
    <row r="676">
      <c r="A676" s="138"/>
      <c r="B676" s="134">
        <v>50000.0</v>
      </c>
      <c r="C676" s="134">
        <v>40000.0</v>
      </c>
      <c r="D676" s="134">
        <v>30000.0</v>
      </c>
      <c r="E676" s="134"/>
      <c r="F676" s="134">
        <v>30000.0</v>
      </c>
      <c r="G676" s="134">
        <v>55000.0</v>
      </c>
      <c r="H676" s="134">
        <v>37500.0</v>
      </c>
      <c r="I676" s="134">
        <v>40000.0</v>
      </c>
      <c r="J676" s="134">
        <v>27500.0</v>
      </c>
      <c r="K676" s="134">
        <v>40000.0</v>
      </c>
      <c r="L676" s="134">
        <v>35000.0</v>
      </c>
      <c r="M676" s="134">
        <v>37500.0</v>
      </c>
      <c r="N676" s="139">
        <f t="shared" si="242"/>
        <v>350000</v>
      </c>
    </row>
    <row r="677">
      <c r="A677" s="140" t="s">
        <v>113</v>
      </c>
      <c r="B677" s="141">
        <f t="shared" ref="B677:D677" si="243">SUM(B673:B676)</f>
        <v>200000</v>
      </c>
      <c r="C677" s="141">
        <f t="shared" si="243"/>
        <v>160000</v>
      </c>
      <c r="D677" s="141">
        <f t="shared" si="243"/>
        <v>120000</v>
      </c>
      <c r="E677" s="141"/>
      <c r="F677" s="141">
        <f t="shared" ref="F677:N677" si="244">SUM(F673:F676)</f>
        <v>120000</v>
      </c>
      <c r="G677" s="141">
        <f t="shared" si="244"/>
        <v>220000</v>
      </c>
      <c r="H677" s="141">
        <f t="shared" si="244"/>
        <v>150000</v>
      </c>
      <c r="I677" s="141">
        <f t="shared" si="244"/>
        <v>160000</v>
      </c>
      <c r="J677" s="141">
        <f t="shared" si="244"/>
        <v>110000</v>
      </c>
      <c r="K677" s="141">
        <f t="shared" si="244"/>
        <v>160000</v>
      </c>
      <c r="L677" s="141">
        <f t="shared" si="244"/>
        <v>140000</v>
      </c>
      <c r="M677" s="141">
        <f t="shared" si="244"/>
        <v>150000</v>
      </c>
      <c r="N677" s="141">
        <f t="shared" si="244"/>
        <v>1400000</v>
      </c>
    </row>
    <row r="678">
      <c r="A678" s="157" t="s">
        <v>138</v>
      </c>
      <c r="B678" s="158">
        <f>B674/6/8</f>
        <v>1041.666667</v>
      </c>
      <c r="C678" s="158">
        <f>C673/8/6</f>
        <v>833.3333333</v>
      </c>
      <c r="D678" s="158">
        <f>D673/6/8</f>
        <v>625</v>
      </c>
      <c r="E678" s="158"/>
      <c r="F678" s="158">
        <f t="shared" ref="F678:H678" si="245">F673/6/8</f>
        <v>625</v>
      </c>
      <c r="G678" s="158">
        <f t="shared" si="245"/>
        <v>1145.833333</v>
      </c>
      <c r="H678" s="158">
        <f t="shared" si="245"/>
        <v>781.25</v>
      </c>
      <c r="I678" s="158">
        <f>I674/6/8</f>
        <v>833.3333333</v>
      </c>
      <c r="J678" s="158">
        <f>J673/8/6</f>
        <v>572.9166667</v>
      </c>
      <c r="K678" s="158">
        <f t="shared" ref="K678:L678" si="246">K673/6/8</f>
        <v>833.3333333</v>
      </c>
      <c r="L678" s="159">
        <f t="shared" si="246"/>
        <v>729.1666667</v>
      </c>
      <c r="M678" s="159">
        <f t="shared" ref="M678:N678" si="247">M676/6/8</f>
        <v>781.25</v>
      </c>
      <c r="N678" s="159">
        <f t="shared" si="247"/>
        <v>7291.666667</v>
      </c>
      <c r="O678" s="122"/>
    </row>
    <row r="679">
      <c r="A679" s="243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3"/>
    </row>
    <row r="680">
      <c r="A680" s="195" t="s">
        <v>290</v>
      </c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7"/>
    </row>
    <row r="681">
      <c r="A681" s="200" t="s">
        <v>288</v>
      </c>
      <c r="B681" s="222"/>
      <c r="C681" s="221"/>
      <c r="D681" s="199"/>
      <c r="E681" s="199"/>
      <c r="F681" s="199"/>
      <c r="G681" s="221"/>
      <c r="H681" s="199"/>
      <c r="I681" s="221"/>
      <c r="J681" s="199"/>
      <c r="K681" s="199"/>
      <c r="L681" s="221">
        <v>5000.0</v>
      </c>
      <c r="M681" s="202"/>
      <c r="N681" s="202"/>
    </row>
    <row r="682">
      <c r="A682" s="198" t="s">
        <v>40</v>
      </c>
      <c r="B682" s="199"/>
      <c r="C682" s="221">
        <f>3.5*C678</f>
        <v>2916.666667</v>
      </c>
      <c r="D682" s="221"/>
      <c r="E682" s="199"/>
      <c r="F682" s="199">
        <f>2*F678</f>
        <v>1250</v>
      </c>
      <c r="G682" s="199"/>
      <c r="H682" s="221"/>
      <c r="I682" s="199">
        <f>2*I678</f>
        <v>1666.666667</v>
      </c>
      <c r="J682" s="199"/>
      <c r="K682" s="199"/>
      <c r="L682" s="199"/>
      <c r="M682" s="221">
        <f>5.5*M678</f>
        <v>4296.875</v>
      </c>
      <c r="N682" s="251"/>
      <c r="O682" s="125"/>
    </row>
    <row r="683">
      <c r="A683" s="200" t="s">
        <v>200</v>
      </c>
      <c r="B683" s="211"/>
      <c r="C683" s="222">
        <v>20000.0</v>
      </c>
      <c r="D683" s="211"/>
      <c r="E683" s="222"/>
      <c r="F683" s="222">
        <v>10000.0</v>
      </c>
      <c r="G683" s="199"/>
      <c r="H683" s="199"/>
      <c r="I683" s="221"/>
      <c r="J683" s="199"/>
      <c r="K683" s="201"/>
      <c r="L683" s="201"/>
      <c r="M683" s="211"/>
      <c r="N683" s="252"/>
      <c r="O683" s="253"/>
    </row>
    <row r="684">
      <c r="A684" s="200" t="s">
        <v>291</v>
      </c>
      <c r="B684" s="255">
        <v>15000.0</v>
      </c>
      <c r="C684" s="255">
        <v>15000.0</v>
      </c>
      <c r="D684" s="255"/>
      <c r="E684" s="256"/>
      <c r="F684" s="256"/>
      <c r="G684" s="255">
        <v>15000.0</v>
      </c>
      <c r="H684" s="255"/>
      <c r="I684" s="255">
        <v>15000.0</v>
      </c>
      <c r="J684" s="255"/>
      <c r="K684" s="255"/>
      <c r="L684" s="255"/>
      <c r="M684" s="255"/>
      <c r="N684" s="257"/>
      <c r="O684" s="125"/>
    </row>
    <row r="685">
      <c r="A685" s="200" t="s">
        <v>292</v>
      </c>
      <c r="B685" s="255"/>
      <c r="C685" s="255"/>
      <c r="D685" s="255"/>
      <c r="E685" s="256"/>
      <c r="F685" s="256"/>
      <c r="G685" s="255">
        <v>17500.0</v>
      </c>
      <c r="H685" s="255"/>
      <c r="I685" s="255"/>
      <c r="J685" s="255"/>
      <c r="K685" s="255" t="s">
        <v>275</v>
      </c>
      <c r="L685" s="255"/>
      <c r="M685" s="255"/>
      <c r="N685" s="257"/>
      <c r="O685" s="125"/>
    </row>
    <row r="686">
      <c r="A686" s="205" t="s">
        <v>118</v>
      </c>
      <c r="B686" s="206">
        <f>B676+B684</f>
        <v>65000</v>
      </c>
      <c r="C686" s="207">
        <f>C652+C683+C682*C651</f>
        <v>104166.6667</v>
      </c>
      <c r="D686" s="238"/>
      <c r="E686" s="207"/>
      <c r="F686" s="207">
        <f>F651+F682+F683+F676</f>
        <v>41250</v>
      </c>
      <c r="G686" s="206">
        <f>G675+G685+G684</f>
        <v>87500</v>
      </c>
      <c r="H686" s="226">
        <f>H676</f>
        <v>37500</v>
      </c>
      <c r="I686" s="226">
        <f>I674</f>
        <v>40000</v>
      </c>
      <c r="J686" s="226">
        <f>J676</f>
        <v>27500</v>
      </c>
      <c r="K686" s="226">
        <v>20000.0</v>
      </c>
      <c r="L686" s="250">
        <f>L676-L681</f>
        <v>30000</v>
      </c>
      <c r="M686" s="250">
        <f>M676-M682</f>
        <v>33203.125</v>
      </c>
      <c r="N686" s="209">
        <f>SUM(B686:K686)</f>
        <v>422916.6667</v>
      </c>
    </row>
    <row r="687">
      <c r="A687" s="126" t="s">
        <v>0</v>
      </c>
      <c r="B687" s="127" t="s">
        <v>90</v>
      </c>
      <c r="C687" s="127" t="s">
        <v>3</v>
      </c>
      <c r="D687" s="183"/>
      <c r="E687" s="183"/>
      <c r="F687" s="183" t="s">
        <v>155</v>
      </c>
      <c r="G687" s="183" t="s">
        <v>195</v>
      </c>
      <c r="H687" s="129" t="s">
        <v>260</v>
      </c>
      <c r="I687" s="129" t="s">
        <v>51</v>
      </c>
      <c r="J687" s="129" t="s">
        <v>232</v>
      </c>
      <c r="K687" s="129" t="s">
        <v>244</v>
      </c>
      <c r="L687" s="129" t="s">
        <v>247</v>
      </c>
      <c r="M687" s="129" t="s">
        <v>262</v>
      </c>
      <c r="N687" s="128" t="s">
        <v>110</v>
      </c>
    </row>
    <row r="688">
      <c r="A688" s="248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3"/>
    </row>
    <row r="689">
      <c r="A689" s="195" t="s">
        <v>293</v>
      </c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7"/>
    </row>
    <row r="690">
      <c r="A690" s="200" t="s">
        <v>288</v>
      </c>
      <c r="B690" s="222"/>
      <c r="C690" s="221"/>
      <c r="D690" s="199"/>
      <c r="E690" s="199"/>
      <c r="F690" s="199"/>
      <c r="G690" s="221"/>
      <c r="H690" s="199"/>
      <c r="I690" s="221"/>
      <c r="J690" s="199"/>
      <c r="K690" s="221"/>
      <c r="L690" s="221"/>
      <c r="M690" s="202"/>
      <c r="N690" s="202"/>
    </row>
    <row r="691">
      <c r="A691" s="198" t="s">
        <v>40</v>
      </c>
      <c r="B691" s="221"/>
      <c r="C691" s="221">
        <f>3*C678</f>
        <v>2500</v>
      </c>
      <c r="D691" s="221"/>
      <c r="E691" s="221"/>
      <c r="F691" s="221">
        <f>3*F678</f>
        <v>1875</v>
      </c>
      <c r="G691" s="199"/>
      <c r="H691" s="221"/>
      <c r="I691" s="199"/>
      <c r="J691" s="199"/>
      <c r="K691" s="199"/>
      <c r="L691" s="199"/>
      <c r="M691" s="221">
        <f>-6*M678</f>
        <v>-4687.5</v>
      </c>
      <c r="N691" s="251"/>
      <c r="O691" s="125"/>
    </row>
    <row r="692">
      <c r="A692" s="200" t="s">
        <v>200</v>
      </c>
      <c r="B692" s="211"/>
      <c r="C692" s="222">
        <v>20000.0</v>
      </c>
      <c r="D692" s="211"/>
      <c r="E692" s="222"/>
      <c r="F692" s="222">
        <v>10000.0</v>
      </c>
      <c r="G692" s="199"/>
      <c r="H692" s="199"/>
      <c r="I692" s="221"/>
      <c r="J692" s="199"/>
      <c r="K692" s="201"/>
      <c r="L692" s="201"/>
      <c r="M692" s="211"/>
      <c r="N692" s="252"/>
      <c r="O692" s="253"/>
    </row>
    <row r="693">
      <c r="A693" s="200" t="s">
        <v>294</v>
      </c>
      <c r="B693" s="255"/>
      <c r="C693" s="255"/>
      <c r="D693" s="255"/>
      <c r="E693" s="256"/>
      <c r="F693" s="256"/>
      <c r="G693" s="255"/>
      <c r="H693" s="255"/>
      <c r="I693" s="255"/>
      <c r="J693" s="255"/>
      <c r="K693" s="255"/>
      <c r="L693" s="255"/>
      <c r="M693" s="255"/>
      <c r="N693" s="257"/>
      <c r="O693" s="125"/>
    </row>
    <row r="694">
      <c r="A694" s="200" t="s">
        <v>295</v>
      </c>
      <c r="B694" s="255">
        <f t="shared" ref="B694:C694" si="248">8*B678</f>
        <v>8333.333333</v>
      </c>
      <c r="C694" s="255">
        <f t="shared" si="248"/>
        <v>6666.666667</v>
      </c>
      <c r="D694" s="255"/>
      <c r="E694" s="255"/>
      <c r="F694" s="255">
        <f>8*F678</f>
        <v>5000</v>
      </c>
      <c r="G694" s="255"/>
      <c r="H694" s="255">
        <f t="shared" ref="H694:L694" si="249">8*H678</f>
        <v>6250</v>
      </c>
      <c r="I694" s="255">
        <f t="shared" si="249"/>
        <v>6666.666667</v>
      </c>
      <c r="J694" s="255">
        <f t="shared" si="249"/>
        <v>4583.333333</v>
      </c>
      <c r="K694" s="255">
        <f t="shared" si="249"/>
        <v>6666.666667</v>
      </c>
      <c r="L694" s="255">
        <f t="shared" si="249"/>
        <v>5833.333333</v>
      </c>
      <c r="M694" s="255">
        <f>6*M678</f>
        <v>4687.5</v>
      </c>
      <c r="N694" s="257"/>
      <c r="O694" s="125"/>
    </row>
    <row r="695">
      <c r="A695" s="205" t="s">
        <v>118</v>
      </c>
      <c r="B695" s="206">
        <f>B676++B693+B694</f>
        <v>58333.33333</v>
      </c>
      <c r="C695" s="219">
        <f>C676+C690+C691+C692+C693+C694</f>
        <v>69166.66667</v>
      </c>
      <c r="D695" s="206">
        <f>D676++D693</f>
        <v>30000</v>
      </c>
      <c r="E695" s="206"/>
      <c r="F695" s="219">
        <f>F676+F690+F691+F692+F693+F694</f>
        <v>46875</v>
      </c>
      <c r="G695" s="226">
        <v>0.0</v>
      </c>
      <c r="H695" s="206">
        <f t="shared" ref="H695:M695" si="250">H676+H690+H691+H692+H693+H694</f>
        <v>43750</v>
      </c>
      <c r="I695" s="206">
        <f t="shared" si="250"/>
        <v>46666.66667</v>
      </c>
      <c r="J695" s="206">
        <f t="shared" si="250"/>
        <v>32083.33333</v>
      </c>
      <c r="K695" s="208">
        <f t="shared" si="250"/>
        <v>46666.66667</v>
      </c>
      <c r="L695" s="208">
        <f t="shared" si="250"/>
        <v>40833.33333</v>
      </c>
      <c r="M695" s="208">
        <f t="shared" si="250"/>
        <v>37500</v>
      </c>
      <c r="N695" s="209">
        <f>SUM(B695:K695)</f>
        <v>373541.6667</v>
      </c>
    </row>
    <row r="696">
      <c r="A696" s="126" t="s">
        <v>0</v>
      </c>
      <c r="B696" s="127" t="s">
        <v>90</v>
      </c>
      <c r="C696" s="127" t="s">
        <v>3</v>
      </c>
      <c r="D696" s="183"/>
      <c r="E696" s="183"/>
      <c r="F696" s="183" t="s">
        <v>155</v>
      </c>
      <c r="G696" s="183" t="s">
        <v>195</v>
      </c>
      <c r="H696" s="129" t="s">
        <v>260</v>
      </c>
      <c r="I696" s="129" t="s">
        <v>51</v>
      </c>
      <c r="J696" s="129" t="s">
        <v>232</v>
      </c>
      <c r="K696" s="129" t="s">
        <v>244</v>
      </c>
      <c r="L696" s="129" t="s">
        <v>247</v>
      </c>
      <c r="M696" s="129" t="s">
        <v>262</v>
      </c>
      <c r="N696" s="128" t="s">
        <v>110</v>
      </c>
    </row>
    <row r="697">
      <c r="A697" s="241"/>
      <c r="B697" s="225"/>
      <c r="C697" s="225"/>
      <c r="D697" s="225"/>
      <c r="E697" s="225"/>
      <c r="F697" s="225"/>
      <c r="G697" s="242"/>
      <c r="H697" s="225"/>
      <c r="I697" s="225"/>
      <c r="J697" s="225"/>
      <c r="K697" s="225"/>
      <c r="L697" s="242"/>
      <c r="M697" s="225"/>
      <c r="N697" s="225"/>
      <c r="O697" s="225"/>
      <c r="P697" s="225"/>
      <c r="Q697" s="218"/>
    </row>
    <row r="698">
      <c r="A698" s="195" t="s">
        <v>296</v>
      </c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7"/>
    </row>
    <row r="699">
      <c r="A699" s="200" t="s">
        <v>288</v>
      </c>
      <c r="B699" s="222"/>
      <c r="C699" s="221"/>
      <c r="D699" s="199"/>
      <c r="E699" s="199"/>
      <c r="F699" s="199"/>
      <c r="G699" s="221"/>
      <c r="H699" s="199"/>
      <c r="I699" s="221"/>
      <c r="J699" s="199"/>
      <c r="K699" s="221"/>
      <c r="L699" s="221" t="s">
        <v>297</v>
      </c>
      <c r="M699" s="202"/>
      <c r="N699" s="202"/>
    </row>
    <row r="700">
      <c r="A700" s="198" t="s">
        <v>40</v>
      </c>
      <c r="B700" s="221">
        <f>1*B678</f>
        <v>1041.666667</v>
      </c>
      <c r="C700" s="221">
        <f>2*C678</f>
        <v>1666.666667</v>
      </c>
      <c r="D700" s="221"/>
      <c r="E700" s="221"/>
      <c r="F700" s="221">
        <f>2*F678</f>
        <v>1250</v>
      </c>
      <c r="G700" s="199"/>
      <c r="H700" s="221"/>
      <c r="I700" s="199">
        <f>3*I678</f>
        <v>2500</v>
      </c>
      <c r="J700" s="199"/>
      <c r="K700" s="199"/>
      <c r="L700" s="199"/>
      <c r="M700" s="221">
        <f>8*M678</f>
        <v>6250</v>
      </c>
      <c r="N700" s="251"/>
      <c r="O700" s="125"/>
    </row>
    <row r="701">
      <c r="A701" s="200" t="s">
        <v>200</v>
      </c>
      <c r="B701" s="211"/>
      <c r="C701" s="222">
        <v>20000.0</v>
      </c>
      <c r="D701" s="211"/>
      <c r="E701" s="222"/>
      <c r="F701" s="222">
        <v>10000.0</v>
      </c>
      <c r="G701" s="199"/>
      <c r="H701" s="199"/>
      <c r="I701" s="221"/>
      <c r="J701" s="199"/>
      <c r="K701" s="201"/>
      <c r="L701" s="201"/>
      <c r="M701" s="211"/>
      <c r="N701" s="252"/>
      <c r="O701" s="253"/>
    </row>
    <row r="702">
      <c r="A702" s="200" t="s">
        <v>298</v>
      </c>
      <c r="B702" s="255">
        <v>15000.0</v>
      </c>
      <c r="C702" s="255">
        <v>15000.0</v>
      </c>
      <c r="D702" s="255"/>
      <c r="E702" s="256"/>
      <c r="F702" s="256"/>
      <c r="G702" s="255">
        <v>15000.0</v>
      </c>
      <c r="H702" s="255"/>
      <c r="I702" s="255">
        <v>15000.0</v>
      </c>
      <c r="J702" s="255"/>
      <c r="K702" s="255"/>
      <c r="L702" s="255"/>
      <c r="M702" s="255"/>
      <c r="N702" s="257"/>
      <c r="O702" s="125"/>
    </row>
    <row r="703">
      <c r="A703" s="200" t="s">
        <v>250</v>
      </c>
      <c r="B703" s="255"/>
      <c r="C703" s="255">
        <v>6600.0</v>
      </c>
      <c r="D703" s="255"/>
      <c r="E703" s="255"/>
      <c r="F703" s="255"/>
      <c r="G703" s="255"/>
      <c r="H703" s="255"/>
      <c r="I703" s="255"/>
      <c r="J703" s="255"/>
      <c r="K703" s="255"/>
      <c r="L703" s="255"/>
      <c r="M703" s="255"/>
      <c r="N703" s="257"/>
      <c r="O703" s="125"/>
    </row>
    <row r="704">
      <c r="A704" s="205" t="s">
        <v>118</v>
      </c>
      <c r="B704" s="206">
        <f>B685++B702+B703+B673+B700</f>
        <v>66041.66667</v>
      </c>
      <c r="C704" s="219">
        <f>C685+C699+C700+C701+C702+C703+C676</f>
        <v>83266.66667</v>
      </c>
      <c r="D704" s="206">
        <f>D685++D702</f>
        <v>0</v>
      </c>
      <c r="E704" s="206"/>
      <c r="F704" s="219">
        <f>F685+F699+F700+F701+F702+F703+F674</f>
        <v>41250</v>
      </c>
      <c r="G704" s="226">
        <f>G676+G702</f>
        <v>70000</v>
      </c>
      <c r="H704" s="206">
        <f>H673</f>
        <v>37500</v>
      </c>
      <c r="I704" s="206">
        <f>I685+I699+I700+I701+I702+I703+I675</f>
        <v>57500</v>
      </c>
      <c r="J704" s="206">
        <f>J685+J699+J700+J701+J702+J703</f>
        <v>0</v>
      </c>
      <c r="K704" s="206">
        <f>K676</f>
        <v>40000</v>
      </c>
      <c r="L704" s="206">
        <f>L673</f>
        <v>35000</v>
      </c>
      <c r="M704" s="206">
        <f>M674-M700</f>
        <v>31250</v>
      </c>
      <c r="N704" s="209">
        <f>SUM(B704:K704)</f>
        <v>395558.3333</v>
      </c>
    </row>
    <row r="705">
      <c r="A705" s="126" t="s">
        <v>0</v>
      </c>
      <c r="B705" s="127" t="s">
        <v>90</v>
      </c>
      <c r="C705" s="127" t="s">
        <v>3</v>
      </c>
      <c r="D705" s="183"/>
      <c r="E705" s="183"/>
      <c r="F705" s="183" t="s">
        <v>155</v>
      </c>
      <c r="G705" s="183" t="s">
        <v>195</v>
      </c>
      <c r="H705" s="129" t="s">
        <v>260</v>
      </c>
      <c r="I705" s="129" t="s">
        <v>51</v>
      </c>
      <c r="J705" s="129" t="s">
        <v>232</v>
      </c>
      <c r="K705" s="129" t="s">
        <v>244</v>
      </c>
      <c r="L705" s="129" t="s">
        <v>247</v>
      </c>
      <c r="M705" s="129" t="s">
        <v>262</v>
      </c>
      <c r="N705" s="128" t="s">
        <v>110</v>
      </c>
    </row>
    <row r="706">
      <c r="A706" s="243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3"/>
    </row>
    <row r="707">
      <c r="A707" s="195" t="s">
        <v>299</v>
      </c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7"/>
    </row>
    <row r="708">
      <c r="A708" s="200" t="s">
        <v>288</v>
      </c>
      <c r="B708" s="222"/>
      <c r="C708" s="221"/>
      <c r="D708" s="199"/>
      <c r="E708" s="199"/>
      <c r="F708" s="199"/>
      <c r="G708" s="221"/>
      <c r="H708" s="199"/>
      <c r="I708" s="221"/>
      <c r="J708" s="199">
        <f>16*J678</f>
        <v>9166.666667</v>
      </c>
      <c r="K708" s="221"/>
      <c r="L708" s="221" t="s">
        <v>300</v>
      </c>
      <c r="M708" s="202"/>
      <c r="N708" s="202"/>
    </row>
    <row r="709">
      <c r="A709" s="198" t="s">
        <v>40</v>
      </c>
      <c r="B709" s="221"/>
      <c r="C709" s="221">
        <f>C678</f>
        <v>833.3333333</v>
      </c>
      <c r="D709" s="221">
        <v>6000.0</v>
      </c>
      <c r="E709" s="221"/>
      <c r="F709" s="221">
        <f>2*F678</f>
        <v>1250</v>
      </c>
      <c r="G709" s="199"/>
      <c r="H709" s="221"/>
      <c r="I709" s="199">
        <f>2*I678</f>
        <v>1666.666667</v>
      </c>
      <c r="J709" s="199"/>
      <c r="K709" s="199"/>
      <c r="L709" s="199"/>
      <c r="M709" s="221">
        <f>7.5*M678</f>
        <v>5859.375</v>
      </c>
      <c r="N709" s="251"/>
      <c r="O709" s="125"/>
    </row>
    <row r="710">
      <c r="A710" s="200" t="s">
        <v>200</v>
      </c>
      <c r="B710" s="211"/>
      <c r="C710" s="222">
        <v>20000.0</v>
      </c>
      <c r="D710" s="211"/>
      <c r="E710" s="222"/>
      <c r="F710" s="222">
        <v>10000.0</v>
      </c>
      <c r="G710" s="199"/>
      <c r="H710" s="199"/>
      <c r="I710" s="221"/>
      <c r="J710" s="199"/>
      <c r="K710" s="201"/>
      <c r="L710" s="201"/>
      <c r="M710" s="211"/>
      <c r="N710" s="252"/>
      <c r="O710" s="253"/>
    </row>
    <row r="711">
      <c r="A711" s="200"/>
      <c r="B711" s="255"/>
      <c r="C711" s="255"/>
      <c r="D711" s="255"/>
      <c r="E711" s="256"/>
      <c r="F711" s="256"/>
      <c r="G711" s="255"/>
      <c r="H711" s="255"/>
      <c r="I711" s="255"/>
      <c r="J711" s="255"/>
      <c r="K711" s="255"/>
      <c r="L711" s="255"/>
      <c r="M711" s="255"/>
      <c r="N711" s="257"/>
      <c r="O711" s="125"/>
    </row>
    <row r="712">
      <c r="A712" s="200" t="s">
        <v>250</v>
      </c>
      <c r="B712" s="255"/>
      <c r="C712" s="255">
        <f>C678*8</f>
        <v>6666.666667</v>
      </c>
      <c r="D712" s="255"/>
      <c r="E712" s="255"/>
      <c r="F712" s="255"/>
      <c r="G712" s="255"/>
      <c r="H712" s="255"/>
      <c r="I712" s="255"/>
      <c r="J712" s="255"/>
      <c r="K712" s="255"/>
      <c r="L712" s="255"/>
      <c r="M712" s="255"/>
      <c r="N712" s="257"/>
      <c r="O712" s="125"/>
    </row>
    <row r="713">
      <c r="A713" s="205" t="s">
        <v>118</v>
      </c>
      <c r="B713" s="206">
        <f>B674</f>
        <v>50000</v>
      </c>
      <c r="C713" s="258">
        <f>C676+C712+C710+C709</f>
        <v>67500</v>
      </c>
      <c r="D713" s="206">
        <f>D673+D709</f>
        <v>36000</v>
      </c>
      <c r="E713" s="206"/>
      <c r="F713" s="219">
        <f>F676+F710+F709</f>
        <v>41250</v>
      </c>
      <c r="G713" s="226">
        <f>G674</f>
        <v>55000</v>
      </c>
      <c r="H713" s="206">
        <f>H676</f>
        <v>37500</v>
      </c>
      <c r="I713" s="206">
        <f>I675+I709</f>
        <v>41666.66667</v>
      </c>
      <c r="J713" s="206">
        <f>J675+J708</f>
        <v>36666.66667</v>
      </c>
      <c r="K713" s="206">
        <f t="shared" ref="K713:L713" si="251">K675</f>
        <v>40000</v>
      </c>
      <c r="L713" s="206">
        <f t="shared" si="251"/>
        <v>35000</v>
      </c>
      <c r="M713" s="206">
        <f>M675-M709</f>
        <v>31640.625</v>
      </c>
      <c r="N713" s="209">
        <f>SUM(B713:K713)</f>
        <v>405583.3333</v>
      </c>
    </row>
    <row r="714">
      <c r="A714" s="126" t="s">
        <v>0</v>
      </c>
      <c r="B714" s="127" t="s">
        <v>90</v>
      </c>
      <c r="C714" s="127" t="s">
        <v>3</v>
      </c>
      <c r="D714" s="183" t="s">
        <v>289</v>
      </c>
      <c r="E714" s="183"/>
      <c r="F714" s="183" t="s">
        <v>155</v>
      </c>
      <c r="G714" s="183" t="s">
        <v>195</v>
      </c>
      <c r="H714" s="129" t="s">
        <v>260</v>
      </c>
      <c r="I714" s="129" t="s">
        <v>51</v>
      </c>
      <c r="J714" s="129" t="s">
        <v>232</v>
      </c>
      <c r="K714" s="129" t="s">
        <v>244</v>
      </c>
      <c r="L714" s="129" t="s">
        <v>247</v>
      </c>
      <c r="M714" s="129" t="s">
        <v>262</v>
      </c>
      <c r="N714" s="128" t="s">
        <v>110</v>
      </c>
    </row>
    <row r="715">
      <c r="A715" s="248"/>
      <c r="B715" s="241"/>
      <c r="C715" s="241"/>
      <c r="D715" s="241"/>
      <c r="E715" s="241"/>
      <c r="F715" s="241"/>
      <c r="G715" s="241"/>
      <c r="H715" s="241"/>
      <c r="I715" s="241"/>
      <c r="J715" s="249"/>
      <c r="K715" s="241"/>
      <c r="L715" s="241"/>
      <c r="M715" s="241"/>
      <c r="N715" s="241"/>
      <c r="O715" s="241"/>
      <c r="P715" s="241"/>
      <c r="Q715" s="243"/>
    </row>
    <row r="716">
      <c r="A716" s="126" t="s">
        <v>0</v>
      </c>
      <c r="B716" s="127" t="s">
        <v>90</v>
      </c>
      <c r="C716" s="127" t="s">
        <v>3</v>
      </c>
      <c r="D716" s="183" t="s">
        <v>289</v>
      </c>
      <c r="E716" s="183" t="s">
        <v>301</v>
      </c>
      <c r="F716" s="183" t="s">
        <v>155</v>
      </c>
      <c r="G716" s="183" t="s">
        <v>195</v>
      </c>
      <c r="H716" s="129" t="s">
        <v>260</v>
      </c>
      <c r="I716" s="129" t="s">
        <v>51</v>
      </c>
      <c r="J716" s="129" t="s">
        <v>232</v>
      </c>
      <c r="K716" s="129" t="s">
        <v>244</v>
      </c>
      <c r="L716" s="129" t="s">
        <v>252</v>
      </c>
      <c r="M716" s="129" t="s">
        <v>262</v>
      </c>
      <c r="N716" s="128" t="s">
        <v>110</v>
      </c>
    </row>
    <row r="717">
      <c r="A717" s="130" t="s">
        <v>181</v>
      </c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2"/>
    </row>
    <row r="718">
      <c r="A718" s="133" t="s">
        <v>111</v>
      </c>
      <c r="B718" s="134">
        <v>55000.0</v>
      </c>
      <c r="C718" s="134">
        <v>67000.0</v>
      </c>
      <c r="D718" s="134">
        <v>30000.0</v>
      </c>
      <c r="E718" s="134">
        <v>30000.0</v>
      </c>
      <c r="F718" s="134">
        <v>40000.0</v>
      </c>
      <c r="G718" s="134">
        <v>60000.0</v>
      </c>
      <c r="H718" s="134">
        <v>45000.0</v>
      </c>
      <c r="I718" s="134">
        <v>40000.0</v>
      </c>
      <c r="J718" s="134">
        <v>27500.0</v>
      </c>
      <c r="K718" s="134">
        <v>40000.0</v>
      </c>
      <c r="L718" s="134">
        <v>35000.0</v>
      </c>
      <c r="M718" s="134">
        <v>37500.0</v>
      </c>
      <c r="N718" s="136">
        <f t="shared" ref="N718:N721" si="252">SUM(B718:K718)</f>
        <v>434500</v>
      </c>
    </row>
    <row r="719">
      <c r="A719" s="137"/>
      <c r="B719" s="134">
        <v>55000.0</v>
      </c>
      <c r="C719" s="134">
        <v>67000.0</v>
      </c>
      <c r="D719" s="134">
        <v>30000.0</v>
      </c>
      <c r="E719" s="134">
        <v>30000.0</v>
      </c>
      <c r="F719" s="134">
        <v>40000.0</v>
      </c>
      <c r="G719" s="134">
        <v>60000.0</v>
      </c>
      <c r="H719" s="134">
        <v>45000.0</v>
      </c>
      <c r="I719" s="134">
        <v>40000.0</v>
      </c>
      <c r="J719" s="134">
        <v>27500.0</v>
      </c>
      <c r="K719" s="134">
        <v>40000.0</v>
      </c>
      <c r="L719" s="134">
        <v>35000.0</v>
      </c>
      <c r="M719" s="134">
        <v>37500.0</v>
      </c>
      <c r="N719" s="136">
        <f t="shared" si="252"/>
        <v>434500</v>
      </c>
      <c r="Q719" s="91"/>
    </row>
    <row r="720">
      <c r="A720" s="137"/>
      <c r="B720" s="134">
        <v>55000.0</v>
      </c>
      <c r="C720" s="134">
        <v>67000.0</v>
      </c>
      <c r="D720" s="134">
        <v>30000.0</v>
      </c>
      <c r="E720" s="134">
        <v>30000.0</v>
      </c>
      <c r="F720" s="134">
        <v>40000.0</v>
      </c>
      <c r="G720" s="134">
        <v>60000.0</v>
      </c>
      <c r="H720" s="134">
        <v>45000.0</v>
      </c>
      <c r="I720" s="134">
        <v>40000.0</v>
      </c>
      <c r="J720" s="134">
        <v>27500.0</v>
      </c>
      <c r="K720" s="134">
        <v>40000.0</v>
      </c>
      <c r="L720" s="134">
        <v>35000.0</v>
      </c>
      <c r="M720" s="134">
        <v>37500.0</v>
      </c>
      <c r="N720" s="136">
        <f t="shared" si="252"/>
        <v>434500</v>
      </c>
    </row>
    <row r="721">
      <c r="A721" s="138"/>
      <c r="B721" s="134">
        <v>55000.0</v>
      </c>
      <c r="C721" s="134">
        <v>67000.0</v>
      </c>
      <c r="D721" s="134">
        <v>30000.0</v>
      </c>
      <c r="E721" s="134">
        <v>30000.0</v>
      </c>
      <c r="F721" s="134">
        <v>40000.0</v>
      </c>
      <c r="G721" s="134">
        <v>60000.0</v>
      </c>
      <c r="H721" s="134">
        <v>45000.0</v>
      </c>
      <c r="I721" s="134">
        <v>40000.0</v>
      </c>
      <c r="J721" s="134">
        <v>27500.0</v>
      </c>
      <c r="K721" s="134">
        <v>40000.0</v>
      </c>
      <c r="L721" s="134">
        <v>35000.0</v>
      </c>
      <c r="M721" s="134">
        <v>37500.0</v>
      </c>
      <c r="N721" s="139">
        <f t="shared" si="252"/>
        <v>434500</v>
      </c>
    </row>
    <row r="722">
      <c r="A722" s="140" t="s">
        <v>113</v>
      </c>
      <c r="B722" s="141">
        <f t="shared" ref="B722:N722" si="253">SUM(B718:B721)</f>
        <v>220000</v>
      </c>
      <c r="C722" s="141">
        <f t="shared" si="253"/>
        <v>268000</v>
      </c>
      <c r="D722" s="141">
        <f t="shared" si="253"/>
        <v>120000</v>
      </c>
      <c r="E722" s="141">
        <f t="shared" si="253"/>
        <v>120000</v>
      </c>
      <c r="F722" s="141">
        <f t="shared" si="253"/>
        <v>160000</v>
      </c>
      <c r="G722" s="141">
        <f t="shared" si="253"/>
        <v>240000</v>
      </c>
      <c r="H722" s="141">
        <f t="shared" si="253"/>
        <v>180000</v>
      </c>
      <c r="I722" s="141">
        <f t="shared" si="253"/>
        <v>160000</v>
      </c>
      <c r="J722" s="141">
        <f t="shared" si="253"/>
        <v>110000</v>
      </c>
      <c r="K722" s="141">
        <f t="shared" si="253"/>
        <v>160000</v>
      </c>
      <c r="L722" s="141">
        <f t="shared" si="253"/>
        <v>140000</v>
      </c>
      <c r="M722" s="141">
        <f t="shared" si="253"/>
        <v>150000</v>
      </c>
      <c r="N722" s="141">
        <f t="shared" si="253"/>
        <v>1738000</v>
      </c>
    </row>
    <row r="723">
      <c r="A723" s="157" t="s">
        <v>138</v>
      </c>
      <c r="B723" s="158">
        <f>B719/6/8</f>
        <v>1145.833333</v>
      </c>
      <c r="C723" s="158">
        <f>C718/8/6</f>
        <v>1395.833333</v>
      </c>
      <c r="D723" s="158">
        <f>D718/6/8</f>
        <v>625</v>
      </c>
      <c r="E723" s="158"/>
      <c r="F723" s="158">
        <f t="shared" ref="F723:H723" si="254">F718/6/8</f>
        <v>833.3333333</v>
      </c>
      <c r="G723" s="158">
        <f t="shared" si="254"/>
        <v>1250</v>
      </c>
      <c r="H723" s="158">
        <f t="shared" si="254"/>
        <v>937.5</v>
      </c>
      <c r="I723" s="158">
        <f>I719/6/8</f>
        <v>833.3333333</v>
      </c>
      <c r="J723" s="158">
        <f>J718/8/6</f>
        <v>572.9166667</v>
      </c>
      <c r="K723" s="158">
        <f t="shared" ref="K723:L723" si="255">K718/6/8</f>
        <v>833.3333333</v>
      </c>
      <c r="L723" s="159">
        <f t="shared" si="255"/>
        <v>729.1666667</v>
      </c>
      <c r="M723" s="159">
        <f t="shared" ref="M723:N723" si="256">M721/6/8</f>
        <v>781.25</v>
      </c>
      <c r="N723" s="159">
        <f t="shared" si="256"/>
        <v>9052.083333</v>
      </c>
      <c r="O723" s="122"/>
    </row>
    <row r="724">
      <c r="A724" s="243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3"/>
    </row>
    <row r="725">
      <c r="A725" s="195" t="s">
        <v>302</v>
      </c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7"/>
    </row>
    <row r="726">
      <c r="A726" s="200" t="s">
        <v>288</v>
      </c>
      <c r="B726" s="222"/>
      <c r="C726" s="221"/>
      <c r="D726" s="199"/>
      <c r="E726" s="199"/>
      <c r="F726" s="199"/>
      <c r="G726" s="221"/>
      <c r="H726" s="199"/>
      <c r="I726" s="221"/>
      <c r="J726" s="199"/>
      <c r="K726" s="221"/>
      <c r="L726" s="221"/>
      <c r="M726" s="202"/>
      <c r="N726" s="202"/>
    </row>
    <row r="727">
      <c r="A727" s="198" t="s">
        <v>40</v>
      </c>
      <c r="B727" s="221"/>
      <c r="C727" s="221"/>
      <c r="D727" s="221"/>
      <c r="E727" s="221"/>
      <c r="F727" s="221"/>
      <c r="G727" s="199"/>
      <c r="H727" s="221"/>
      <c r="I727" s="199">
        <f>I723</f>
        <v>833.3333333</v>
      </c>
      <c r="J727" s="199"/>
      <c r="K727" s="199"/>
      <c r="L727" s="199"/>
      <c r="M727" s="221">
        <f>5*M723</f>
        <v>3906.25</v>
      </c>
      <c r="N727" s="251"/>
      <c r="O727" s="125"/>
    </row>
    <row r="728">
      <c r="A728" s="200" t="s">
        <v>200</v>
      </c>
      <c r="B728" s="211"/>
      <c r="C728" s="222"/>
      <c r="D728" s="211"/>
      <c r="E728" s="222"/>
      <c r="F728" s="222"/>
      <c r="G728" s="199"/>
      <c r="H728" s="199"/>
      <c r="I728" s="221"/>
      <c r="J728" s="199"/>
      <c r="K728" s="201"/>
      <c r="L728" s="201"/>
      <c r="M728" s="211"/>
      <c r="N728" s="252"/>
      <c r="O728" s="253"/>
    </row>
    <row r="729">
      <c r="A729" s="200"/>
      <c r="B729" s="255"/>
      <c r="C729" s="255"/>
      <c r="D729" s="255"/>
      <c r="E729" s="256"/>
      <c r="F729" s="256"/>
      <c r="G729" s="255"/>
      <c r="H729" s="255"/>
      <c r="I729" s="255"/>
      <c r="J729" s="255"/>
      <c r="K729" s="255"/>
      <c r="L729" s="255"/>
      <c r="M729" s="255"/>
      <c r="N729" s="257"/>
      <c r="O729" s="125"/>
    </row>
    <row r="730">
      <c r="A730" s="200" t="s">
        <v>250</v>
      </c>
      <c r="B730" s="255"/>
      <c r="C730" s="255"/>
      <c r="D730" s="255"/>
      <c r="E730" s="255"/>
      <c r="F730" s="255"/>
      <c r="G730" s="255"/>
      <c r="H730" s="255"/>
      <c r="I730" s="255"/>
      <c r="J730" s="255"/>
      <c r="K730" s="255"/>
      <c r="L730" s="255"/>
      <c r="M730" s="255"/>
      <c r="N730" s="257"/>
      <c r="O730" s="125"/>
    </row>
    <row r="731">
      <c r="A731" s="205" t="s">
        <v>118</v>
      </c>
      <c r="B731" s="206">
        <f>B718</f>
        <v>55000</v>
      </c>
      <c r="C731" s="258">
        <f>C718+C730+C728+C727</f>
        <v>67000</v>
      </c>
      <c r="D731" s="206">
        <f>D718</f>
        <v>30000</v>
      </c>
      <c r="E731" s="206"/>
      <c r="F731" s="206">
        <f t="shared" ref="F731:H731" si="257">F718</f>
        <v>40000</v>
      </c>
      <c r="G731" s="226">
        <f t="shared" si="257"/>
        <v>60000</v>
      </c>
      <c r="H731" s="206">
        <f t="shared" si="257"/>
        <v>45000</v>
      </c>
      <c r="I731" s="206">
        <f>I718+I727</f>
        <v>40833.33333</v>
      </c>
      <c r="J731" s="206">
        <f t="shared" ref="J731:K731" si="258">J721</f>
        <v>27500</v>
      </c>
      <c r="K731" s="206">
        <f t="shared" si="258"/>
        <v>40000</v>
      </c>
      <c r="L731" s="206">
        <f>L718</f>
        <v>35000</v>
      </c>
      <c r="M731" s="206">
        <f>M721-M727</f>
        <v>33593.75</v>
      </c>
      <c r="N731" s="209">
        <f>SUM(B731:K731)</f>
        <v>405333.3333</v>
      </c>
    </row>
    <row r="732">
      <c r="A732" s="126" t="s">
        <v>0</v>
      </c>
      <c r="B732" s="127" t="s">
        <v>90</v>
      </c>
      <c r="C732" s="127" t="s">
        <v>3</v>
      </c>
      <c r="D732" s="183" t="s">
        <v>289</v>
      </c>
      <c r="E732" s="183"/>
      <c r="F732" s="183" t="s">
        <v>155</v>
      </c>
      <c r="G732" s="183" t="s">
        <v>195</v>
      </c>
      <c r="H732" s="129" t="s">
        <v>260</v>
      </c>
      <c r="I732" s="129" t="s">
        <v>51</v>
      </c>
      <c r="J732" s="129" t="s">
        <v>232</v>
      </c>
      <c r="K732" s="129" t="s">
        <v>244</v>
      </c>
      <c r="L732" s="129" t="s">
        <v>247</v>
      </c>
      <c r="M732" s="129" t="s">
        <v>262</v>
      </c>
      <c r="N732" s="128" t="s">
        <v>110</v>
      </c>
    </row>
    <row r="733">
      <c r="A733" s="248"/>
      <c r="B733" s="241"/>
      <c r="C733" s="241"/>
      <c r="D733" s="241"/>
      <c r="E733" s="241"/>
      <c r="F733" s="241"/>
      <c r="G733" s="241"/>
      <c r="H733" s="241"/>
      <c r="I733" s="241"/>
      <c r="J733" s="249"/>
      <c r="K733" s="241"/>
      <c r="L733" s="241"/>
      <c r="M733" s="241"/>
      <c r="N733" s="241"/>
      <c r="O733" s="241"/>
      <c r="P733" s="241"/>
      <c r="Q733" s="243"/>
    </row>
    <row r="735">
      <c r="A735" s="195" t="s">
        <v>303</v>
      </c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7"/>
    </row>
    <row r="736">
      <c r="A736" s="200" t="s">
        <v>288</v>
      </c>
      <c r="B736" s="222"/>
      <c r="C736" s="221"/>
      <c r="D736" s="199"/>
      <c r="E736" s="199"/>
      <c r="F736" s="199"/>
      <c r="G736" s="221"/>
      <c r="H736" s="199"/>
      <c r="I736" s="221"/>
      <c r="J736" s="199"/>
      <c r="K736" s="221"/>
      <c r="L736" s="221"/>
      <c r="M736" s="202"/>
      <c r="N736" s="202"/>
    </row>
    <row r="737">
      <c r="A737" s="198" t="s">
        <v>40</v>
      </c>
      <c r="B737" s="221">
        <f>2.5*B723</f>
        <v>2864.583333</v>
      </c>
      <c r="C737" s="221"/>
      <c r="D737" s="221"/>
      <c r="E737" s="221"/>
      <c r="F737" s="221"/>
      <c r="G737" s="199"/>
      <c r="H737" s="221"/>
      <c r="I737" s="199"/>
      <c r="J737" s="199"/>
      <c r="K737" s="199"/>
      <c r="L737" s="199"/>
      <c r="M737" s="221">
        <f>2*M723</f>
        <v>1562.5</v>
      </c>
      <c r="N737" s="251"/>
      <c r="O737" s="125"/>
    </row>
    <row r="738">
      <c r="A738" s="200" t="s">
        <v>200</v>
      </c>
      <c r="B738" s="211"/>
      <c r="C738" s="222"/>
      <c r="D738" s="211"/>
      <c r="E738" s="222"/>
      <c r="F738" s="222"/>
      <c r="G738" s="199"/>
      <c r="H738" s="199"/>
      <c r="I738" s="221"/>
      <c r="J738" s="199"/>
      <c r="K738" s="201"/>
      <c r="L738" s="201"/>
      <c r="M738" s="211"/>
      <c r="N738" s="252"/>
      <c r="O738" s="253"/>
    </row>
    <row r="739">
      <c r="A739" s="200"/>
      <c r="B739" s="255"/>
      <c r="C739" s="255"/>
      <c r="D739" s="255"/>
      <c r="E739" s="256"/>
      <c r="F739" s="256"/>
      <c r="G739" s="255"/>
      <c r="H739" s="255"/>
      <c r="I739" s="255"/>
      <c r="J739" s="255"/>
      <c r="K739" s="255"/>
      <c r="L739" s="255"/>
      <c r="M739" s="255"/>
      <c r="N739" s="257"/>
      <c r="O739" s="125"/>
    </row>
    <row r="740">
      <c r="A740" s="200" t="s">
        <v>250</v>
      </c>
      <c r="B740" s="255"/>
      <c r="C740" s="255"/>
      <c r="D740" s="255"/>
      <c r="E740" s="255" t="s">
        <v>304</v>
      </c>
      <c r="F740" s="255"/>
      <c r="G740" s="255"/>
      <c r="H740" s="255"/>
      <c r="I740" s="255"/>
      <c r="J740" s="255"/>
      <c r="K740" s="255"/>
      <c r="L740" s="255"/>
      <c r="M740" s="255"/>
      <c r="N740" s="257"/>
      <c r="O740" s="125"/>
    </row>
    <row r="741">
      <c r="A741" s="205" t="s">
        <v>118</v>
      </c>
      <c r="B741" s="206">
        <f>B719+B737</f>
        <v>57864.58333</v>
      </c>
      <c r="C741" s="226">
        <f t="shared" ref="C741:D741" si="259">C718</f>
        <v>67000</v>
      </c>
      <c r="D741" s="206">
        <f t="shared" si="259"/>
        <v>30000</v>
      </c>
      <c r="E741" s="226">
        <f>31250</f>
        <v>31250</v>
      </c>
      <c r="F741" s="206">
        <f>F719</f>
        <v>40000</v>
      </c>
      <c r="G741" s="226">
        <f>G718</f>
        <v>60000</v>
      </c>
      <c r="H741" s="206">
        <f>H720</f>
        <v>45000</v>
      </c>
      <c r="I741" s="206"/>
      <c r="J741" s="206">
        <f>J719</f>
        <v>27500</v>
      </c>
      <c r="K741" s="206">
        <f t="shared" ref="K741:L741" si="260">K720</f>
        <v>40000</v>
      </c>
      <c r="L741" s="206">
        <f t="shared" si="260"/>
        <v>35000</v>
      </c>
      <c r="M741" s="206">
        <f>M720-M737</f>
        <v>35937.5</v>
      </c>
      <c r="N741" s="209">
        <f>SUM(B741:M741)</f>
        <v>469552.0833</v>
      </c>
    </row>
    <row r="742">
      <c r="A742" s="126" t="s">
        <v>0</v>
      </c>
      <c r="B742" s="127" t="s">
        <v>90</v>
      </c>
      <c r="C742" s="127" t="s">
        <v>3</v>
      </c>
      <c r="D742" s="183" t="s">
        <v>289</v>
      </c>
      <c r="E742" s="183" t="s">
        <v>305</v>
      </c>
      <c r="F742" s="183" t="s">
        <v>155</v>
      </c>
      <c r="G742" s="183" t="s">
        <v>195</v>
      </c>
      <c r="H742" s="129" t="s">
        <v>260</v>
      </c>
      <c r="I742" s="129" t="s">
        <v>51</v>
      </c>
      <c r="J742" s="129" t="s">
        <v>232</v>
      </c>
      <c r="K742" s="129" t="s">
        <v>244</v>
      </c>
      <c r="L742" s="129" t="s">
        <v>247</v>
      </c>
      <c r="M742" s="129" t="s">
        <v>262</v>
      </c>
      <c r="N742" s="128" t="s">
        <v>110</v>
      </c>
    </row>
    <row r="743">
      <c r="A743" s="248"/>
      <c r="B743" s="241"/>
      <c r="C743" s="241"/>
      <c r="D743" s="249" t="s">
        <v>306</v>
      </c>
      <c r="E743" s="241"/>
      <c r="F743" s="241"/>
      <c r="G743" s="241"/>
      <c r="H743" s="241"/>
      <c r="I743" s="249" t="s">
        <v>307</v>
      </c>
      <c r="J743" s="249"/>
      <c r="K743" s="241"/>
      <c r="L743" s="241"/>
      <c r="M743" s="241"/>
      <c r="N743" s="241"/>
      <c r="O743" s="241"/>
      <c r="P743" s="241"/>
      <c r="Q743" s="243"/>
    </row>
    <row r="744">
      <c r="A744" s="126" t="s">
        <v>0</v>
      </c>
      <c r="B744" s="127" t="s">
        <v>90</v>
      </c>
      <c r="C744" s="127" t="s">
        <v>3</v>
      </c>
      <c r="D744" s="183" t="s">
        <v>289</v>
      </c>
      <c r="E744" s="183" t="s">
        <v>301</v>
      </c>
      <c r="F744" s="183" t="s">
        <v>155</v>
      </c>
      <c r="G744" s="183" t="s">
        <v>195</v>
      </c>
      <c r="H744" s="129" t="s">
        <v>260</v>
      </c>
      <c r="I744" s="129" t="s">
        <v>305</v>
      </c>
      <c r="J744" s="129" t="s">
        <v>232</v>
      </c>
      <c r="K744" s="129" t="s">
        <v>244</v>
      </c>
      <c r="L744" s="129" t="s">
        <v>252</v>
      </c>
      <c r="M744" s="129" t="s">
        <v>262</v>
      </c>
      <c r="N744" s="128" t="s">
        <v>110</v>
      </c>
    </row>
    <row r="745">
      <c r="A745" s="130" t="s">
        <v>181</v>
      </c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2"/>
    </row>
    <row r="746">
      <c r="A746" s="133" t="s">
        <v>111</v>
      </c>
      <c r="B746" s="134">
        <v>55000.0</v>
      </c>
      <c r="C746" s="134">
        <v>67000.0</v>
      </c>
      <c r="D746" s="134">
        <v>30000.0</v>
      </c>
      <c r="E746" s="134">
        <v>30000.0</v>
      </c>
      <c r="F746" s="134">
        <v>40000.0</v>
      </c>
      <c r="G746" s="134">
        <v>60000.0</v>
      </c>
      <c r="H746" s="134">
        <v>45000.0</v>
      </c>
      <c r="I746" s="134">
        <v>62500.0</v>
      </c>
      <c r="J746" s="134">
        <v>27500.0</v>
      </c>
      <c r="K746" s="134">
        <v>40000.0</v>
      </c>
      <c r="L746" s="134">
        <v>35000.0</v>
      </c>
      <c r="M746" s="134">
        <v>37500.0</v>
      </c>
      <c r="N746" s="136">
        <f t="shared" ref="N746:N749" si="261">SUM(B746:K746)</f>
        <v>457000</v>
      </c>
    </row>
    <row r="747">
      <c r="A747" s="137"/>
      <c r="B747" s="134">
        <v>55000.0</v>
      </c>
      <c r="C747" s="134">
        <v>67000.0</v>
      </c>
      <c r="D747" s="134">
        <v>30000.0</v>
      </c>
      <c r="E747" s="134">
        <v>30000.0</v>
      </c>
      <c r="F747" s="134">
        <v>40000.0</v>
      </c>
      <c r="G747" s="134">
        <v>60000.0</v>
      </c>
      <c r="H747" s="134">
        <v>45000.0</v>
      </c>
      <c r="I747" s="134">
        <v>62500.0</v>
      </c>
      <c r="J747" s="134">
        <v>27500.0</v>
      </c>
      <c r="K747" s="134">
        <v>40000.0</v>
      </c>
      <c r="L747" s="134">
        <v>35000.0</v>
      </c>
      <c r="M747" s="134">
        <v>37500.0</v>
      </c>
      <c r="N747" s="136">
        <f t="shared" si="261"/>
        <v>457000</v>
      </c>
      <c r="Q747" s="91"/>
    </row>
    <row r="748">
      <c r="A748" s="137"/>
      <c r="B748" s="134">
        <v>55000.0</v>
      </c>
      <c r="C748" s="134">
        <v>67000.0</v>
      </c>
      <c r="D748" s="134">
        <v>30000.0</v>
      </c>
      <c r="E748" s="134">
        <v>30000.0</v>
      </c>
      <c r="F748" s="134">
        <v>40000.0</v>
      </c>
      <c r="G748" s="134">
        <v>60000.0</v>
      </c>
      <c r="H748" s="134">
        <v>45000.0</v>
      </c>
      <c r="I748" s="134">
        <v>62500.0</v>
      </c>
      <c r="J748" s="134">
        <v>27500.0</v>
      </c>
      <c r="K748" s="134">
        <v>40000.0</v>
      </c>
      <c r="L748" s="134">
        <v>35000.0</v>
      </c>
      <c r="M748" s="134">
        <v>37500.0</v>
      </c>
      <c r="N748" s="136">
        <f t="shared" si="261"/>
        <v>457000</v>
      </c>
    </row>
    <row r="749">
      <c r="A749" s="138"/>
      <c r="B749" s="134">
        <v>55000.0</v>
      </c>
      <c r="C749" s="134">
        <v>67000.0</v>
      </c>
      <c r="D749" s="134">
        <v>30000.0</v>
      </c>
      <c r="E749" s="134">
        <v>30000.0</v>
      </c>
      <c r="F749" s="134">
        <v>40000.0</v>
      </c>
      <c r="G749" s="134">
        <v>60000.0</v>
      </c>
      <c r="H749" s="134">
        <v>45000.0</v>
      </c>
      <c r="I749" s="134">
        <v>62500.0</v>
      </c>
      <c r="J749" s="134">
        <v>27500.0</v>
      </c>
      <c r="K749" s="134">
        <v>40000.0</v>
      </c>
      <c r="L749" s="134">
        <v>35000.0</v>
      </c>
      <c r="M749" s="134">
        <v>37500.0</v>
      </c>
      <c r="N749" s="139">
        <f t="shared" si="261"/>
        <v>457000</v>
      </c>
    </row>
    <row r="750">
      <c r="A750" s="140" t="s">
        <v>113</v>
      </c>
      <c r="B750" s="141">
        <f t="shared" ref="B750:N750" si="262">SUM(B746:B749)</f>
        <v>220000</v>
      </c>
      <c r="C750" s="141">
        <f t="shared" si="262"/>
        <v>268000</v>
      </c>
      <c r="D750" s="141">
        <f t="shared" si="262"/>
        <v>120000</v>
      </c>
      <c r="E750" s="141">
        <f t="shared" si="262"/>
        <v>120000</v>
      </c>
      <c r="F750" s="141">
        <f t="shared" si="262"/>
        <v>160000</v>
      </c>
      <c r="G750" s="141">
        <f t="shared" si="262"/>
        <v>240000</v>
      </c>
      <c r="H750" s="141">
        <f t="shared" si="262"/>
        <v>180000</v>
      </c>
      <c r="I750" s="141">
        <f t="shared" si="262"/>
        <v>250000</v>
      </c>
      <c r="J750" s="141">
        <f t="shared" si="262"/>
        <v>110000</v>
      </c>
      <c r="K750" s="141">
        <f t="shared" si="262"/>
        <v>160000</v>
      </c>
      <c r="L750" s="141">
        <f t="shared" si="262"/>
        <v>140000</v>
      </c>
      <c r="M750" s="141">
        <f t="shared" si="262"/>
        <v>150000</v>
      </c>
      <c r="N750" s="141">
        <f t="shared" si="262"/>
        <v>1828000</v>
      </c>
    </row>
    <row r="751">
      <c r="A751" s="157" t="s">
        <v>138</v>
      </c>
      <c r="B751" s="158">
        <f>B747/6/8</f>
        <v>1145.833333</v>
      </c>
      <c r="C751" s="158">
        <f>C746/8/6</f>
        <v>1395.833333</v>
      </c>
      <c r="D751" s="158">
        <f>D746/6/8</f>
        <v>625</v>
      </c>
      <c r="E751" s="158"/>
      <c r="F751" s="158">
        <f t="shared" ref="F751:H751" si="263">F746/6/8</f>
        <v>833.3333333</v>
      </c>
      <c r="G751" s="158">
        <f t="shared" si="263"/>
        <v>1250</v>
      </c>
      <c r="H751" s="158">
        <f t="shared" si="263"/>
        <v>937.5</v>
      </c>
      <c r="I751" s="158">
        <f>I747/6/8</f>
        <v>1302.083333</v>
      </c>
      <c r="J751" s="158">
        <f>J746/8/6</f>
        <v>572.9166667</v>
      </c>
      <c r="K751" s="158">
        <f t="shared" ref="K751:L751" si="264">K746/6/8</f>
        <v>833.3333333</v>
      </c>
      <c r="L751" s="159">
        <f t="shared" si="264"/>
        <v>729.1666667</v>
      </c>
      <c r="M751" s="159">
        <f t="shared" ref="M751:N751" si="265">M749/6/8</f>
        <v>781.25</v>
      </c>
      <c r="N751" s="159">
        <f t="shared" si="265"/>
        <v>9520.833333</v>
      </c>
      <c r="O751" s="122"/>
    </row>
    <row r="754">
      <c r="A754" s="195" t="s">
        <v>308</v>
      </c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7"/>
    </row>
    <row r="755">
      <c r="A755" s="200" t="s">
        <v>288</v>
      </c>
      <c r="B755" s="222"/>
      <c r="C755" s="221"/>
      <c r="D755" s="199"/>
      <c r="E755" s="199"/>
      <c r="F755" s="199"/>
      <c r="G755" s="221"/>
      <c r="H755" s="199"/>
      <c r="I755" s="221"/>
      <c r="J755" s="199"/>
      <c r="K755" s="221"/>
      <c r="L755" s="221"/>
      <c r="M755" s="202"/>
      <c r="N755" s="202"/>
    </row>
    <row r="756">
      <c r="A756" s="198" t="s">
        <v>40</v>
      </c>
      <c r="B756" s="221">
        <f>2.5*B733</f>
        <v>0</v>
      </c>
      <c r="C756" s="221"/>
      <c r="D756" s="221"/>
      <c r="E756" s="221"/>
      <c r="F756" s="221"/>
      <c r="G756" s="199"/>
      <c r="H756" s="221"/>
      <c r="I756" s="199"/>
      <c r="J756" s="199"/>
      <c r="K756" s="199"/>
      <c r="L756" s="199"/>
      <c r="M756" s="221">
        <f>7.5*M751</f>
        <v>5859.375</v>
      </c>
      <c r="N756" s="251"/>
      <c r="O756" s="125"/>
    </row>
    <row r="757">
      <c r="A757" s="200" t="s">
        <v>200</v>
      </c>
      <c r="B757" s="211"/>
      <c r="C757" s="222"/>
      <c r="D757" s="211"/>
      <c r="E757" s="222"/>
      <c r="F757" s="222"/>
      <c r="G757" s="199"/>
      <c r="H757" s="199"/>
      <c r="I757" s="221"/>
      <c r="J757" s="199"/>
      <c r="K757" s="201"/>
      <c r="L757" s="201"/>
      <c r="M757" s="211"/>
      <c r="N757" s="252"/>
      <c r="O757" s="253"/>
    </row>
    <row r="758">
      <c r="A758" s="200"/>
      <c r="B758" s="255"/>
      <c r="C758" s="255"/>
      <c r="D758" s="255"/>
      <c r="E758" s="256"/>
      <c r="F758" s="256"/>
      <c r="G758" s="255"/>
      <c r="H758" s="255"/>
      <c r="I758" s="255"/>
      <c r="J758" s="255"/>
      <c r="K758" s="255"/>
      <c r="L758" s="255"/>
      <c r="M758" s="255"/>
      <c r="N758" s="257"/>
      <c r="O758" s="125"/>
    </row>
    <row r="759">
      <c r="A759" s="200" t="s">
        <v>250</v>
      </c>
      <c r="B759" s="255"/>
      <c r="C759" s="255"/>
      <c r="D759" s="255"/>
      <c r="E759" s="255"/>
      <c r="F759" s="255"/>
      <c r="G759" s="255"/>
      <c r="H759" s="255"/>
      <c r="I759" s="255"/>
      <c r="J759" s="255"/>
      <c r="K759" s="255"/>
      <c r="L759" s="255"/>
      <c r="M759" s="255"/>
      <c r="N759" s="257"/>
      <c r="O759" s="125"/>
    </row>
    <row r="760">
      <c r="A760" s="205" t="s">
        <v>118</v>
      </c>
      <c r="B760" s="206">
        <f t="shared" ref="B760:C760" si="266">B720</f>
        <v>55000</v>
      </c>
      <c r="C760" s="226">
        <f t="shared" si="266"/>
        <v>67000</v>
      </c>
      <c r="D760" s="206">
        <f>D747</f>
        <v>30000</v>
      </c>
      <c r="E760" s="226">
        <f>E721</f>
        <v>30000</v>
      </c>
      <c r="F760" s="206">
        <f>F718</f>
        <v>40000</v>
      </c>
      <c r="G760" s="226">
        <f>G721</f>
        <v>60000</v>
      </c>
      <c r="H760" s="206">
        <f>H720</f>
        <v>45000</v>
      </c>
      <c r="I760" s="206">
        <f t="shared" ref="I760:J760" si="267">I747</f>
        <v>62500</v>
      </c>
      <c r="J760" s="206">
        <f t="shared" si="267"/>
        <v>27500</v>
      </c>
      <c r="K760" s="206">
        <f t="shared" ref="K760:L760" si="268">K749</f>
        <v>40000</v>
      </c>
      <c r="L760" s="206">
        <f t="shared" si="268"/>
        <v>35000</v>
      </c>
      <c r="M760" s="206">
        <f>M749-M756</f>
        <v>31640.625</v>
      </c>
      <c r="N760" s="209">
        <f>SUM(B760:M760)</f>
        <v>523640.625</v>
      </c>
    </row>
    <row r="761">
      <c r="A761" s="126" t="s">
        <v>0</v>
      </c>
      <c r="B761" s="127" t="s">
        <v>90</v>
      </c>
      <c r="C761" s="127" t="s">
        <v>3</v>
      </c>
      <c r="D761" s="183" t="s">
        <v>289</v>
      </c>
      <c r="E761" s="183" t="s">
        <v>5</v>
      </c>
      <c r="F761" s="183" t="s">
        <v>155</v>
      </c>
      <c r="G761" s="183" t="s">
        <v>195</v>
      </c>
      <c r="H761" s="129" t="s">
        <v>260</v>
      </c>
      <c r="I761" s="129" t="s">
        <v>305</v>
      </c>
      <c r="J761" s="129" t="s">
        <v>232</v>
      </c>
      <c r="K761" s="129" t="s">
        <v>244</v>
      </c>
      <c r="L761" s="129" t="s">
        <v>247</v>
      </c>
      <c r="M761" s="129" t="s">
        <v>262</v>
      </c>
      <c r="N761" s="128" t="s">
        <v>110</v>
      </c>
    </row>
    <row r="763">
      <c r="A763" s="195" t="s">
        <v>309</v>
      </c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7"/>
    </row>
    <row r="764">
      <c r="A764" s="200" t="s">
        <v>288</v>
      </c>
      <c r="B764" s="222"/>
      <c r="C764" s="221"/>
      <c r="D764" s="199"/>
      <c r="E764" s="199"/>
      <c r="F764" s="199"/>
      <c r="G764" s="221"/>
      <c r="H764" s="199"/>
      <c r="I764" s="221"/>
      <c r="J764" s="199"/>
      <c r="K764" s="221"/>
      <c r="L764" s="221"/>
      <c r="M764" s="202"/>
      <c r="N764" s="202"/>
    </row>
    <row r="765">
      <c r="A765" s="198" t="s">
        <v>40</v>
      </c>
      <c r="B765" s="221"/>
      <c r="C765" s="221"/>
      <c r="D765" s="221"/>
      <c r="E765" s="221"/>
      <c r="F765" s="221"/>
      <c r="G765" s="199"/>
      <c r="H765" s="221"/>
      <c r="I765" s="199"/>
      <c r="J765" s="199"/>
      <c r="K765" s="199"/>
      <c r="L765" s="199"/>
      <c r="M765" s="221"/>
      <c r="N765" s="251"/>
      <c r="O765" s="125"/>
    </row>
    <row r="766">
      <c r="A766" s="200" t="s">
        <v>200</v>
      </c>
      <c r="B766" s="211"/>
      <c r="C766" s="222"/>
      <c r="D766" s="211"/>
      <c r="E766" s="222"/>
      <c r="F766" s="222"/>
      <c r="G766" s="199"/>
      <c r="H766" s="199"/>
      <c r="I766" s="221"/>
      <c r="J766" s="199"/>
      <c r="K766" s="201"/>
      <c r="L766" s="201"/>
      <c r="M766" s="211"/>
      <c r="N766" s="252"/>
      <c r="O766" s="253"/>
    </row>
    <row r="767">
      <c r="A767" s="200" t="s">
        <v>295</v>
      </c>
      <c r="B767" s="255"/>
      <c r="C767" s="255">
        <f>8*C751</f>
        <v>11166.66667</v>
      </c>
      <c r="D767" s="255">
        <f>8*(50000/8/6)</f>
        <v>8333.333333</v>
      </c>
      <c r="E767" s="256"/>
      <c r="F767" s="256">
        <f>8*F751</f>
        <v>6666.666667</v>
      </c>
      <c r="G767" s="255"/>
      <c r="H767" s="255"/>
      <c r="I767" s="255">
        <f>6*I751</f>
        <v>7812.5</v>
      </c>
      <c r="J767" s="255">
        <f>5*J751</f>
        <v>2864.583333</v>
      </c>
      <c r="K767" s="255">
        <f>7*K751</f>
        <v>5833.333333</v>
      </c>
      <c r="L767" s="255">
        <f>5*L751</f>
        <v>3645.833333</v>
      </c>
      <c r="M767" s="255"/>
      <c r="N767" s="257"/>
      <c r="O767" s="125"/>
    </row>
    <row r="768">
      <c r="A768" s="200" t="s">
        <v>250</v>
      </c>
      <c r="B768" s="255"/>
      <c r="C768" s="255"/>
      <c r="D768" s="255"/>
      <c r="E768" s="255"/>
      <c r="F768" s="255"/>
      <c r="G768" s="255"/>
      <c r="H768" s="255"/>
      <c r="I768" s="255"/>
      <c r="J768" s="255"/>
      <c r="K768" s="255"/>
      <c r="L768" s="255"/>
      <c r="M768" s="255"/>
      <c r="N768" s="257"/>
      <c r="O768" s="125"/>
    </row>
    <row r="769">
      <c r="A769" s="205" t="s">
        <v>118</v>
      </c>
      <c r="B769" s="206">
        <f t="shared" ref="B769:C769" si="269">B749</f>
        <v>55000</v>
      </c>
      <c r="C769" s="206">
        <f t="shared" si="269"/>
        <v>67000</v>
      </c>
      <c r="D769" s="226">
        <v>50000.0</v>
      </c>
      <c r="E769" s="206">
        <f t="shared" ref="E769:M769" si="270">E749</f>
        <v>30000</v>
      </c>
      <c r="F769" s="206">
        <f t="shared" si="270"/>
        <v>40000</v>
      </c>
      <c r="G769" s="206">
        <f t="shared" si="270"/>
        <v>60000</v>
      </c>
      <c r="H769" s="206">
        <f t="shared" si="270"/>
        <v>45000</v>
      </c>
      <c r="I769" s="206">
        <f t="shared" si="270"/>
        <v>62500</v>
      </c>
      <c r="J769" s="206">
        <f t="shared" si="270"/>
        <v>27500</v>
      </c>
      <c r="K769" s="206">
        <f t="shared" si="270"/>
        <v>40000</v>
      </c>
      <c r="L769" s="206">
        <f t="shared" si="270"/>
        <v>35000</v>
      </c>
      <c r="M769" s="206">
        <f t="shared" si="270"/>
        <v>37500</v>
      </c>
      <c r="N769" s="209">
        <f>SUM(B769:M769)</f>
        <v>549500</v>
      </c>
    </row>
    <row r="770">
      <c r="A770" s="126" t="s">
        <v>0</v>
      </c>
      <c r="B770" s="127" t="s">
        <v>90</v>
      </c>
      <c r="C770" s="127" t="s">
        <v>3</v>
      </c>
      <c r="D770" s="183" t="s">
        <v>310</v>
      </c>
      <c r="E770" s="183" t="s">
        <v>5</v>
      </c>
      <c r="F770" s="183" t="s">
        <v>155</v>
      </c>
      <c r="G770" s="183" t="s">
        <v>195</v>
      </c>
      <c r="H770" s="129" t="s">
        <v>260</v>
      </c>
      <c r="I770" s="129" t="s">
        <v>305</v>
      </c>
      <c r="J770" s="129" t="s">
        <v>232</v>
      </c>
      <c r="K770" s="129" t="s">
        <v>244</v>
      </c>
      <c r="L770" s="129" t="s">
        <v>247</v>
      </c>
      <c r="M770" s="129" t="s">
        <v>262</v>
      </c>
      <c r="N770" s="128" t="s">
        <v>110</v>
      </c>
    </row>
    <row r="772">
      <c r="A772" s="195" t="s">
        <v>311</v>
      </c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7"/>
    </row>
    <row r="773">
      <c r="A773" s="200" t="s">
        <v>288</v>
      </c>
      <c r="B773" s="222"/>
      <c r="C773" s="221"/>
      <c r="D773" s="199"/>
      <c r="E773" s="199"/>
      <c r="F773" s="199"/>
      <c r="G773" s="221"/>
      <c r="H773" s="199"/>
      <c r="I773" s="221"/>
      <c r="J773" s="199"/>
      <c r="K773" s="221"/>
      <c r="L773" s="221"/>
      <c r="M773" s="202"/>
    </row>
    <row r="774">
      <c r="A774" s="198" t="s">
        <v>40</v>
      </c>
      <c r="B774" s="221"/>
      <c r="C774" s="221"/>
      <c r="D774" s="221"/>
      <c r="E774" s="221"/>
      <c r="F774" s="221"/>
      <c r="G774" s="199"/>
      <c r="H774" s="221"/>
      <c r="I774" s="199">
        <f>I751*4</f>
        <v>5208.333333</v>
      </c>
      <c r="J774" s="199"/>
      <c r="K774" s="199"/>
      <c r="L774" s="199"/>
      <c r="M774" s="251"/>
      <c r="N774" s="125"/>
    </row>
    <row r="775">
      <c r="A775" s="200" t="s">
        <v>200</v>
      </c>
      <c r="B775" s="211"/>
      <c r="C775" s="222"/>
      <c r="D775" s="211"/>
      <c r="E775" s="222"/>
      <c r="F775" s="222"/>
      <c r="G775" s="199"/>
      <c r="H775" s="199"/>
      <c r="I775" s="221"/>
      <c r="J775" s="199"/>
      <c r="K775" s="201"/>
      <c r="L775" s="201"/>
      <c r="M775" s="252"/>
      <c r="N775" s="253"/>
    </row>
    <row r="776">
      <c r="A776" s="200" t="s">
        <v>295</v>
      </c>
      <c r="B776" s="255"/>
      <c r="C776" s="255"/>
      <c r="D776" s="255"/>
      <c r="E776" s="256"/>
      <c r="F776" s="256"/>
      <c r="G776" s="255"/>
      <c r="H776" s="255"/>
      <c r="I776" s="255"/>
      <c r="J776" s="255"/>
      <c r="K776" s="255"/>
      <c r="L776" s="255"/>
      <c r="M776" s="257"/>
      <c r="N776" s="125"/>
    </row>
    <row r="777">
      <c r="A777" s="200" t="s">
        <v>250</v>
      </c>
      <c r="B777" s="255"/>
      <c r="C777" s="255"/>
      <c r="D777" s="255"/>
      <c r="E777" s="255"/>
      <c r="F777" s="255"/>
      <c r="G777" s="255"/>
      <c r="H777" s="255"/>
      <c r="I777" s="255"/>
      <c r="J777" s="255"/>
      <c r="K777" s="255"/>
      <c r="L777" s="255"/>
      <c r="M777" s="257"/>
      <c r="N777" s="125"/>
    </row>
    <row r="778">
      <c r="A778" s="205" t="s">
        <v>118</v>
      </c>
      <c r="B778" s="226">
        <v>55000.0</v>
      </c>
      <c r="C778" s="226">
        <v>67000.0</v>
      </c>
      <c r="D778" s="226">
        <v>50000.0</v>
      </c>
      <c r="E778" s="226">
        <v>30000.0</v>
      </c>
      <c r="F778" s="226">
        <v>40000.0</v>
      </c>
      <c r="G778" s="226">
        <v>60000.0</v>
      </c>
      <c r="H778" s="226">
        <v>45000.0</v>
      </c>
      <c r="I778" s="226">
        <v>62500.0</v>
      </c>
      <c r="J778" s="226">
        <v>27500.0</v>
      </c>
      <c r="K778" s="226">
        <v>40000.0</v>
      </c>
      <c r="L778" s="226">
        <v>35000.0</v>
      </c>
      <c r="M778" s="206">
        <f>SUM(B778:K778)</f>
        <v>477000</v>
      </c>
    </row>
    <row r="779">
      <c r="A779" s="126" t="s">
        <v>0</v>
      </c>
      <c r="B779" s="127" t="s">
        <v>90</v>
      </c>
      <c r="C779" s="127" t="s">
        <v>3</v>
      </c>
      <c r="D779" s="183" t="s">
        <v>310</v>
      </c>
      <c r="E779" s="183" t="s">
        <v>5</v>
      </c>
      <c r="F779" s="183" t="s">
        <v>155</v>
      </c>
      <c r="G779" s="183" t="s">
        <v>195</v>
      </c>
      <c r="H779" s="129" t="s">
        <v>260</v>
      </c>
      <c r="I779" s="129" t="s">
        <v>305</v>
      </c>
      <c r="J779" s="129" t="s">
        <v>232</v>
      </c>
      <c r="K779" s="129" t="s">
        <v>244</v>
      </c>
      <c r="L779" s="129" t="s">
        <v>247</v>
      </c>
      <c r="M779" s="128" t="s">
        <v>110</v>
      </c>
    </row>
    <row r="782">
      <c r="A782" s="126" t="s">
        <v>0</v>
      </c>
      <c r="B782" s="127" t="s">
        <v>90</v>
      </c>
      <c r="C782" s="127" t="s">
        <v>3</v>
      </c>
      <c r="D782" s="183" t="s">
        <v>312</v>
      </c>
      <c r="E782" s="183" t="s">
        <v>301</v>
      </c>
      <c r="F782" s="183" t="s">
        <v>155</v>
      </c>
      <c r="G782" s="183" t="s">
        <v>195</v>
      </c>
      <c r="H782" s="129" t="s">
        <v>260</v>
      </c>
      <c r="I782" s="129" t="s">
        <v>305</v>
      </c>
      <c r="J782" s="129" t="s">
        <v>232</v>
      </c>
      <c r="K782" s="129" t="s">
        <v>244</v>
      </c>
      <c r="L782" s="129" t="s">
        <v>252</v>
      </c>
      <c r="M782" s="129"/>
      <c r="N782" s="128" t="s">
        <v>110</v>
      </c>
    </row>
    <row r="783">
      <c r="A783" s="130" t="s">
        <v>187</v>
      </c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2"/>
    </row>
    <row r="784">
      <c r="A784" s="133" t="s">
        <v>111</v>
      </c>
      <c r="B784" s="134">
        <v>55000.0</v>
      </c>
      <c r="C784" s="134">
        <v>67000.0</v>
      </c>
      <c r="D784" s="134">
        <v>50000.0</v>
      </c>
      <c r="E784" s="134">
        <v>30000.0</v>
      </c>
      <c r="F784" s="134">
        <v>40000.0</v>
      </c>
      <c r="G784" s="134">
        <v>67500.0</v>
      </c>
      <c r="H784" s="134">
        <v>45000.0</v>
      </c>
      <c r="I784" s="134">
        <v>62500.0</v>
      </c>
      <c r="J784" s="134">
        <v>30000.0</v>
      </c>
      <c r="K784" s="134">
        <v>40000.0</v>
      </c>
      <c r="L784" s="134">
        <v>35000.0</v>
      </c>
      <c r="M784" s="134"/>
      <c r="N784" s="136">
        <f t="shared" ref="N784:N787" si="271">SUM(B784:K784)</f>
        <v>487000</v>
      </c>
    </row>
    <row r="785">
      <c r="A785" s="137"/>
      <c r="B785" s="134">
        <v>55000.0</v>
      </c>
      <c r="C785" s="134">
        <v>67000.0</v>
      </c>
      <c r="D785" s="134">
        <v>50000.0</v>
      </c>
      <c r="E785" s="134">
        <v>30000.0</v>
      </c>
      <c r="F785" s="134">
        <v>40000.0</v>
      </c>
      <c r="G785" s="134">
        <v>67500.0</v>
      </c>
      <c r="H785" s="134">
        <v>45000.0</v>
      </c>
      <c r="I785" s="134">
        <v>62500.0</v>
      </c>
      <c r="J785" s="134">
        <v>30000.0</v>
      </c>
      <c r="K785" s="134">
        <v>40000.0</v>
      </c>
      <c r="L785" s="134">
        <v>35000.0</v>
      </c>
      <c r="M785" s="134"/>
      <c r="N785" s="136">
        <f t="shared" si="271"/>
        <v>487000</v>
      </c>
      <c r="Q785" s="91"/>
    </row>
    <row r="786">
      <c r="A786" s="137"/>
      <c r="B786" s="134">
        <v>55000.0</v>
      </c>
      <c r="C786" s="134">
        <v>67000.0</v>
      </c>
      <c r="D786" s="134">
        <v>50000.0</v>
      </c>
      <c r="E786" s="134">
        <v>30000.0</v>
      </c>
      <c r="F786" s="134">
        <v>40000.0</v>
      </c>
      <c r="G786" s="134">
        <v>67500.0</v>
      </c>
      <c r="H786" s="134">
        <v>45000.0</v>
      </c>
      <c r="I786" s="134">
        <v>62500.0</v>
      </c>
      <c r="J786" s="134">
        <v>30000.0</v>
      </c>
      <c r="K786" s="134">
        <v>40000.0</v>
      </c>
      <c r="L786" s="134">
        <v>35000.0</v>
      </c>
      <c r="M786" s="134"/>
      <c r="N786" s="136">
        <f t="shared" si="271"/>
        <v>487000</v>
      </c>
    </row>
    <row r="787">
      <c r="A787" s="138"/>
      <c r="B787" s="134">
        <v>55000.0</v>
      </c>
      <c r="C787" s="134">
        <v>67000.0</v>
      </c>
      <c r="D787" s="134">
        <v>50000.0</v>
      </c>
      <c r="E787" s="134">
        <v>30000.0</v>
      </c>
      <c r="F787" s="134">
        <v>40000.0</v>
      </c>
      <c r="G787" s="134">
        <v>67500.0</v>
      </c>
      <c r="H787" s="134">
        <v>45000.0</v>
      </c>
      <c r="I787" s="134">
        <v>62500.0</v>
      </c>
      <c r="J787" s="134">
        <v>30000.0</v>
      </c>
      <c r="K787" s="134">
        <v>40000.0</v>
      </c>
      <c r="L787" s="134">
        <v>35000.0</v>
      </c>
      <c r="M787" s="134"/>
      <c r="N787" s="139">
        <f t="shared" si="271"/>
        <v>487000</v>
      </c>
    </row>
    <row r="788">
      <c r="A788" s="140" t="s">
        <v>113</v>
      </c>
      <c r="B788" s="141">
        <f t="shared" ref="B788:L788" si="272">SUM(B784:B787)</f>
        <v>220000</v>
      </c>
      <c r="C788" s="141">
        <f t="shared" si="272"/>
        <v>268000</v>
      </c>
      <c r="D788" s="141">
        <f t="shared" si="272"/>
        <v>200000</v>
      </c>
      <c r="E788" s="141">
        <f t="shared" si="272"/>
        <v>120000</v>
      </c>
      <c r="F788" s="141">
        <f t="shared" si="272"/>
        <v>160000</v>
      </c>
      <c r="G788" s="141">
        <f t="shared" si="272"/>
        <v>270000</v>
      </c>
      <c r="H788" s="141">
        <f t="shared" si="272"/>
        <v>180000</v>
      </c>
      <c r="I788" s="141">
        <f t="shared" si="272"/>
        <v>250000</v>
      </c>
      <c r="J788" s="141">
        <f t="shared" si="272"/>
        <v>120000</v>
      </c>
      <c r="K788" s="141">
        <f t="shared" si="272"/>
        <v>160000</v>
      </c>
      <c r="L788" s="141">
        <f t="shared" si="272"/>
        <v>140000</v>
      </c>
      <c r="M788" s="141"/>
      <c r="N788" s="141">
        <f>SUM(N784:N787)</f>
        <v>1948000</v>
      </c>
    </row>
    <row r="789">
      <c r="A789" s="157" t="s">
        <v>138</v>
      </c>
      <c r="B789" s="158">
        <f>B785/6/8</f>
        <v>1145.833333</v>
      </c>
      <c r="C789" s="158">
        <f>C784/8/6</f>
        <v>1395.833333</v>
      </c>
      <c r="D789" s="158">
        <f>D784/6/8</f>
        <v>1041.666667</v>
      </c>
      <c r="E789" s="158"/>
      <c r="F789" s="158">
        <f t="shared" ref="F789:H789" si="273">F784/6/8</f>
        <v>833.3333333</v>
      </c>
      <c r="G789" s="158">
        <f t="shared" si="273"/>
        <v>1406.25</v>
      </c>
      <c r="H789" s="158">
        <f t="shared" si="273"/>
        <v>937.5</v>
      </c>
      <c r="I789" s="158">
        <f>I785/6/8</f>
        <v>1302.083333</v>
      </c>
      <c r="J789" s="158">
        <f>J784/8/6</f>
        <v>625</v>
      </c>
      <c r="K789" s="158">
        <f t="shared" ref="K789:L789" si="274">K784/6/8</f>
        <v>833.3333333</v>
      </c>
      <c r="L789" s="159">
        <f t="shared" si="274"/>
        <v>729.1666667</v>
      </c>
      <c r="M789" s="159">
        <f t="shared" ref="M789:N789" si="275">M787/6/8</f>
        <v>0</v>
      </c>
      <c r="N789" s="159">
        <f t="shared" si="275"/>
        <v>10145.83333</v>
      </c>
      <c r="O789" s="122"/>
    </row>
    <row r="791">
      <c r="A791" s="195" t="s">
        <v>313</v>
      </c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7"/>
    </row>
    <row r="792">
      <c r="A792" s="200" t="s">
        <v>288</v>
      </c>
      <c r="B792" s="222"/>
      <c r="C792" s="221"/>
      <c r="D792" s="199"/>
      <c r="E792" s="199"/>
      <c r="F792" s="199"/>
      <c r="G792" s="221"/>
      <c r="H792" s="199"/>
      <c r="I792" s="221"/>
      <c r="J792" s="199"/>
      <c r="K792" s="221"/>
      <c r="L792" s="221"/>
      <c r="M792" s="202"/>
    </row>
    <row r="793">
      <c r="A793" s="198" t="s">
        <v>40</v>
      </c>
      <c r="B793" s="221"/>
      <c r="C793" s="221"/>
      <c r="D793" s="221"/>
      <c r="E793" s="221"/>
      <c r="F793" s="221"/>
      <c r="G793" s="199"/>
      <c r="H793" s="221"/>
      <c r="I793" s="199"/>
      <c r="J793" s="199"/>
      <c r="K793" s="199"/>
      <c r="L793" s="199"/>
      <c r="M793" s="251"/>
      <c r="N793" s="125"/>
    </row>
    <row r="794">
      <c r="A794" s="200" t="s">
        <v>251</v>
      </c>
      <c r="B794" s="211"/>
      <c r="C794" s="222"/>
      <c r="D794" s="211"/>
      <c r="E794" s="222"/>
      <c r="F794" s="222"/>
      <c r="G794" s="199"/>
      <c r="H794" s="199"/>
      <c r="I794" s="221"/>
      <c r="J794" s="199"/>
      <c r="K794" s="201"/>
      <c r="L794" s="201"/>
      <c r="M794" s="252"/>
      <c r="N794" s="253"/>
    </row>
    <row r="795">
      <c r="A795" s="200" t="s">
        <v>295</v>
      </c>
      <c r="B795" s="255">
        <f>8*B789</f>
        <v>9166.666667</v>
      </c>
      <c r="C795" s="255" t="s">
        <v>314</v>
      </c>
      <c r="D795" s="255" t="s">
        <v>315</v>
      </c>
      <c r="E795" s="256" t="s">
        <v>314</v>
      </c>
      <c r="F795" s="256">
        <f t="shared" ref="F795:H795" si="276">8*F789</f>
        <v>6666.666667</v>
      </c>
      <c r="G795" s="255">
        <f t="shared" si="276"/>
        <v>11250</v>
      </c>
      <c r="H795" s="255">
        <f t="shared" si="276"/>
        <v>7500</v>
      </c>
      <c r="I795" s="255">
        <f>6*I789</f>
        <v>7812.5</v>
      </c>
      <c r="J795" s="255">
        <f>4*J789</f>
        <v>2500</v>
      </c>
      <c r="K795" s="255">
        <f>8*K789</f>
        <v>6666.666667</v>
      </c>
      <c r="L795" s="255">
        <f>6*L789</f>
        <v>4375</v>
      </c>
      <c r="M795" s="257"/>
      <c r="N795" s="125"/>
    </row>
    <row r="796">
      <c r="A796" s="200" t="s">
        <v>250</v>
      </c>
      <c r="B796" s="255"/>
      <c r="C796" s="255"/>
      <c r="D796" s="255"/>
      <c r="E796" s="255"/>
      <c r="F796" s="255"/>
      <c r="G796" s="255"/>
      <c r="H796" s="255"/>
      <c r="I796" s="255"/>
      <c r="J796" s="255"/>
      <c r="K796" s="255"/>
      <c r="L796" s="255"/>
      <c r="M796" s="257"/>
      <c r="N796" s="125"/>
    </row>
    <row r="797">
      <c r="A797" s="205" t="s">
        <v>118</v>
      </c>
      <c r="B797" s="226">
        <f>55000+B795</f>
        <v>64166.66667</v>
      </c>
      <c r="C797" s="226">
        <v>67000.0</v>
      </c>
      <c r="D797" s="226">
        <v>50000.0</v>
      </c>
      <c r="E797" s="226">
        <f>30000</f>
        <v>30000</v>
      </c>
      <c r="F797" s="226">
        <f>40000+F795</f>
        <v>46666.66667</v>
      </c>
      <c r="G797" s="226">
        <f>G786+G795</f>
        <v>78750</v>
      </c>
      <c r="H797" s="226">
        <f>45000+H795</f>
        <v>52500</v>
      </c>
      <c r="I797" s="226">
        <f>62500+I795</f>
        <v>70312.5</v>
      </c>
      <c r="J797" s="226">
        <f>J787+J795</f>
        <v>32500</v>
      </c>
      <c r="K797" s="226">
        <f>40000+K795</f>
        <v>46666.66667</v>
      </c>
      <c r="L797" s="226">
        <f>35000+L795</f>
        <v>39375</v>
      </c>
      <c r="M797" s="206">
        <f>SUM(B797:K797)</f>
        <v>538562.5</v>
      </c>
    </row>
    <row r="798">
      <c r="A798" s="126" t="s">
        <v>0</v>
      </c>
      <c r="B798" s="127" t="s">
        <v>90</v>
      </c>
      <c r="C798" s="127" t="s">
        <v>3</v>
      </c>
      <c r="D798" s="183" t="s">
        <v>310</v>
      </c>
      <c r="E798" s="183" t="s">
        <v>5</v>
      </c>
      <c r="F798" s="183" t="s">
        <v>155</v>
      </c>
      <c r="G798" s="183" t="s">
        <v>195</v>
      </c>
      <c r="H798" s="129" t="s">
        <v>260</v>
      </c>
      <c r="I798" s="129" t="s">
        <v>305</v>
      </c>
      <c r="J798" s="129" t="s">
        <v>232</v>
      </c>
      <c r="K798" s="129" t="s">
        <v>244</v>
      </c>
      <c r="L798" s="129" t="s">
        <v>247</v>
      </c>
      <c r="M798" s="128" t="s">
        <v>110</v>
      </c>
    </row>
    <row r="800">
      <c r="A800" s="195" t="s">
        <v>316</v>
      </c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7"/>
    </row>
    <row r="801">
      <c r="A801" s="200" t="s">
        <v>288</v>
      </c>
      <c r="B801" s="222"/>
      <c r="C801" s="221"/>
      <c r="D801" s="199"/>
      <c r="E801" s="199"/>
      <c r="F801" s="199"/>
      <c r="G801" s="221"/>
      <c r="H801" s="199"/>
      <c r="I801" s="221"/>
      <c r="J801" s="199"/>
      <c r="K801" s="221"/>
      <c r="L801" s="221"/>
      <c r="M801" s="202"/>
    </row>
    <row r="802">
      <c r="A802" s="198" t="s">
        <v>40</v>
      </c>
      <c r="B802" s="221"/>
      <c r="C802" s="221"/>
      <c r="D802" s="221"/>
      <c r="E802" s="221"/>
      <c r="F802" s="221"/>
      <c r="G802" s="199"/>
      <c r="H802" s="221"/>
      <c r="I802" s="199"/>
      <c r="J802" s="199"/>
      <c r="K802" s="199"/>
      <c r="L802" s="199"/>
      <c r="M802" s="251"/>
      <c r="N802" s="125"/>
    </row>
    <row r="803">
      <c r="A803" s="200" t="s">
        <v>251</v>
      </c>
      <c r="B803" s="211"/>
      <c r="C803" s="222"/>
      <c r="D803" s="211"/>
      <c r="E803" s="222"/>
      <c r="F803" s="222"/>
      <c r="G803" s="199"/>
      <c r="H803" s="199"/>
      <c r="I803" s="221"/>
      <c r="J803" s="199"/>
      <c r="K803" s="201"/>
      <c r="L803" s="201"/>
      <c r="M803" s="252"/>
      <c r="N803" s="253"/>
    </row>
    <row r="804">
      <c r="A804" s="200" t="s">
        <v>295</v>
      </c>
      <c r="B804" s="255"/>
      <c r="C804" s="255"/>
      <c r="D804" s="255"/>
      <c r="E804" s="256"/>
      <c r="F804" s="256"/>
      <c r="G804" s="255"/>
      <c r="H804" s="255"/>
      <c r="I804" s="255"/>
      <c r="J804" s="255"/>
      <c r="K804" s="255"/>
      <c r="L804" s="255"/>
      <c r="M804" s="257"/>
      <c r="N804" s="125"/>
    </row>
    <row r="805">
      <c r="A805" s="200" t="s">
        <v>250</v>
      </c>
      <c r="B805" s="255"/>
      <c r="C805" s="255"/>
      <c r="D805" s="255"/>
      <c r="E805" s="255"/>
      <c r="F805" s="255"/>
      <c r="G805" s="255"/>
      <c r="H805" s="255"/>
      <c r="I805" s="255"/>
      <c r="J805" s="255"/>
      <c r="K805" s="255"/>
      <c r="L805" s="255"/>
      <c r="M805" s="257"/>
      <c r="N805" s="125"/>
    </row>
    <row r="806">
      <c r="A806" s="205" t="s">
        <v>118</v>
      </c>
      <c r="B806" s="226">
        <f>55000+B804</f>
        <v>55000</v>
      </c>
      <c r="C806" s="226">
        <v>67000.0</v>
      </c>
      <c r="D806" s="226">
        <v>50000.0</v>
      </c>
      <c r="E806" s="226">
        <v>30000.0</v>
      </c>
      <c r="F806" s="226">
        <f>40000+F804</f>
        <v>40000</v>
      </c>
      <c r="G806" s="226">
        <f>G787</f>
        <v>67500</v>
      </c>
      <c r="H806" s="226">
        <f>45000+H804</f>
        <v>45000</v>
      </c>
      <c r="I806" s="226">
        <f>62500+I804</f>
        <v>62500</v>
      </c>
      <c r="J806" s="226">
        <f>J785</f>
        <v>30000</v>
      </c>
      <c r="K806" s="226">
        <f>40000+K804</f>
        <v>40000</v>
      </c>
      <c r="L806" s="226">
        <v>45000.0</v>
      </c>
      <c r="M806" s="206">
        <f>SUM(B806:K806)</f>
        <v>487000</v>
      </c>
    </row>
    <row r="807">
      <c r="A807" s="126" t="s">
        <v>0</v>
      </c>
      <c r="B807" s="127" t="s">
        <v>90</v>
      </c>
      <c r="C807" s="127" t="s">
        <v>3</v>
      </c>
      <c r="D807" s="183" t="s">
        <v>310</v>
      </c>
      <c r="E807" s="183" t="s">
        <v>5</v>
      </c>
      <c r="F807" s="183" t="s">
        <v>155</v>
      </c>
      <c r="G807" s="183" t="s">
        <v>195</v>
      </c>
      <c r="H807" s="129" t="s">
        <v>260</v>
      </c>
      <c r="I807" s="129" t="s">
        <v>305</v>
      </c>
      <c r="J807" s="129" t="s">
        <v>232</v>
      </c>
      <c r="K807" s="129" t="s">
        <v>244</v>
      </c>
      <c r="L807" s="129" t="s">
        <v>247</v>
      </c>
      <c r="M807" s="128" t="s">
        <v>110</v>
      </c>
    </row>
    <row r="808">
      <c r="E808" s="259"/>
    </row>
    <row r="810">
      <c r="A810" s="195" t="s">
        <v>317</v>
      </c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7"/>
    </row>
    <row r="811">
      <c r="A811" s="200" t="s">
        <v>288</v>
      </c>
      <c r="B811" s="222"/>
      <c r="C811" s="221"/>
      <c r="D811" s="199"/>
      <c r="E811" s="199"/>
      <c r="F811" s="199"/>
      <c r="G811" s="221"/>
      <c r="H811" s="199"/>
      <c r="I811" s="221"/>
      <c r="J811" s="199"/>
      <c r="K811" s="221"/>
      <c r="L811" s="221"/>
      <c r="M811" s="202"/>
    </row>
    <row r="812">
      <c r="A812" s="198" t="s">
        <v>40</v>
      </c>
      <c r="B812" s="221"/>
      <c r="C812" s="221"/>
      <c r="D812" s="221"/>
      <c r="E812" s="221"/>
      <c r="F812" s="221"/>
      <c r="G812" s="199"/>
      <c r="H812" s="221"/>
      <c r="I812" s="199"/>
      <c r="J812" s="199"/>
      <c r="K812" s="199"/>
      <c r="L812" s="199"/>
      <c r="M812" s="251"/>
      <c r="N812" s="125"/>
    </row>
    <row r="813">
      <c r="A813" s="200" t="s">
        <v>251</v>
      </c>
      <c r="B813" s="211">
        <v>55000.0</v>
      </c>
      <c r="C813" s="222">
        <v>67000.0</v>
      </c>
      <c r="D813" s="211"/>
      <c r="E813" s="222"/>
      <c r="F813" s="222">
        <v>40000.0</v>
      </c>
      <c r="G813" s="221">
        <v>67500.0</v>
      </c>
      <c r="H813" s="221">
        <v>45000.0</v>
      </c>
      <c r="I813" s="221"/>
      <c r="J813" s="221">
        <v>30000.0</v>
      </c>
      <c r="K813" s="211">
        <v>40000.0</v>
      </c>
      <c r="L813" s="211">
        <v>35000.0</v>
      </c>
      <c r="M813" s="252">
        <f>SUM(B813:L813)</f>
        <v>379500</v>
      </c>
      <c r="N813" s="253"/>
    </row>
    <row r="814">
      <c r="A814" s="200" t="s">
        <v>295</v>
      </c>
      <c r="B814" s="255"/>
      <c r="C814" s="255"/>
      <c r="D814" s="255"/>
      <c r="E814" s="256"/>
      <c r="F814" s="256"/>
      <c r="G814" s="255"/>
      <c r="H814" s="255"/>
      <c r="I814" s="255"/>
      <c r="J814" s="255"/>
      <c r="K814" s="255"/>
      <c r="L814" s="255"/>
      <c r="M814" s="257"/>
      <c r="N814" s="125"/>
    </row>
    <row r="815">
      <c r="A815" s="200" t="s">
        <v>250</v>
      </c>
      <c r="B815" s="255"/>
      <c r="C815" s="255"/>
      <c r="D815" s="255"/>
      <c r="E815" s="255"/>
      <c r="F815" s="255"/>
      <c r="G815" s="255"/>
      <c r="H815" s="255"/>
      <c r="I815" s="255"/>
      <c r="J815" s="255"/>
      <c r="K815" s="255"/>
      <c r="L815" s="255"/>
      <c r="M815" s="257"/>
      <c r="N815" s="125"/>
    </row>
    <row r="816">
      <c r="A816" s="205" t="s">
        <v>118</v>
      </c>
      <c r="B816" s="238">
        <f>55000+B813</f>
        <v>110000</v>
      </c>
      <c r="C816" s="258">
        <f>67000+C813</f>
        <v>134000</v>
      </c>
      <c r="D816" s="226">
        <v>50000.0</v>
      </c>
      <c r="E816" s="226">
        <v>30000.0</v>
      </c>
      <c r="F816" s="258">
        <f>40000+F813</f>
        <v>80000</v>
      </c>
      <c r="G816" s="226">
        <f>G806+G813</f>
        <v>135000</v>
      </c>
      <c r="H816" s="226">
        <f>45000+H813</f>
        <v>90000</v>
      </c>
      <c r="I816" s="226">
        <f>62500+I814</f>
        <v>62500</v>
      </c>
      <c r="J816" s="226">
        <f>J787+J813</f>
        <v>60000</v>
      </c>
      <c r="K816" s="238">
        <f>40000+K813</f>
        <v>80000</v>
      </c>
      <c r="L816" s="226">
        <v>45000.0</v>
      </c>
      <c r="M816" s="208">
        <f>SUM(B816:K816)</f>
        <v>831500</v>
      </c>
    </row>
    <row r="817">
      <c r="A817" s="126" t="s">
        <v>0</v>
      </c>
      <c r="B817" s="127" t="s">
        <v>90</v>
      </c>
      <c r="C817" s="127" t="s">
        <v>3</v>
      </c>
      <c r="D817" s="183" t="s">
        <v>310</v>
      </c>
      <c r="E817" s="183" t="s">
        <v>5</v>
      </c>
      <c r="F817" s="183" t="s">
        <v>155</v>
      </c>
      <c r="G817" s="183" t="s">
        <v>195</v>
      </c>
      <c r="H817" s="129" t="s">
        <v>260</v>
      </c>
      <c r="I817" s="129" t="s">
        <v>305</v>
      </c>
      <c r="J817" s="129" t="s">
        <v>232</v>
      </c>
      <c r="K817" s="129" t="s">
        <v>244</v>
      </c>
      <c r="L817" s="129" t="s">
        <v>247</v>
      </c>
      <c r="M817" s="128" t="s">
        <v>110</v>
      </c>
    </row>
    <row r="818">
      <c r="B818" s="72" t="s">
        <v>318</v>
      </c>
      <c r="C818" s="72" t="s">
        <v>318</v>
      </c>
      <c r="D818" s="72" t="s">
        <v>319</v>
      </c>
      <c r="F818" s="72" t="s">
        <v>320</v>
      </c>
      <c r="G818" s="72" t="s">
        <v>318</v>
      </c>
      <c r="H818" s="72" t="s">
        <v>320</v>
      </c>
      <c r="I818" s="72" t="s">
        <v>319</v>
      </c>
      <c r="J818" s="72" t="s">
        <v>320</v>
      </c>
      <c r="K818" s="72" t="s">
        <v>320</v>
      </c>
      <c r="L818" s="72" t="s">
        <v>321</v>
      </c>
    </row>
    <row r="820">
      <c r="A820" s="195" t="s">
        <v>322</v>
      </c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7"/>
    </row>
    <row r="821">
      <c r="A821" s="200" t="s">
        <v>288</v>
      </c>
      <c r="B821" s="222"/>
      <c r="C821" s="221"/>
      <c r="D821" s="199"/>
      <c r="E821" s="199"/>
      <c r="F821" s="199"/>
      <c r="G821" s="221"/>
      <c r="H821" s="199"/>
      <c r="I821" s="221"/>
      <c r="J821" s="199"/>
      <c r="K821" s="221"/>
      <c r="L821" s="221"/>
      <c r="M821" s="202"/>
    </row>
    <row r="822">
      <c r="A822" s="198" t="s">
        <v>40</v>
      </c>
      <c r="B822" s="221"/>
      <c r="C822" s="221"/>
      <c r="D822" s="221"/>
      <c r="E822" s="221"/>
      <c r="F822" s="221"/>
      <c r="G822" s="199"/>
      <c r="H822" s="221"/>
      <c r="I822" s="199"/>
      <c r="J822" s="199"/>
      <c r="K822" s="199"/>
      <c r="L822" s="199"/>
      <c r="M822" s="251"/>
      <c r="N822" s="125"/>
    </row>
    <row r="823">
      <c r="A823" s="200" t="s">
        <v>255</v>
      </c>
      <c r="B823" s="211">
        <v>55000.0</v>
      </c>
      <c r="C823" s="222">
        <v>67000.0</v>
      </c>
      <c r="D823" s="211"/>
      <c r="E823" s="222"/>
      <c r="F823" s="222"/>
      <c r="G823" s="221">
        <v>67500.0</v>
      </c>
      <c r="H823" s="221"/>
      <c r="I823" s="221"/>
      <c r="J823" s="221"/>
      <c r="K823" s="211"/>
      <c r="L823" s="211"/>
      <c r="M823" s="252"/>
      <c r="N823" s="253"/>
    </row>
    <row r="824">
      <c r="A824" s="200" t="s">
        <v>295</v>
      </c>
      <c r="B824" s="255"/>
      <c r="C824" s="255"/>
      <c r="D824" s="255"/>
      <c r="E824" s="256"/>
      <c r="F824" s="256"/>
      <c r="G824" s="255"/>
      <c r="H824" s="255"/>
      <c r="I824" s="255"/>
      <c r="J824" s="255"/>
      <c r="K824" s="255"/>
      <c r="L824" s="255"/>
      <c r="M824" s="257"/>
      <c r="N824" s="125"/>
    </row>
    <row r="825">
      <c r="A825" s="200" t="s">
        <v>250</v>
      </c>
      <c r="B825" s="255"/>
      <c r="C825" s="255"/>
      <c r="D825" s="255"/>
      <c r="E825" s="255"/>
      <c r="F825" s="255"/>
      <c r="G825" s="255"/>
      <c r="H825" s="255"/>
      <c r="I825" s="255"/>
      <c r="J825" s="255"/>
      <c r="K825" s="255"/>
      <c r="L825" s="255"/>
      <c r="M825" s="257"/>
      <c r="N825" s="125"/>
    </row>
    <row r="826">
      <c r="A826" s="205" t="s">
        <v>118</v>
      </c>
      <c r="B826" s="238">
        <f>55000+B823</f>
        <v>110000</v>
      </c>
      <c r="C826" s="258">
        <f>67000+C823</f>
        <v>134000</v>
      </c>
      <c r="D826" s="226">
        <v>50000.0</v>
      </c>
      <c r="E826" s="226">
        <v>30000.0</v>
      </c>
      <c r="F826" s="258">
        <f>40000+F823</f>
        <v>40000</v>
      </c>
      <c r="G826" s="226">
        <f>G784+G823</f>
        <v>135000</v>
      </c>
      <c r="H826" s="226">
        <f>45000+H823</f>
        <v>45000</v>
      </c>
      <c r="I826" s="226">
        <f>62500+I824</f>
        <v>62500</v>
      </c>
      <c r="J826" s="226">
        <f>J787+J823</f>
        <v>30000</v>
      </c>
      <c r="K826" s="238">
        <f>40000+K823</f>
        <v>40000</v>
      </c>
      <c r="L826" s="238">
        <f>45000+L823</f>
        <v>45000</v>
      </c>
      <c r="M826" s="208">
        <f>SUM(B826:K826)</f>
        <v>676500</v>
      </c>
    </row>
    <row r="827">
      <c r="A827" s="126" t="s">
        <v>0</v>
      </c>
      <c r="B827" s="127" t="s">
        <v>90</v>
      </c>
      <c r="C827" s="127" t="s">
        <v>3</v>
      </c>
      <c r="D827" s="183" t="s">
        <v>310</v>
      </c>
      <c r="E827" s="183" t="s">
        <v>5</v>
      </c>
      <c r="F827" s="183" t="s">
        <v>155</v>
      </c>
      <c r="G827" s="183" t="s">
        <v>195</v>
      </c>
      <c r="H827" s="129" t="s">
        <v>260</v>
      </c>
      <c r="I827" s="129" t="s">
        <v>305</v>
      </c>
      <c r="J827" s="129" t="s">
        <v>232</v>
      </c>
      <c r="K827" s="129" t="s">
        <v>244</v>
      </c>
      <c r="L827" s="129" t="s">
        <v>247</v>
      </c>
      <c r="M827" s="128" t="s">
        <v>110</v>
      </c>
    </row>
    <row r="828">
      <c r="B828" s="72" t="s">
        <v>323</v>
      </c>
      <c r="C828" s="72" t="s">
        <v>324</v>
      </c>
      <c r="D828" s="72" t="s">
        <v>325</v>
      </c>
      <c r="G828" s="72" t="s">
        <v>326</v>
      </c>
      <c r="I828" s="72" t="s">
        <v>325</v>
      </c>
    </row>
  </sheetData>
  <mergeCells count="81">
    <mergeCell ref="A515:Q515"/>
    <mergeCell ref="A523:Q523"/>
    <mergeCell ref="A531:Q531"/>
    <mergeCell ref="A540:Q540"/>
    <mergeCell ref="A548:Q548"/>
    <mergeCell ref="A556:Q556"/>
    <mergeCell ref="A564:Q564"/>
    <mergeCell ref="A572:Q572"/>
    <mergeCell ref="A582:Q582"/>
    <mergeCell ref="A590:Q590"/>
    <mergeCell ref="A598:Q598"/>
    <mergeCell ref="A606:Q606"/>
    <mergeCell ref="A614:Q614"/>
    <mergeCell ref="A622:Q622"/>
    <mergeCell ref="A631:Q631"/>
    <mergeCell ref="A638:Q638"/>
    <mergeCell ref="A639:Q639"/>
    <mergeCell ref="A647:Q647"/>
    <mergeCell ref="A655:Q655"/>
    <mergeCell ref="A662:Q662"/>
    <mergeCell ref="A663:Q663"/>
    <mergeCell ref="A670:Q670"/>
    <mergeCell ref="A672:Q672"/>
    <mergeCell ref="A680:Q680"/>
    <mergeCell ref="A689:Q689"/>
    <mergeCell ref="A698:Q698"/>
    <mergeCell ref="A707:Q707"/>
    <mergeCell ref="A717:Q717"/>
    <mergeCell ref="A2:Q2"/>
    <mergeCell ref="A35:Q35"/>
    <mergeCell ref="A62:Q62"/>
    <mergeCell ref="A89:Q89"/>
    <mergeCell ref="A117:Q117"/>
    <mergeCell ref="A143:Q143"/>
    <mergeCell ref="A169:Q169"/>
    <mergeCell ref="A199:Q199"/>
    <mergeCell ref="A224:Q224"/>
    <mergeCell ref="A251:Q251"/>
    <mergeCell ref="A275:Q275"/>
    <mergeCell ref="A284:Q284"/>
    <mergeCell ref="A292:Q292"/>
    <mergeCell ref="A299:Q299"/>
    <mergeCell ref="A306:Q306"/>
    <mergeCell ref="A315:Q315"/>
    <mergeCell ref="A322:Q322"/>
    <mergeCell ref="A329:Q329"/>
    <mergeCell ref="A336:Q336"/>
    <mergeCell ref="A343:Q343"/>
    <mergeCell ref="A350:Q350"/>
    <mergeCell ref="A358:Q358"/>
    <mergeCell ref="A365:Q365"/>
    <mergeCell ref="A372:Q372"/>
    <mergeCell ref="A379:Q379"/>
    <mergeCell ref="A386:Q386"/>
    <mergeCell ref="A392:Q392"/>
    <mergeCell ref="A394:Q394"/>
    <mergeCell ref="A401:Q401"/>
    <mergeCell ref="A408:Q408"/>
    <mergeCell ref="A415:Q415"/>
    <mergeCell ref="A422:Q422"/>
    <mergeCell ref="A433:Q433"/>
    <mergeCell ref="A441:Q441"/>
    <mergeCell ref="A449:Q449"/>
    <mergeCell ref="A457:Q457"/>
    <mergeCell ref="A465:Q465"/>
    <mergeCell ref="A473:Q473"/>
    <mergeCell ref="A483:Q483"/>
    <mergeCell ref="A490:Q490"/>
    <mergeCell ref="A498:Q498"/>
    <mergeCell ref="A507:Q507"/>
    <mergeCell ref="A791:Q791"/>
    <mergeCell ref="A800:Q800"/>
    <mergeCell ref="A810:Q810"/>
    <mergeCell ref="A820:Q820"/>
    <mergeCell ref="A725:Q725"/>
    <mergeCell ref="A735:Q735"/>
    <mergeCell ref="A745:Q745"/>
    <mergeCell ref="A754:Q754"/>
    <mergeCell ref="A763:Q763"/>
    <mergeCell ref="A772:Q772"/>
    <mergeCell ref="A783:Q78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71"/>
    <col customWidth="1" min="3" max="3" width="13.71"/>
    <col customWidth="1" min="7" max="7" width="16.57"/>
    <col customWidth="1" min="9" max="9" width="16.43"/>
    <col customWidth="1" min="11" max="11" width="16.71"/>
    <col customWidth="1" min="12" max="12" width="19.71"/>
    <col customWidth="1" min="13" max="15" width="18.57"/>
    <col customWidth="1" min="16" max="16" width="20.71"/>
  </cols>
  <sheetData>
    <row r="1" hidden="1">
      <c r="A1" s="1" t="s">
        <v>0</v>
      </c>
      <c r="B1" s="2" t="s">
        <v>1</v>
      </c>
      <c r="C1" s="3" t="s">
        <v>2</v>
      </c>
      <c r="D1" s="3" t="s">
        <v>3</v>
      </c>
      <c r="E1" s="3"/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/>
      <c r="L1" s="4"/>
      <c r="M1" s="4"/>
      <c r="N1" s="4"/>
      <c r="O1" s="4"/>
      <c r="P1" s="1" t="s">
        <v>0</v>
      </c>
      <c r="Q1" s="2" t="s">
        <v>1</v>
      </c>
      <c r="R1" s="3" t="s">
        <v>2</v>
      </c>
      <c r="S1" s="3" t="s">
        <v>3</v>
      </c>
      <c r="T1" s="3" t="s">
        <v>4</v>
      </c>
      <c r="U1" s="3" t="s">
        <v>9</v>
      </c>
      <c r="V1" s="3" t="s">
        <v>5</v>
      </c>
      <c r="W1" s="3" t="s">
        <v>6</v>
      </c>
      <c r="X1" s="1" t="s">
        <v>10</v>
      </c>
      <c r="Y1" s="4" t="s">
        <v>7</v>
      </c>
      <c r="Z1" s="4" t="s">
        <v>8</v>
      </c>
      <c r="AA1" s="5" t="s">
        <v>11</v>
      </c>
    </row>
    <row r="2" hidden="1">
      <c r="A2" s="6" t="s">
        <v>12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hidden="1">
      <c r="A3" s="9">
        <v>43918.0</v>
      </c>
      <c r="B3" s="10">
        <v>8500.0</v>
      </c>
      <c r="C3" s="10">
        <v>7250.0</v>
      </c>
      <c r="D3" s="10">
        <v>6050.0</v>
      </c>
      <c r="E3" s="10"/>
      <c r="F3" s="10">
        <v>6050.0</v>
      </c>
      <c r="G3" s="10">
        <v>5800.0</v>
      </c>
      <c r="H3" s="10">
        <v>5800.0</v>
      </c>
      <c r="I3" s="11">
        <v>0.0</v>
      </c>
      <c r="J3" s="12"/>
      <c r="K3" s="12"/>
      <c r="L3" s="12"/>
      <c r="M3" s="12"/>
      <c r="N3" s="12"/>
      <c r="O3" s="12"/>
      <c r="P3" s="13">
        <f>SUM(B3:J3)</f>
        <v>39450</v>
      </c>
    </row>
    <row r="4" hidden="1">
      <c r="A4" s="14">
        <v>44108.0</v>
      </c>
      <c r="B4" s="10">
        <v>8500.0</v>
      </c>
      <c r="C4" s="10">
        <v>7250.0</v>
      </c>
      <c r="D4" s="10">
        <v>6050.0</v>
      </c>
      <c r="E4" s="10"/>
      <c r="F4" s="10">
        <v>6050.0</v>
      </c>
      <c r="G4" s="10">
        <v>5800.0</v>
      </c>
      <c r="H4" s="10">
        <v>5800.0</v>
      </c>
      <c r="I4" s="11">
        <v>0.0</v>
      </c>
      <c r="J4" s="12"/>
      <c r="K4" s="12"/>
      <c r="L4" s="12"/>
      <c r="M4" s="12"/>
      <c r="N4" s="12"/>
      <c r="O4" s="12"/>
      <c r="P4" s="13">
        <f t="shared" ref="P4:P7" si="1">SUM(B4:I4)</f>
        <v>39450</v>
      </c>
    </row>
    <row r="5" hidden="1">
      <c r="A5" s="15" t="s">
        <v>13</v>
      </c>
      <c r="B5" s="10">
        <v>8500.0</v>
      </c>
      <c r="C5" s="10">
        <v>7250.0</v>
      </c>
      <c r="D5" s="10">
        <v>6050.0</v>
      </c>
      <c r="E5" s="10"/>
      <c r="F5" s="10">
        <v>6050.0</v>
      </c>
      <c r="G5" s="10">
        <v>5800.0</v>
      </c>
      <c r="H5" s="10">
        <v>5800.0</v>
      </c>
      <c r="I5" s="11">
        <v>0.0</v>
      </c>
      <c r="J5" s="12"/>
      <c r="K5" s="12"/>
      <c r="L5" s="12"/>
      <c r="M5" s="12"/>
      <c r="N5" s="12"/>
      <c r="O5" s="12"/>
      <c r="P5" s="13">
        <f t="shared" si="1"/>
        <v>39450</v>
      </c>
    </row>
    <row r="6" hidden="1">
      <c r="A6" s="15" t="s">
        <v>14</v>
      </c>
      <c r="B6" s="16">
        <v>8500.0</v>
      </c>
      <c r="C6" s="16">
        <v>7250.0</v>
      </c>
      <c r="D6" s="16">
        <v>6050.0</v>
      </c>
      <c r="E6" s="16"/>
      <c r="F6" s="16">
        <v>6050.0</v>
      </c>
      <c r="G6" s="16">
        <v>5800.0</v>
      </c>
      <c r="H6" s="16">
        <v>5800.0</v>
      </c>
      <c r="I6" s="17">
        <v>0.0</v>
      </c>
      <c r="J6" s="18"/>
      <c r="K6" s="18"/>
      <c r="L6" s="18"/>
      <c r="M6" s="18"/>
      <c r="N6" s="18"/>
      <c r="O6" s="18"/>
      <c r="P6" s="19">
        <f t="shared" si="1"/>
        <v>39450</v>
      </c>
    </row>
    <row r="7" hidden="1">
      <c r="A7" s="15" t="s">
        <v>14</v>
      </c>
      <c r="B7" s="16">
        <v>8500.0</v>
      </c>
      <c r="C7" s="16">
        <v>7250.0</v>
      </c>
      <c r="D7" s="16">
        <v>6050.0</v>
      </c>
      <c r="E7" s="16"/>
      <c r="F7" s="16">
        <v>6050.0</v>
      </c>
      <c r="G7" s="16">
        <v>5800.0</v>
      </c>
      <c r="H7" s="16">
        <v>5800.0</v>
      </c>
      <c r="I7" s="17">
        <v>0.0</v>
      </c>
      <c r="J7" s="18"/>
      <c r="K7" s="18"/>
      <c r="L7" s="18"/>
      <c r="M7" s="18"/>
      <c r="N7" s="18"/>
      <c r="O7" s="18"/>
      <c r="P7" s="19">
        <f t="shared" si="1"/>
        <v>39450</v>
      </c>
    </row>
    <row r="8" hidden="1">
      <c r="A8" s="20" t="s">
        <v>15</v>
      </c>
      <c r="B8" s="21">
        <f t="shared" ref="B8:D8" si="2">SUM(B3:B6)</f>
        <v>34000</v>
      </c>
      <c r="C8" s="21">
        <f t="shared" si="2"/>
        <v>29000</v>
      </c>
      <c r="D8" s="21">
        <f t="shared" si="2"/>
        <v>24200</v>
      </c>
      <c r="E8" s="21"/>
      <c r="F8" s="21">
        <f t="shared" ref="F8:I8" si="3">SUM(F3:F6)</f>
        <v>24200</v>
      </c>
      <c r="G8" s="21">
        <f t="shared" si="3"/>
        <v>23200</v>
      </c>
      <c r="H8" s="21">
        <f t="shared" si="3"/>
        <v>23200</v>
      </c>
      <c r="I8" s="21">
        <f t="shared" si="3"/>
        <v>0</v>
      </c>
      <c r="J8" s="21"/>
      <c r="K8" s="21"/>
      <c r="L8" s="21"/>
      <c r="M8" s="21"/>
      <c r="N8" s="21"/>
      <c r="O8" s="21"/>
      <c r="P8" s="22">
        <f>SUM(P3:P6)</f>
        <v>157800</v>
      </c>
    </row>
    <row r="9" hidden="1">
      <c r="A9" s="23" t="s">
        <v>16</v>
      </c>
      <c r="B9" s="24">
        <v>10475.0</v>
      </c>
      <c r="C9" s="24">
        <v>9463.0</v>
      </c>
      <c r="D9" s="24">
        <v>9075.0</v>
      </c>
      <c r="E9" s="24"/>
      <c r="F9" s="24">
        <v>9075.0</v>
      </c>
      <c r="G9" s="24">
        <v>10410.0</v>
      </c>
      <c r="H9" s="24">
        <v>10410.0</v>
      </c>
      <c r="I9" s="24"/>
      <c r="J9" s="24"/>
      <c r="K9" s="25"/>
      <c r="L9" s="25"/>
      <c r="M9" s="25"/>
      <c r="N9" s="25"/>
      <c r="O9" s="25"/>
      <c r="P9" s="26">
        <f t="shared" ref="P9:P12" si="6">SUM(B9:J9)</f>
        <v>58908</v>
      </c>
    </row>
    <row r="10" hidden="1">
      <c r="A10" s="27" t="s">
        <v>17</v>
      </c>
      <c r="B10" s="28">
        <f t="shared" ref="B10:D10" si="4">B8-(B9)</f>
        <v>23525</v>
      </c>
      <c r="C10" s="28">
        <f t="shared" si="4"/>
        <v>19537</v>
      </c>
      <c r="D10" s="28">
        <f t="shared" si="4"/>
        <v>15125</v>
      </c>
      <c r="E10" s="28"/>
      <c r="F10" s="28">
        <f t="shared" ref="F10:I10" si="5">F8-(F9)</f>
        <v>15125</v>
      </c>
      <c r="G10" s="28">
        <f t="shared" si="5"/>
        <v>12790</v>
      </c>
      <c r="H10" s="28">
        <f t="shared" si="5"/>
        <v>12790</v>
      </c>
      <c r="I10" s="28">
        <f t="shared" si="5"/>
        <v>0</v>
      </c>
      <c r="J10" s="28"/>
      <c r="K10" s="29"/>
      <c r="L10" s="29"/>
      <c r="M10" s="29"/>
      <c r="N10" s="29"/>
      <c r="O10" s="29"/>
      <c r="P10" s="30">
        <f t="shared" si="6"/>
        <v>98892</v>
      </c>
    </row>
    <row r="11" hidden="1">
      <c r="A11" s="23" t="s">
        <v>18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25"/>
      <c r="M11" s="25"/>
      <c r="N11" s="25"/>
      <c r="O11" s="25"/>
      <c r="P11" s="26">
        <f t="shared" si="6"/>
        <v>0</v>
      </c>
    </row>
    <row r="12" hidden="1">
      <c r="A12" s="9">
        <v>43918.0</v>
      </c>
      <c r="B12" s="10">
        <f t="shared" ref="B12:D12" si="7">B10/3</f>
        <v>7841.666667</v>
      </c>
      <c r="C12" s="10">
        <f t="shared" si="7"/>
        <v>6512.333333</v>
      </c>
      <c r="D12" s="10">
        <f t="shared" si="7"/>
        <v>5041.666667</v>
      </c>
      <c r="E12" s="10"/>
      <c r="F12" s="10">
        <v>7050.0</v>
      </c>
      <c r="G12" s="10">
        <f t="shared" ref="G12:H12" si="8">G10/3</f>
        <v>4263.333333</v>
      </c>
      <c r="H12" s="10">
        <f t="shared" si="8"/>
        <v>4263.333333</v>
      </c>
      <c r="I12" s="11">
        <v>0.0</v>
      </c>
      <c r="J12" s="12"/>
      <c r="K12" s="12"/>
      <c r="L12" s="12"/>
      <c r="M12" s="12"/>
      <c r="N12" s="12"/>
      <c r="O12" s="12"/>
      <c r="P12" s="13">
        <f t="shared" si="6"/>
        <v>34972.33333</v>
      </c>
    </row>
    <row r="13" hidden="1">
      <c r="A13" s="14">
        <v>44108.0</v>
      </c>
      <c r="B13" s="10">
        <f>B8/4+650</f>
        <v>9150</v>
      </c>
      <c r="C13" s="10">
        <f>C8/4+700</f>
        <v>7950</v>
      </c>
      <c r="D13" s="10">
        <f>D8/4+1000</f>
        <v>7050</v>
      </c>
      <c r="E13" s="10"/>
      <c r="F13" s="10">
        <f>F8/4+1000</f>
        <v>7050</v>
      </c>
      <c r="G13" s="31">
        <f t="shared" ref="G13:H13" si="9">G8/4+1500</f>
        <v>7300</v>
      </c>
      <c r="H13" s="31">
        <f t="shared" si="9"/>
        <v>7300</v>
      </c>
      <c r="I13" s="11">
        <v>0.0</v>
      </c>
      <c r="J13" s="12"/>
      <c r="K13" s="12"/>
      <c r="L13" s="12"/>
      <c r="M13" s="12"/>
      <c r="N13" s="12"/>
      <c r="O13" s="12"/>
      <c r="P13" s="13">
        <f t="shared" ref="P13:P15" si="12">SUM(B13:I13)</f>
        <v>45800</v>
      </c>
    </row>
    <row r="14" hidden="1">
      <c r="A14" s="15" t="s">
        <v>13</v>
      </c>
      <c r="B14" s="10">
        <f t="shared" ref="B14:D14" si="10">B8/4</f>
        <v>8500</v>
      </c>
      <c r="C14" s="10">
        <f t="shared" si="10"/>
        <v>7250</v>
      </c>
      <c r="D14" s="10">
        <f t="shared" si="10"/>
        <v>6050</v>
      </c>
      <c r="E14" s="10"/>
      <c r="F14" s="10">
        <f>F8/4+1000</f>
        <v>7050</v>
      </c>
      <c r="G14" s="10">
        <f t="shared" ref="G14:H14" si="11">G8/4</f>
        <v>5800</v>
      </c>
      <c r="H14" s="10">
        <f t="shared" si="11"/>
        <v>5800</v>
      </c>
      <c r="I14" s="11">
        <v>0.0</v>
      </c>
      <c r="J14" s="12"/>
      <c r="K14" s="12"/>
      <c r="L14" s="12"/>
      <c r="M14" s="12"/>
      <c r="N14" s="12"/>
      <c r="O14" s="12"/>
      <c r="P14" s="13">
        <f t="shared" si="12"/>
        <v>40450</v>
      </c>
    </row>
    <row r="15" hidden="1">
      <c r="A15" s="15" t="s">
        <v>14</v>
      </c>
      <c r="B15" s="16">
        <f t="shared" ref="B15:D15" si="13">B8/4</f>
        <v>8500</v>
      </c>
      <c r="C15" s="16">
        <f t="shared" si="13"/>
        <v>7250</v>
      </c>
      <c r="D15" s="16">
        <f t="shared" si="13"/>
        <v>6050</v>
      </c>
      <c r="E15" s="16"/>
      <c r="F15" s="16">
        <f t="shared" ref="F15:G15" si="14">F8/4</f>
        <v>6050</v>
      </c>
      <c r="G15" s="16">
        <f t="shared" si="14"/>
        <v>5800</v>
      </c>
      <c r="H15" s="16">
        <f>H8/4+2900</f>
        <v>8700</v>
      </c>
      <c r="I15" s="17">
        <v>0.0</v>
      </c>
      <c r="J15" s="18"/>
      <c r="K15" s="18"/>
      <c r="L15" s="18"/>
      <c r="M15" s="18"/>
      <c r="N15" s="18"/>
      <c r="O15" s="18"/>
      <c r="P15" s="19">
        <f t="shared" si="12"/>
        <v>42350</v>
      </c>
    </row>
    <row r="16" hidden="1">
      <c r="A16" s="32" t="s">
        <v>19</v>
      </c>
      <c r="B16" s="16">
        <v>8500.0</v>
      </c>
      <c r="C16" s="33">
        <v>7250.0</v>
      </c>
      <c r="D16" s="33">
        <v>6050.0</v>
      </c>
      <c r="E16" s="33"/>
      <c r="F16" s="33">
        <v>6050.0</v>
      </c>
      <c r="G16" s="33">
        <v>5800.0</v>
      </c>
      <c r="H16" s="33">
        <v>8700.0</v>
      </c>
      <c r="I16" s="34"/>
      <c r="J16" s="35"/>
      <c r="K16" s="35"/>
      <c r="L16" s="35"/>
      <c r="M16" s="35"/>
      <c r="N16" s="35"/>
      <c r="O16" s="35"/>
      <c r="P16" s="35"/>
    </row>
    <row r="17" hidden="1">
      <c r="A17" s="27" t="s">
        <v>20</v>
      </c>
      <c r="B17" s="28"/>
      <c r="C17" s="28"/>
      <c r="D17" s="28"/>
      <c r="E17" s="28"/>
      <c r="F17" s="28"/>
      <c r="G17" s="36" t="s">
        <v>21</v>
      </c>
      <c r="H17" s="36" t="s">
        <v>21</v>
      </c>
      <c r="I17" s="37"/>
      <c r="J17" s="37"/>
      <c r="K17" s="37"/>
      <c r="L17" s="37"/>
      <c r="M17" s="37"/>
      <c r="N17" s="37"/>
      <c r="O17" s="37"/>
      <c r="P17" s="37"/>
    </row>
    <row r="18" hidden="1">
      <c r="A18" s="37"/>
      <c r="B18" s="38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</row>
    <row r="19" hidden="1">
      <c r="A19" s="39" t="s">
        <v>22</v>
      </c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hidden="1">
      <c r="A20" s="42">
        <v>43918.0</v>
      </c>
      <c r="B20" s="43"/>
      <c r="C20" s="44"/>
      <c r="D20" s="44"/>
      <c r="E20" s="45"/>
      <c r="F20" s="45"/>
      <c r="G20" s="44"/>
      <c r="H20" s="45"/>
      <c r="I20" s="44"/>
      <c r="J20" s="44"/>
      <c r="K20" s="44"/>
      <c r="L20" s="44"/>
      <c r="M20" s="44"/>
      <c r="N20" s="44"/>
      <c r="O20" s="44"/>
      <c r="P20" s="44"/>
    </row>
    <row r="21" hidden="1">
      <c r="A21" s="42">
        <v>44108.0</v>
      </c>
      <c r="B21" s="46"/>
      <c r="C21" s="45"/>
      <c r="D21" s="45"/>
      <c r="E21" s="45"/>
      <c r="F21" s="45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hidden="1">
      <c r="A22" s="39" t="s">
        <v>13</v>
      </c>
      <c r="B22" s="43"/>
      <c r="C22" s="44"/>
      <c r="D22" s="44"/>
      <c r="E22" s="45"/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hidden="1">
      <c r="A23" s="39" t="s">
        <v>14</v>
      </c>
      <c r="B23" s="46"/>
      <c r="C23" s="45"/>
      <c r="D23" s="44"/>
      <c r="E23" s="45"/>
      <c r="F23" s="45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hidden="1">
      <c r="A24" s="39" t="s">
        <v>19</v>
      </c>
      <c r="B24" s="46"/>
      <c r="C24" s="44"/>
      <c r="D24" s="44"/>
      <c r="E24" s="45"/>
      <c r="F24" s="45">
        <v>1720.0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hidden="1">
      <c r="A25" s="37"/>
      <c r="B25" s="38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</row>
    <row r="26" hidden="1">
      <c r="A26" s="47" t="s">
        <v>23</v>
      </c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7" t="s">
        <v>24</v>
      </c>
    </row>
    <row r="27" hidden="1">
      <c r="A27" s="50">
        <v>43918.0</v>
      </c>
      <c r="B27" s="51">
        <f t="shared" ref="B27:D27" si="15">B12-B20</f>
        <v>7841.666667</v>
      </c>
      <c r="C27" s="52">
        <f t="shared" si="15"/>
        <v>6512.333333</v>
      </c>
      <c r="D27" s="52">
        <f t="shared" si="15"/>
        <v>5041.666667</v>
      </c>
      <c r="E27" s="52"/>
      <c r="F27" s="52"/>
      <c r="G27" s="52">
        <f t="shared" ref="G27:H27" si="16">G12-G20</f>
        <v>4263.333333</v>
      </c>
      <c r="H27" s="52">
        <f t="shared" si="16"/>
        <v>4263.333333</v>
      </c>
      <c r="I27" s="52"/>
      <c r="J27" s="52"/>
      <c r="K27" s="52"/>
      <c r="L27" s="52"/>
      <c r="M27" s="52"/>
      <c r="N27" s="52"/>
      <c r="O27" s="52"/>
      <c r="P27" s="53">
        <f t="shared" ref="P27:P29" si="19">SUM(B27:J27)</f>
        <v>27922.33333</v>
      </c>
    </row>
    <row r="28" hidden="1">
      <c r="A28" s="50">
        <v>44108.0</v>
      </c>
      <c r="B28" s="51">
        <f>B13-B20-B21</f>
        <v>9150</v>
      </c>
      <c r="C28" s="52">
        <f t="shared" ref="C28:D28" si="17">C13-C21-C20</f>
        <v>7950</v>
      </c>
      <c r="D28" s="52">
        <f t="shared" si="17"/>
        <v>7050</v>
      </c>
      <c r="E28" s="52"/>
      <c r="F28" s="52">
        <f t="shared" ref="F28:H28" si="18">F13-F21-F20</f>
        <v>7050</v>
      </c>
      <c r="G28" s="52">
        <f t="shared" si="18"/>
        <v>7300</v>
      </c>
      <c r="H28" s="52">
        <f t="shared" si="18"/>
        <v>7300</v>
      </c>
      <c r="I28" s="52"/>
      <c r="J28" s="52"/>
      <c r="K28" s="52"/>
      <c r="L28" s="52"/>
      <c r="M28" s="52"/>
      <c r="N28" s="52"/>
      <c r="O28" s="52"/>
      <c r="P28" s="53">
        <f t="shared" si="19"/>
        <v>45800</v>
      </c>
    </row>
    <row r="29" hidden="1">
      <c r="A29" s="47" t="s">
        <v>13</v>
      </c>
      <c r="B29" s="51">
        <f t="shared" ref="B29:D29" si="20">B14-B22</f>
        <v>8500</v>
      </c>
      <c r="C29" s="52">
        <f t="shared" si="20"/>
        <v>7250</v>
      </c>
      <c r="D29" s="52">
        <f t="shared" si="20"/>
        <v>6050</v>
      </c>
      <c r="E29" s="52"/>
      <c r="F29" s="52">
        <f t="shared" ref="F29:H29" si="21">F14-F22</f>
        <v>7050</v>
      </c>
      <c r="G29" s="52">
        <f t="shared" si="21"/>
        <v>5800</v>
      </c>
      <c r="H29" s="52">
        <f t="shared" si="21"/>
        <v>5800</v>
      </c>
      <c r="I29" s="52"/>
      <c r="J29" s="52"/>
      <c r="K29" s="52"/>
      <c r="L29" s="52"/>
      <c r="M29" s="52"/>
      <c r="N29" s="52"/>
      <c r="O29" s="52"/>
      <c r="P29" s="53">
        <f t="shared" si="19"/>
        <v>40450</v>
      </c>
    </row>
    <row r="30" hidden="1">
      <c r="A30" s="47" t="s">
        <v>25</v>
      </c>
      <c r="B30" s="51">
        <f t="shared" ref="B30:D30" si="22">B15-B23</f>
        <v>8500</v>
      </c>
      <c r="C30" s="52">
        <f t="shared" si="22"/>
        <v>7250</v>
      </c>
      <c r="D30" s="52">
        <f t="shared" si="22"/>
        <v>6050</v>
      </c>
      <c r="E30" s="52"/>
      <c r="F30" s="52">
        <f>F16</f>
        <v>6050</v>
      </c>
      <c r="G30" s="52">
        <f t="shared" ref="G30:H30" si="23">G15-G23</f>
        <v>5800</v>
      </c>
      <c r="H30" s="52">
        <f t="shared" si="23"/>
        <v>8700</v>
      </c>
      <c r="I30" s="52"/>
      <c r="J30" s="52"/>
      <c r="K30" s="52"/>
      <c r="L30" s="52"/>
      <c r="M30" s="52"/>
      <c r="N30" s="52"/>
      <c r="O30" s="52"/>
      <c r="P30" s="53">
        <f>SUM(B30:H30)</f>
        <v>42350</v>
      </c>
    </row>
    <row r="31" hidden="1">
      <c r="A31" s="47" t="s">
        <v>19</v>
      </c>
      <c r="B31" s="54">
        <v>8500.0</v>
      </c>
      <c r="C31" s="52">
        <f t="shared" ref="C31:D31" si="24">C16-C24</f>
        <v>7250</v>
      </c>
      <c r="D31" s="52">
        <f t="shared" si="24"/>
        <v>6050</v>
      </c>
      <c r="E31" s="52"/>
      <c r="F31" s="52">
        <f t="shared" ref="F31:H31" si="25">F16-F24</f>
        <v>4330</v>
      </c>
      <c r="G31" s="52">
        <f t="shared" si="25"/>
        <v>5800</v>
      </c>
      <c r="H31" s="52">
        <f t="shared" si="25"/>
        <v>8700</v>
      </c>
      <c r="I31" s="52"/>
      <c r="J31" s="52"/>
      <c r="K31" s="52"/>
      <c r="L31" s="52"/>
      <c r="M31" s="52"/>
      <c r="N31" s="52"/>
      <c r="O31" s="52"/>
      <c r="P31" s="52"/>
    </row>
    <row r="32" hidden="1"/>
    <row r="33" hidden="1"/>
    <row r="34" hidden="1">
      <c r="A34" s="1" t="s">
        <v>0</v>
      </c>
      <c r="B34" s="2" t="s">
        <v>1</v>
      </c>
      <c r="C34" s="3" t="s">
        <v>2</v>
      </c>
      <c r="D34" s="3" t="s">
        <v>3</v>
      </c>
      <c r="E34" s="3"/>
      <c r="F34" s="3" t="s">
        <v>4</v>
      </c>
      <c r="G34" s="3" t="s">
        <v>5</v>
      </c>
      <c r="H34" s="3" t="s">
        <v>6</v>
      </c>
      <c r="I34" s="4" t="s">
        <v>7</v>
      </c>
      <c r="J34" s="4" t="s">
        <v>8</v>
      </c>
      <c r="K34" s="4"/>
      <c r="L34" s="4"/>
      <c r="M34" s="4"/>
      <c r="N34" s="4"/>
      <c r="O34" s="4"/>
      <c r="P34" s="1" t="s">
        <v>0</v>
      </c>
    </row>
    <row r="35" hidden="1">
      <c r="A35" s="6" t="s">
        <v>26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8"/>
    </row>
    <row r="36" hidden="1">
      <c r="A36" s="55" t="s">
        <v>27</v>
      </c>
      <c r="B36" s="10">
        <v>8500.0</v>
      </c>
      <c r="C36" s="10">
        <v>7250.0</v>
      </c>
      <c r="D36" s="56">
        <v>6050.0</v>
      </c>
      <c r="E36" s="10"/>
      <c r="F36" s="10">
        <v>6050.0</v>
      </c>
      <c r="G36" s="10">
        <f>5800+2900</f>
        <v>8700</v>
      </c>
      <c r="H36" s="56">
        <v>6050.0</v>
      </c>
      <c r="I36" s="11">
        <v>0.0</v>
      </c>
      <c r="J36" s="12"/>
      <c r="K36" s="12"/>
      <c r="L36" s="12"/>
      <c r="M36" s="12"/>
      <c r="N36" s="12"/>
      <c r="O36" s="12"/>
      <c r="P36" s="13">
        <f>SUM(B36:J36)</f>
        <v>42600</v>
      </c>
    </row>
    <row r="37" hidden="1">
      <c r="A37" s="15" t="s">
        <v>28</v>
      </c>
      <c r="B37" s="10">
        <v>8500.0</v>
      </c>
      <c r="C37" s="10">
        <v>7250.0</v>
      </c>
      <c r="D37" s="56">
        <v>6050.0</v>
      </c>
      <c r="E37" s="10"/>
      <c r="F37" s="10">
        <v>6050.0</v>
      </c>
      <c r="G37" s="10">
        <v>6050.0</v>
      </c>
      <c r="H37" s="10">
        <v>6050.0</v>
      </c>
      <c r="I37" s="11">
        <v>0.0</v>
      </c>
      <c r="J37" s="12"/>
      <c r="K37" s="12"/>
      <c r="L37" s="12"/>
      <c r="M37" s="12"/>
      <c r="N37" s="12"/>
      <c r="O37" s="12"/>
      <c r="P37" s="13">
        <f t="shared" ref="P37:P40" si="26">SUM(B37:I37)</f>
        <v>39950</v>
      </c>
    </row>
    <row r="38" hidden="1">
      <c r="A38" s="15" t="s">
        <v>29</v>
      </c>
      <c r="B38" s="10">
        <v>8500.0</v>
      </c>
      <c r="C38" s="10">
        <v>7250.0</v>
      </c>
      <c r="D38" s="10">
        <v>6050.0</v>
      </c>
      <c r="E38" s="10"/>
      <c r="F38" s="10">
        <v>6050.0</v>
      </c>
      <c r="G38" s="10">
        <v>6050.0</v>
      </c>
      <c r="H38" s="10">
        <v>6050.0</v>
      </c>
      <c r="I38" s="11">
        <v>0.0</v>
      </c>
      <c r="J38" s="12"/>
      <c r="K38" s="12"/>
      <c r="L38" s="12"/>
      <c r="M38" s="12"/>
      <c r="N38" s="12"/>
      <c r="O38" s="12"/>
      <c r="P38" s="13">
        <f t="shared" si="26"/>
        <v>39950</v>
      </c>
    </row>
    <row r="39" hidden="1">
      <c r="A39" s="15" t="s">
        <v>30</v>
      </c>
      <c r="B39" s="16">
        <v>8500.0</v>
      </c>
      <c r="C39" s="16">
        <v>7250.0</v>
      </c>
      <c r="D39" s="16">
        <v>6050.0</v>
      </c>
      <c r="E39" s="16"/>
      <c r="F39" s="16">
        <v>6050.0</v>
      </c>
      <c r="G39" s="16">
        <v>6050.0</v>
      </c>
      <c r="H39" s="16">
        <v>6050.0</v>
      </c>
      <c r="I39" s="17">
        <v>0.0</v>
      </c>
      <c r="J39" s="18"/>
      <c r="K39" s="18"/>
      <c r="L39" s="18"/>
      <c r="M39" s="18"/>
      <c r="N39" s="18"/>
      <c r="O39" s="18"/>
      <c r="P39" s="19">
        <f t="shared" si="26"/>
        <v>39950</v>
      </c>
    </row>
    <row r="40" hidden="1">
      <c r="A40" s="15"/>
      <c r="B40" s="16"/>
      <c r="C40" s="16"/>
      <c r="D40" s="16"/>
      <c r="E40" s="16"/>
      <c r="F40" s="16"/>
      <c r="G40" s="16"/>
      <c r="H40" s="16"/>
      <c r="I40" s="17">
        <v>0.0</v>
      </c>
      <c r="J40" s="18"/>
      <c r="K40" s="18"/>
      <c r="L40" s="18"/>
      <c r="M40" s="18"/>
      <c r="N40" s="18"/>
      <c r="O40" s="18"/>
      <c r="P40" s="19">
        <f t="shared" si="26"/>
        <v>0</v>
      </c>
    </row>
    <row r="41" hidden="1">
      <c r="A41" s="20" t="s">
        <v>15</v>
      </c>
      <c r="B41" s="21">
        <f t="shared" ref="B41:D41" si="27">SUM(B36:B39)</f>
        <v>34000</v>
      </c>
      <c r="C41" s="21">
        <f t="shared" si="27"/>
        <v>29000</v>
      </c>
      <c r="D41" s="21">
        <f t="shared" si="27"/>
        <v>24200</v>
      </c>
      <c r="E41" s="21"/>
      <c r="F41" s="21">
        <f t="shared" ref="F41:I41" si="28">SUM(F36:F39)</f>
        <v>24200</v>
      </c>
      <c r="G41" s="21">
        <f t="shared" si="28"/>
        <v>26850</v>
      </c>
      <c r="H41" s="21">
        <f t="shared" si="28"/>
        <v>24200</v>
      </c>
      <c r="I41" s="21">
        <f t="shared" si="28"/>
        <v>0</v>
      </c>
      <c r="J41" s="20" t="s">
        <v>15</v>
      </c>
      <c r="K41" s="20"/>
      <c r="L41" s="20"/>
      <c r="M41" s="20"/>
      <c r="N41" s="20"/>
      <c r="O41" s="20"/>
      <c r="P41" s="21">
        <f t="shared" ref="P41:W41" si="29">SUM(P36:P39)</f>
        <v>162450</v>
      </c>
      <c r="Q41" s="21">
        <f t="shared" si="29"/>
        <v>0</v>
      </c>
      <c r="R41" s="21">
        <f t="shared" si="29"/>
        <v>0</v>
      </c>
      <c r="S41" s="21">
        <f t="shared" si="29"/>
        <v>0</v>
      </c>
      <c r="T41" s="21">
        <f t="shared" si="29"/>
        <v>0</v>
      </c>
      <c r="U41" s="21">
        <f t="shared" si="29"/>
        <v>0</v>
      </c>
      <c r="V41" s="21">
        <f t="shared" si="29"/>
        <v>0</v>
      </c>
      <c r="W41" s="21">
        <f t="shared" si="29"/>
        <v>0</v>
      </c>
    </row>
    <row r="42" hidden="1">
      <c r="A42" s="23" t="s">
        <v>16</v>
      </c>
      <c r="B42" s="24">
        <v>12000.0</v>
      </c>
      <c r="C42" s="24">
        <v>10800.0</v>
      </c>
      <c r="D42" s="24">
        <v>10300.0</v>
      </c>
      <c r="E42" s="24"/>
      <c r="F42" s="24">
        <v>10500.0</v>
      </c>
      <c r="G42" s="24">
        <v>12000.0</v>
      </c>
      <c r="H42" s="24">
        <v>12000.0</v>
      </c>
      <c r="I42" s="24"/>
      <c r="J42" s="21"/>
      <c r="K42" s="21"/>
      <c r="L42" s="21"/>
      <c r="M42" s="21"/>
      <c r="N42" s="21"/>
      <c r="O42" s="21"/>
      <c r="P42" s="22">
        <f>SUM(P36:P39)</f>
        <v>162450</v>
      </c>
    </row>
    <row r="43" hidden="1">
      <c r="A43" s="57" t="s">
        <v>17</v>
      </c>
      <c r="B43" s="58">
        <f t="shared" ref="B43:D43" si="30">B41-(B42)</f>
        <v>22000</v>
      </c>
      <c r="C43" s="58">
        <f t="shared" si="30"/>
        <v>18200</v>
      </c>
      <c r="D43" s="58">
        <f t="shared" si="30"/>
        <v>13900</v>
      </c>
      <c r="E43" s="58"/>
      <c r="F43" s="58">
        <f t="shared" ref="F43:H43" si="31">F41-(F42)</f>
        <v>13700</v>
      </c>
      <c r="G43" s="58">
        <f t="shared" si="31"/>
        <v>14850</v>
      </c>
      <c r="H43" s="58">
        <f t="shared" si="31"/>
        <v>12200</v>
      </c>
      <c r="I43" s="58">
        <f>I40-(I42)</f>
        <v>0</v>
      </c>
      <c r="J43" s="25"/>
      <c r="K43" s="25"/>
      <c r="L43" s="25"/>
      <c r="M43" s="25"/>
      <c r="N43" s="25"/>
      <c r="O43" s="25"/>
      <c r="P43" s="26">
        <f t="shared" ref="P43:P45" si="32">SUM(B43:J43)</f>
        <v>94850</v>
      </c>
    </row>
    <row r="44" hidden="1">
      <c r="A44" s="27"/>
      <c r="B44" s="28"/>
      <c r="C44" s="28"/>
      <c r="D44" s="28"/>
      <c r="E44" s="28"/>
      <c r="F44" s="28"/>
      <c r="G44" s="28"/>
      <c r="H44" s="28"/>
      <c r="I44" s="28"/>
      <c r="J44" s="28"/>
      <c r="K44" s="29"/>
      <c r="L44" s="29"/>
      <c r="M44" s="29"/>
      <c r="N44" s="29"/>
      <c r="O44" s="29"/>
      <c r="P44" s="30">
        <f t="shared" si="32"/>
        <v>0</v>
      </c>
    </row>
    <row r="45" hidden="1">
      <c r="A45" s="23"/>
      <c r="B45" s="24"/>
      <c r="C45" s="24"/>
      <c r="D45" s="24"/>
      <c r="E45" s="24"/>
      <c r="F45" s="24"/>
      <c r="G45" s="24"/>
      <c r="H45" s="24"/>
      <c r="I45" s="24"/>
      <c r="J45" s="24"/>
      <c r="K45" s="25"/>
      <c r="L45" s="25"/>
      <c r="M45" s="25"/>
      <c r="N45" s="25"/>
      <c r="O45" s="25"/>
      <c r="P45" s="26">
        <f t="shared" si="32"/>
        <v>0</v>
      </c>
    </row>
    <row r="46" hidden="1">
      <c r="A46" s="37"/>
      <c r="B46" s="38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</row>
    <row r="47" hidden="1">
      <c r="A47" s="39" t="s">
        <v>22</v>
      </c>
      <c r="B47" s="40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</row>
    <row r="48" hidden="1">
      <c r="A48" s="59" t="s">
        <v>27</v>
      </c>
      <c r="B48" s="43"/>
      <c r="C48" s="44"/>
      <c r="D48" s="44"/>
      <c r="E48" s="45"/>
      <c r="F48" s="45">
        <v>200.0</v>
      </c>
      <c r="G48" s="44"/>
      <c r="H48" s="45"/>
      <c r="I48" s="44"/>
      <c r="J48" s="44"/>
      <c r="K48" s="44"/>
      <c r="L48" s="44"/>
      <c r="M48" s="44"/>
      <c r="N48" s="44"/>
      <c r="O48" s="44"/>
      <c r="P48" s="44"/>
    </row>
    <row r="49" hidden="1">
      <c r="A49" s="60" t="s">
        <v>28</v>
      </c>
      <c r="B49" s="46"/>
      <c r="C49" s="45"/>
      <c r="D49" s="45"/>
      <c r="E49" s="45"/>
      <c r="F49" s="45"/>
      <c r="G49" s="45">
        <v>1000.0</v>
      </c>
      <c r="H49" s="44"/>
      <c r="I49" s="44"/>
      <c r="J49" s="44"/>
      <c r="K49" s="44"/>
      <c r="L49" s="44"/>
      <c r="M49" s="44"/>
      <c r="N49" s="44"/>
      <c r="O49" s="44"/>
      <c r="P49" s="44"/>
    </row>
    <row r="50" hidden="1">
      <c r="A50" s="60" t="s">
        <v>29</v>
      </c>
      <c r="B50" s="43"/>
      <c r="C50" s="44"/>
      <c r="D50" s="44"/>
      <c r="E50" s="45"/>
      <c r="F50" s="45"/>
      <c r="G50" s="44"/>
      <c r="H50" s="44"/>
      <c r="I50" s="44"/>
      <c r="J50" s="44"/>
      <c r="K50" s="44"/>
      <c r="L50" s="44"/>
      <c r="M50" s="44"/>
      <c r="N50" s="44"/>
      <c r="O50" s="44"/>
      <c r="P50" s="44"/>
    </row>
    <row r="51" hidden="1">
      <c r="A51" s="60" t="s">
        <v>30</v>
      </c>
      <c r="B51" s="46"/>
      <c r="C51" s="45"/>
      <c r="D51" s="44"/>
      <c r="E51" s="45"/>
      <c r="F51" s="45"/>
      <c r="G51" s="44"/>
      <c r="H51" s="44"/>
      <c r="I51" s="44"/>
      <c r="J51" s="44"/>
      <c r="K51" s="44"/>
      <c r="L51" s="44"/>
      <c r="M51" s="44"/>
      <c r="N51" s="44"/>
      <c r="O51" s="44"/>
      <c r="P51" s="44"/>
    </row>
    <row r="52" hidden="1">
      <c r="A52" s="39"/>
      <c r="B52" s="46"/>
      <c r="C52" s="44"/>
      <c r="D52" s="44"/>
      <c r="E52" s="45"/>
      <c r="F52" s="45"/>
      <c r="G52" s="44"/>
      <c r="H52" s="44"/>
      <c r="I52" s="44"/>
      <c r="J52" s="44"/>
      <c r="K52" s="44"/>
      <c r="L52" s="44"/>
      <c r="M52" s="44"/>
      <c r="N52" s="44"/>
      <c r="O52" s="44"/>
      <c r="P52" s="44"/>
    </row>
    <row r="53" hidden="1">
      <c r="A53" s="37"/>
      <c r="B53" s="38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</row>
    <row r="54" hidden="1">
      <c r="A54" s="47" t="s">
        <v>23</v>
      </c>
      <c r="B54" s="48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7" t="s">
        <v>24</v>
      </c>
    </row>
    <row r="55" hidden="1">
      <c r="A55" s="61" t="s">
        <v>27</v>
      </c>
      <c r="B55" s="51">
        <f>B36-B49</f>
        <v>8500</v>
      </c>
      <c r="C55" s="52">
        <f>C36-C48</f>
        <v>7250</v>
      </c>
      <c r="D55" s="62"/>
      <c r="E55" s="52"/>
      <c r="F55" s="52">
        <f t="shared" ref="F55:G55" si="33">F36-F48</f>
        <v>5850</v>
      </c>
      <c r="G55" s="52">
        <f t="shared" si="33"/>
        <v>8700</v>
      </c>
      <c r="H55" s="62">
        <v>5800.0</v>
      </c>
      <c r="I55" s="52"/>
      <c r="J55" s="52"/>
      <c r="K55" s="52"/>
      <c r="L55" s="52"/>
      <c r="M55" s="52"/>
      <c r="N55" s="52"/>
      <c r="O55" s="52"/>
      <c r="P55" s="53">
        <f t="shared" ref="P55:P57" si="34">SUM(B55:J55)</f>
        <v>36100</v>
      </c>
    </row>
    <row r="56" hidden="1">
      <c r="A56" s="63" t="s">
        <v>28</v>
      </c>
      <c r="B56" s="51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3">
        <f t="shared" si="34"/>
        <v>0</v>
      </c>
    </row>
    <row r="57" hidden="1">
      <c r="A57" s="63" t="s">
        <v>29</v>
      </c>
      <c r="B57" s="51">
        <f>(B43-B55)/2</f>
        <v>6750</v>
      </c>
      <c r="C57" s="52"/>
      <c r="D57" s="52">
        <f>(D41-12100-D42)</f>
        <v>1800</v>
      </c>
      <c r="E57" s="52"/>
      <c r="F57" s="52">
        <f>(F43-F55-200)/2</f>
        <v>3825</v>
      </c>
      <c r="G57" s="52">
        <f>(11700-5800)/2-G49</f>
        <v>1950</v>
      </c>
      <c r="H57" s="52">
        <f>(H43-H55)/2</f>
        <v>3200</v>
      </c>
      <c r="I57" s="52"/>
      <c r="J57" s="52"/>
      <c r="K57" s="52"/>
      <c r="L57" s="52"/>
      <c r="M57" s="52"/>
      <c r="N57" s="52"/>
      <c r="O57" s="52"/>
      <c r="P57" s="53">
        <f t="shared" si="34"/>
        <v>17525</v>
      </c>
    </row>
    <row r="58" hidden="1">
      <c r="A58" s="63" t="s">
        <v>30</v>
      </c>
      <c r="B58" s="51">
        <f>(B43-B55)/2</f>
        <v>6750</v>
      </c>
      <c r="C58" s="52"/>
      <c r="D58" s="52"/>
      <c r="E58" s="52"/>
      <c r="F58" s="52">
        <f>(F43-F55-200)/2</f>
        <v>3825</v>
      </c>
      <c r="G58" s="52">
        <f>(12200-5800)/2</f>
        <v>3200</v>
      </c>
      <c r="H58" s="52">
        <f>(H43-H55)/2</f>
        <v>3200</v>
      </c>
      <c r="I58" s="52"/>
      <c r="J58" s="52"/>
      <c r="K58" s="52"/>
      <c r="L58" s="52"/>
      <c r="M58" s="52"/>
      <c r="N58" s="52"/>
      <c r="O58" s="52"/>
      <c r="P58" s="53">
        <f>SUM(B58:H58)</f>
        <v>16975</v>
      </c>
    </row>
    <row r="59" hidden="1">
      <c r="A59" s="47"/>
      <c r="B59" s="54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</row>
    <row r="60" hidden="1"/>
    <row r="61" hidden="1">
      <c r="A61" s="1" t="s">
        <v>0</v>
      </c>
      <c r="B61" s="2" t="s">
        <v>1</v>
      </c>
      <c r="C61" s="3" t="s">
        <v>2</v>
      </c>
      <c r="D61" s="3" t="s">
        <v>3</v>
      </c>
      <c r="E61" s="3"/>
      <c r="F61" s="3" t="s">
        <v>4</v>
      </c>
      <c r="G61" s="3" t="s">
        <v>5</v>
      </c>
      <c r="H61" s="3" t="s">
        <v>6</v>
      </c>
      <c r="I61" s="4" t="s">
        <v>7</v>
      </c>
      <c r="J61" s="4" t="s">
        <v>8</v>
      </c>
      <c r="K61" s="4"/>
      <c r="L61" s="4"/>
      <c r="M61" s="4"/>
      <c r="N61" s="4"/>
      <c r="O61" s="4"/>
      <c r="P61" s="1" t="s">
        <v>0</v>
      </c>
    </row>
    <row r="62" hidden="1">
      <c r="A62" s="6" t="s">
        <v>31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8"/>
    </row>
    <row r="63" hidden="1">
      <c r="A63" s="55" t="s">
        <v>32</v>
      </c>
      <c r="B63" s="10">
        <v>9500.0</v>
      </c>
      <c r="C63" s="10">
        <v>7750.0</v>
      </c>
      <c r="D63" s="10">
        <v>7500.0</v>
      </c>
      <c r="E63" s="10"/>
      <c r="F63" s="10">
        <v>7500.0</v>
      </c>
      <c r="G63" s="10">
        <v>7000.0</v>
      </c>
      <c r="H63" s="10">
        <v>7000.0</v>
      </c>
      <c r="I63" s="11">
        <v>0.0</v>
      </c>
      <c r="J63" s="12"/>
      <c r="K63" s="12"/>
      <c r="L63" s="12"/>
      <c r="M63" s="12"/>
      <c r="N63" s="12"/>
      <c r="O63" s="12"/>
      <c r="P63" s="13">
        <f>SUM(B63:J63)</f>
        <v>46250</v>
      </c>
    </row>
    <row r="64" hidden="1">
      <c r="A64" s="15">
        <v>70.0</v>
      </c>
      <c r="B64" s="10">
        <v>9500.0</v>
      </c>
      <c r="C64" s="10">
        <v>7750.0</v>
      </c>
      <c r="D64" s="10">
        <v>7500.0</v>
      </c>
      <c r="E64" s="10"/>
      <c r="F64" s="10">
        <v>7500.0</v>
      </c>
      <c r="G64" s="10">
        <v>7000.0</v>
      </c>
      <c r="H64" s="10">
        <v>7000.0</v>
      </c>
      <c r="I64" s="11">
        <v>0.0</v>
      </c>
      <c r="J64" s="12"/>
      <c r="K64" s="12"/>
      <c r="L64" s="12"/>
      <c r="M64" s="12"/>
      <c r="N64" s="12"/>
      <c r="O64" s="12"/>
      <c r="P64" s="13">
        <f t="shared" ref="P64:P67" si="35">SUM(B64:I64)</f>
        <v>46250</v>
      </c>
    </row>
    <row r="65" hidden="1">
      <c r="A65" s="15" t="s">
        <v>29</v>
      </c>
      <c r="B65" s="10">
        <v>9500.0</v>
      </c>
      <c r="C65" s="10">
        <v>7750.0</v>
      </c>
      <c r="D65" s="10">
        <v>7500.0</v>
      </c>
      <c r="E65" s="10"/>
      <c r="F65" s="10">
        <v>7500.0</v>
      </c>
      <c r="G65" s="10">
        <v>7000.0</v>
      </c>
      <c r="H65" s="10">
        <v>7000.0</v>
      </c>
      <c r="I65" s="11">
        <v>0.0</v>
      </c>
      <c r="J65" s="12"/>
      <c r="K65" s="12"/>
      <c r="L65" s="12"/>
      <c r="M65" s="12"/>
      <c r="N65" s="12"/>
      <c r="O65" s="12"/>
      <c r="P65" s="13">
        <f t="shared" si="35"/>
        <v>46250</v>
      </c>
    </row>
    <row r="66" hidden="1">
      <c r="A66" s="15" t="s">
        <v>30</v>
      </c>
      <c r="B66" s="16">
        <v>9500.0</v>
      </c>
      <c r="C66" s="16">
        <v>7750.0</v>
      </c>
      <c r="D66" s="16">
        <v>7500.0</v>
      </c>
      <c r="E66" s="16"/>
      <c r="F66" s="16">
        <v>7500.0</v>
      </c>
      <c r="G66" s="16">
        <v>7000.0</v>
      </c>
      <c r="H66" s="16">
        <v>7000.0</v>
      </c>
      <c r="I66" s="17">
        <v>0.0</v>
      </c>
      <c r="J66" s="18"/>
      <c r="K66" s="18"/>
      <c r="L66" s="18"/>
      <c r="M66" s="18"/>
      <c r="N66" s="18"/>
      <c r="O66" s="18"/>
      <c r="P66" s="19">
        <f t="shared" si="35"/>
        <v>46250</v>
      </c>
    </row>
    <row r="67" hidden="1">
      <c r="A67" s="15"/>
      <c r="B67" s="16"/>
      <c r="C67" s="16"/>
      <c r="D67" s="16"/>
      <c r="E67" s="16"/>
      <c r="F67" s="16"/>
      <c r="G67" s="16"/>
      <c r="H67" s="16"/>
      <c r="I67" s="17">
        <v>0.0</v>
      </c>
      <c r="J67" s="18"/>
      <c r="K67" s="18"/>
      <c r="L67" s="18"/>
      <c r="M67" s="18"/>
      <c r="N67" s="18"/>
      <c r="O67" s="18"/>
      <c r="P67" s="19">
        <f t="shared" si="35"/>
        <v>0</v>
      </c>
    </row>
    <row r="68" hidden="1">
      <c r="A68" s="20" t="s">
        <v>15</v>
      </c>
      <c r="B68" s="21">
        <f t="shared" ref="B68:D68" si="36">SUM(B63:B66)</f>
        <v>38000</v>
      </c>
      <c r="C68" s="21">
        <f t="shared" si="36"/>
        <v>31000</v>
      </c>
      <c r="D68" s="21">
        <f t="shared" si="36"/>
        <v>30000</v>
      </c>
      <c r="E68" s="21"/>
      <c r="F68" s="21">
        <f t="shared" ref="F68:I68" si="37">SUM(F63:F66)</f>
        <v>30000</v>
      </c>
      <c r="G68" s="21">
        <f t="shared" si="37"/>
        <v>28000</v>
      </c>
      <c r="H68" s="21">
        <f t="shared" si="37"/>
        <v>28000</v>
      </c>
      <c r="I68" s="21">
        <f t="shared" si="37"/>
        <v>0</v>
      </c>
      <c r="J68" s="20" t="s">
        <v>15</v>
      </c>
      <c r="K68" s="20"/>
      <c r="L68" s="20"/>
      <c r="M68" s="20"/>
      <c r="N68" s="20"/>
      <c r="O68" s="20"/>
      <c r="P68" s="21">
        <f>SUM(P63:P66)</f>
        <v>185000</v>
      </c>
    </row>
    <row r="69" hidden="1">
      <c r="A69" s="23" t="s">
        <v>16</v>
      </c>
      <c r="B69" s="24">
        <v>10800.0</v>
      </c>
      <c r="C69" s="24">
        <v>9770.0</v>
      </c>
      <c r="D69" s="24">
        <v>9400.0</v>
      </c>
      <c r="E69" s="24"/>
      <c r="F69" s="24">
        <v>9400.0</v>
      </c>
      <c r="G69" s="24">
        <v>10800.0</v>
      </c>
      <c r="H69" s="24">
        <v>10800.0</v>
      </c>
      <c r="I69" s="24"/>
      <c r="J69" s="21"/>
      <c r="K69" s="21"/>
      <c r="L69" s="21"/>
      <c r="M69" s="21"/>
      <c r="N69" s="21"/>
      <c r="O69" s="21"/>
      <c r="P69" s="22"/>
    </row>
    <row r="70" hidden="1">
      <c r="A70" s="57" t="s">
        <v>17</v>
      </c>
      <c r="B70" s="58">
        <f t="shared" ref="B70:D70" si="38">B68-(B69)</f>
        <v>27200</v>
      </c>
      <c r="C70" s="58">
        <f t="shared" si="38"/>
        <v>21230</v>
      </c>
      <c r="D70" s="58">
        <f t="shared" si="38"/>
        <v>20600</v>
      </c>
      <c r="E70" s="58"/>
      <c r="F70" s="58">
        <f t="shared" ref="F70:H70" si="39">F68-(F69)</f>
        <v>20600</v>
      </c>
      <c r="G70" s="58">
        <f t="shared" si="39"/>
        <v>17200</v>
      </c>
      <c r="H70" s="58">
        <f t="shared" si="39"/>
        <v>17200</v>
      </c>
      <c r="I70" s="58">
        <f>I67-(I69)</f>
        <v>0</v>
      </c>
      <c r="J70" s="25"/>
      <c r="K70" s="25"/>
      <c r="L70" s="25"/>
      <c r="M70" s="25"/>
      <c r="N70" s="25"/>
      <c r="O70" s="25"/>
      <c r="P70" s="26">
        <f t="shared" ref="P70:P72" si="40">SUM(B70:J70)</f>
        <v>124030</v>
      </c>
    </row>
    <row r="71" hidden="1">
      <c r="A71" s="27" t="s">
        <v>33</v>
      </c>
      <c r="B71" s="28"/>
      <c r="C71" s="28">
        <v>1000.0</v>
      </c>
      <c r="D71" s="28">
        <v>1000.0</v>
      </c>
      <c r="E71" s="28"/>
      <c r="F71" s="28">
        <v>1000.0</v>
      </c>
      <c r="G71" s="28">
        <v>1000.0</v>
      </c>
      <c r="H71" s="28">
        <v>1000.0</v>
      </c>
      <c r="I71" s="28"/>
      <c r="J71" s="28"/>
      <c r="K71" s="29"/>
      <c r="L71" s="29"/>
      <c r="M71" s="29"/>
      <c r="N71" s="29"/>
      <c r="O71" s="29"/>
      <c r="P71" s="30">
        <f t="shared" si="40"/>
        <v>5000</v>
      </c>
    </row>
    <row r="72" hidden="1">
      <c r="A72" s="23"/>
      <c r="B72" s="24"/>
      <c r="C72" s="24"/>
      <c r="D72" s="24"/>
      <c r="E72" s="24"/>
      <c r="F72" s="24"/>
      <c r="G72" s="24"/>
      <c r="H72" s="24"/>
      <c r="I72" s="24"/>
      <c r="J72" s="24"/>
      <c r="K72" s="25"/>
      <c r="L72" s="25"/>
      <c r="M72" s="25"/>
      <c r="N72" s="25"/>
      <c r="O72" s="25"/>
      <c r="P72" s="26">
        <f t="shared" si="40"/>
        <v>0</v>
      </c>
    </row>
    <row r="73" hidden="1">
      <c r="A73" s="37"/>
      <c r="B73" s="38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</row>
    <row r="74" hidden="1">
      <c r="A74" s="39" t="s">
        <v>22</v>
      </c>
      <c r="B74" s="40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</row>
    <row r="75" hidden="1">
      <c r="A75" s="59" t="s">
        <v>32</v>
      </c>
      <c r="B75" s="43">
        <v>2000.0</v>
      </c>
      <c r="C75" s="44"/>
      <c r="D75" s="44"/>
      <c r="E75" s="45"/>
      <c r="F75" s="45"/>
      <c r="G75" s="44"/>
      <c r="H75" s="45"/>
      <c r="I75" s="44"/>
      <c r="J75" s="44"/>
      <c r="K75" s="44"/>
      <c r="L75" s="44"/>
      <c r="M75" s="44"/>
      <c r="N75" s="44"/>
      <c r="O75" s="44"/>
      <c r="P75" s="44"/>
    </row>
    <row r="76" hidden="1">
      <c r="A76" s="60" t="s">
        <v>28</v>
      </c>
      <c r="B76" s="46"/>
      <c r="C76" s="45"/>
      <c r="D76" s="45"/>
      <c r="E76" s="45"/>
      <c r="F76" s="45"/>
      <c r="G76" s="45"/>
      <c r="H76" s="44"/>
      <c r="I76" s="44"/>
      <c r="J76" s="44"/>
      <c r="K76" s="44"/>
      <c r="L76" s="44"/>
      <c r="M76" s="44"/>
      <c r="N76" s="44"/>
      <c r="O76" s="44"/>
      <c r="P76" s="44"/>
    </row>
    <row r="77" hidden="1">
      <c r="A77" s="60" t="s">
        <v>29</v>
      </c>
      <c r="B77" s="43"/>
      <c r="C77" s="44"/>
      <c r="D77" s="44"/>
      <c r="E77" s="45"/>
      <c r="F77" s="45">
        <f>1150+200</f>
        <v>1350</v>
      </c>
      <c r="G77" s="44">
        <f>3230</f>
        <v>3230</v>
      </c>
      <c r="H77" s="44"/>
      <c r="I77" s="44"/>
      <c r="J77" s="44"/>
      <c r="K77" s="44"/>
      <c r="L77" s="44"/>
      <c r="M77" s="44"/>
      <c r="N77" s="44"/>
      <c r="O77" s="44"/>
      <c r="P77" s="44"/>
    </row>
    <row r="78" hidden="1">
      <c r="A78" s="60" t="s">
        <v>30</v>
      </c>
      <c r="B78" s="46"/>
      <c r="C78" s="45"/>
      <c r="D78" s="44"/>
      <c r="E78" s="45"/>
      <c r="F78" s="45"/>
      <c r="G78" s="44"/>
      <c r="H78" s="44"/>
      <c r="I78" s="44"/>
      <c r="J78" s="44"/>
      <c r="K78" s="44"/>
      <c r="L78" s="44"/>
      <c r="M78" s="44"/>
      <c r="N78" s="44"/>
      <c r="O78" s="44"/>
      <c r="P78" s="44"/>
    </row>
    <row r="79" hidden="1">
      <c r="A79" s="39"/>
      <c r="B79" s="46"/>
      <c r="C79" s="44"/>
      <c r="D79" s="44"/>
      <c r="E79" s="45"/>
      <c r="F79" s="45"/>
      <c r="G79" s="44"/>
      <c r="H79" s="44"/>
      <c r="I79" s="44"/>
      <c r="J79" s="44"/>
      <c r="K79" s="44"/>
      <c r="L79" s="44"/>
      <c r="M79" s="44"/>
      <c r="N79" s="44"/>
      <c r="O79" s="44"/>
      <c r="P79" s="44"/>
    </row>
    <row r="80" hidden="1">
      <c r="A80" s="37"/>
      <c r="B80" s="38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</row>
    <row r="81" hidden="1">
      <c r="A81" s="47" t="s">
        <v>23</v>
      </c>
      <c r="B81" s="48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7" t="s">
        <v>24</v>
      </c>
    </row>
    <row r="82" hidden="1">
      <c r="A82" s="61" t="s">
        <v>32</v>
      </c>
      <c r="B82" s="51">
        <f t="shared" ref="B82:D82" si="41">(B70/3)-B75</f>
        <v>7066.666667</v>
      </c>
      <c r="C82" s="52">
        <f t="shared" si="41"/>
        <v>7076.666667</v>
      </c>
      <c r="D82" s="62">
        <f t="shared" si="41"/>
        <v>6866.666667</v>
      </c>
      <c r="E82" s="52"/>
      <c r="F82" s="52">
        <f t="shared" ref="F82:H82" si="42">(F70/3)-F75</f>
        <v>6866.666667</v>
      </c>
      <c r="G82" s="52">
        <f t="shared" si="42"/>
        <v>5733.333333</v>
      </c>
      <c r="H82" s="62">
        <f t="shared" si="42"/>
        <v>5733.333333</v>
      </c>
      <c r="I82" s="52"/>
      <c r="J82" s="52"/>
      <c r="K82" s="52"/>
      <c r="L82" s="52"/>
      <c r="M82" s="52"/>
      <c r="N82" s="52"/>
      <c r="O82" s="52"/>
      <c r="P82" s="52">
        <f>SUM(C82:J82)</f>
        <v>32276.66667</v>
      </c>
    </row>
    <row r="83" hidden="1">
      <c r="A83" s="63" t="s">
        <v>28</v>
      </c>
      <c r="B83" s="51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3">
        <f t="shared" ref="P83:P84" si="44">SUM(B83:J83)</f>
        <v>0</v>
      </c>
    </row>
    <row r="84" hidden="1">
      <c r="A84" s="63" t="s">
        <v>29</v>
      </c>
      <c r="B84" s="51">
        <f t="shared" ref="B84:D84" si="43">B70/3</f>
        <v>9066.666667</v>
      </c>
      <c r="C84" s="52">
        <f t="shared" si="43"/>
        <v>7076.666667</v>
      </c>
      <c r="D84" s="52">
        <f t="shared" si="43"/>
        <v>6866.666667</v>
      </c>
      <c r="E84" s="52"/>
      <c r="F84" s="52">
        <f>(F70/3)-F77</f>
        <v>5516.666667</v>
      </c>
      <c r="G84" s="52">
        <f>(G70/3)+G77</f>
        <v>8963.333333</v>
      </c>
      <c r="H84" s="52">
        <f>H70/3</f>
        <v>5733.333333</v>
      </c>
      <c r="I84" s="52"/>
      <c r="J84" s="52"/>
      <c r="K84" s="52"/>
      <c r="L84" s="52"/>
      <c r="M84" s="52"/>
      <c r="N84" s="52"/>
      <c r="O84" s="52"/>
      <c r="P84" s="53">
        <f t="shared" si="44"/>
        <v>43223.33333</v>
      </c>
    </row>
    <row r="85" hidden="1">
      <c r="A85" s="63" t="s">
        <v>30</v>
      </c>
      <c r="B85" s="51">
        <f t="shared" ref="B85:D85" si="45">B70/3</f>
        <v>9066.666667</v>
      </c>
      <c r="C85" s="52">
        <f t="shared" si="45"/>
        <v>7076.666667</v>
      </c>
      <c r="D85" s="52">
        <f t="shared" si="45"/>
        <v>6866.666667</v>
      </c>
      <c r="E85" s="52"/>
      <c r="F85" s="52">
        <f t="shared" ref="F85:H85" si="46">F70/3</f>
        <v>6866.666667</v>
      </c>
      <c r="G85" s="52">
        <f t="shared" si="46"/>
        <v>5733.333333</v>
      </c>
      <c r="H85" s="52">
        <f t="shared" si="46"/>
        <v>5733.333333</v>
      </c>
      <c r="I85" s="52"/>
      <c r="J85" s="52"/>
      <c r="K85" s="52"/>
      <c r="L85" s="52"/>
      <c r="M85" s="52"/>
      <c r="N85" s="52"/>
      <c r="O85" s="52"/>
      <c r="P85" s="53">
        <f>SUM(B85:H85)</f>
        <v>41343.33333</v>
      </c>
    </row>
    <row r="86" hidden="1">
      <c r="A86" s="47"/>
      <c r="B86" s="54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</row>
    <row r="87" hidden="1"/>
    <row r="88" hidden="1">
      <c r="A88" s="1" t="s">
        <v>0</v>
      </c>
      <c r="B88" s="2" t="s">
        <v>1</v>
      </c>
      <c r="C88" s="3" t="s">
        <v>2</v>
      </c>
      <c r="D88" s="3" t="s">
        <v>3</v>
      </c>
      <c r="E88" s="3"/>
      <c r="F88" s="3" t="s">
        <v>4</v>
      </c>
      <c r="G88" s="3" t="s">
        <v>5</v>
      </c>
      <c r="H88" s="3" t="s">
        <v>6</v>
      </c>
      <c r="I88" s="4" t="s">
        <v>34</v>
      </c>
      <c r="J88" s="4"/>
      <c r="K88" s="4"/>
      <c r="L88" s="4"/>
      <c r="M88" s="4"/>
      <c r="N88" s="4"/>
      <c r="O88" s="4"/>
      <c r="P88" s="1" t="s">
        <v>0</v>
      </c>
    </row>
    <row r="89" hidden="1">
      <c r="A89" s="6" t="s">
        <v>35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8"/>
    </row>
    <row r="90" hidden="1">
      <c r="A90" s="55" t="s">
        <v>36</v>
      </c>
      <c r="B90" s="10">
        <v>9500.0</v>
      </c>
      <c r="C90" s="10">
        <v>7750.0</v>
      </c>
      <c r="D90" s="10">
        <v>7500.0</v>
      </c>
      <c r="E90" s="10"/>
      <c r="F90" s="10">
        <v>7500.0</v>
      </c>
      <c r="G90" s="10">
        <v>7000.0</v>
      </c>
      <c r="H90" s="10">
        <v>7000.0</v>
      </c>
      <c r="I90" s="11">
        <v>0.0</v>
      </c>
      <c r="J90" s="12"/>
      <c r="K90" s="12"/>
      <c r="L90" s="12"/>
      <c r="M90" s="12"/>
      <c r="N90" s="12"/>
      <c r="O90" s="12"/>
      <c r="P90" s="13">
        <f>SUM(B90:J90)</f>
        <v>46250</v>
      </c>
    </row>
    <row r="91" hidden="1">
      <c r="A91" s="14">
        <v>44474.0</v>
      </c>
      <c r="B91" s="10">
        <v>9500.0</v>
      </c>
      <c r="C91" s="10">
        <v>7750.0</v>
      </c>
      <c r="D91" s="10">
        <v>7500.0</v>
      </c>
      <c r="E91" s="10"/>
      <c r="F91" s="10">
        <v>7500.0</v>
      </c>
      <c r="G91" s="10">
        <v>7000.0</v>
      </c>
      <c r="H91" s="10">
        <v>7000.0</v>
      </c>
      <c r="I91" s="11">
        <v>0.0</v>
      </c>
      <c r="J91" s="12"/>
      <c r="K91" s="12"/>
      <c r="L91" s="12"/>
      <c r="M91" s="12"/>
      <c r="N91" s="12"/>
      <c r="O91" s="12"/>
      <c r="P91" s="13">
        <f t="shared" ref="P91:P94" si="47">SUM(B91:I91)</f>
        <v>46250</v>
      </c>
    </row>
    <row r="92" hidden="1">
      <c r="A92" s="15" t="s">
        <v>37</v>
      </c>
      <c r="B92" s="10">
        <v>9500.0</v>
      </c>
      <c r="C92" s="10">
        <v>7750.0</v>
      </c>
      <c r="D92" s="10">
        <v>7500.0</v>
      </c>
      <c r="E92" s="10"/>
      <c r="F92" s="10">
        <v>7500.0</v>
      </c>
      <c r="G92" s="10">
        <v>7000.0</v>
      </c>
      <c r="H92" s="10">
        <v>7000.0</v>
      </c>
      <c r="I92" s="11">
        <v>0.0</v>
      </c>
      <c r="J92" s="12"/>
      <c r="K92" s="12"/>
      <c r="L92" s="12"/>
      <c r="M92" s="12"/>
      <c r="N92" s="12"/>
      <c r="O92" s="12"/>
      <c r="P92" s="13">
        <f t="shared" si="47"/>
        <v>46250</v>
      </c>
    </row>
    <row r="93" hidden="1">
      <c r="A93" s="15" t="s">
        <v>38</v>
      </c>
      <c r="B93" s="16">
        <v>9500.0</v>
      </c>
      <c r="C93" s="16">
        <v>7750.0</v>
      </c>
      <c r="D93" s="16">
        <v>7500.0</v>
      </c>
      <c r="E93" s="16"/>
      <c r="F93" s="16">
        <v>7500.0</v>
      </c>
      <c r="G93" s="16">
        <v>7000.0</v>
      </c>
      <c r="H93" s="16">
        <v>7000.0</v>
      </c>
      <c r="I93" s="17">
        <v>0.0</v>
      </c>
      <c r="J93" s="18"/>
      <c r="K93" s="18"/>
      <c r="L93" s="18"/>
      <c r="M93" s="18"/>
      <c r="N93" s="18"/>
      <c r="O93" s="18"/>
      <c r="P93" s="19">
        <f t="shared" si="47"/>
        <v>46250</v>
      </c>
    </row>
    <row r="94" hidden="1">
      <c r="A94" s="15" t="s">
        <v>39</v>
      </c>
      <c r="B94" s="16"/>
      <c r="C94" s="16"/>
      <c r="D94" s="16"/>
      <c r="E94" s="16"/>
      <c r="F94" s="16"/>
      <c r="G94" s="16"/>
      <c r="H94" s="16"/>
      <c r="I94" s="17">
        <v>0.0</v>
      </c>
      <c r="J94" s="18"/>
      <c r="K94" s="18"/>
      <c r="L94" s="18"/>
      <c r="M94" s="18"/>
      <c r="N94" s="18"/>
      <c r="O94" s="18"/>
      <c r="P94" s="19">
        <f t="shared" si="47"/>
        <v>0</v>
      </c>
    </row>
    <row r="95" hidden="1">
      <c r="A95" s="20" t="s">
        <v>15</v>
      </c>
      <c r="B95" s="21">
        <f t="shared" ref="B95:D95" si="48">SUM(B90:B93)</f>
        <v>38000</v>
      </c>
      <c r="C95" s="21">
        <f t="shared" si="48"/>
        <v>31000</v>
      </c>
      <c r="D95" s="21">
        <f t="shared" si="48"/>
        <v>30000</v>
      </c>
      <c r="E95" s="21"/>
      <c r="F95" s="21">
        <f t="shared" ref="F95:I95" si="49">SUM(F90:F93)</f>
        <v>30000</v>
      </c>
      <c r="G95" s="21">
        <f t="shared" si="49"/>
        <v>28000</v>
      </c>
      <c r="H95" s="21">
        <f t="shared" si="49"/>
        <v>28000</v>
      </c>
      <c r="I95" s="21">
        <f t="shared" si="49"/>
        <v>0</v>
      </c>
      <c r="J95" s="20" t="s">
        <v>15</v>
      </c>
      <c r="K95" s="20"/>
      <c r="L95" s="20"/>
      <c r="M95" s="20"/>
      <c r="N95" s="20"/>
      <c r="O95" s="20"/>
      <c r="P95" s="21">
        <f>SUM(P90:P93)</f>
        <v>185000</v>
      </c>
    </row>
    <row r="96" hidden="1">
      <c r="A96" s="23" t="s">
        <v>16</v>
      </c>
      <c r="B96" s="24">
        <v>10800.0</v>
      </c>
      <c r="C96" s="24">
        <v>9770.0</v>
      </c>
      <c r="D96" s="24">
        <v>9400.0</v>
      </c>
      <c r="E96" s="24"/>
      <c r="F96" s="24">
        <v>9400.0</v>
      </c>
      <c r="G96" s="24">
        <v>10800.0</v>
      </c>
      <c r="H96" s="24">
        <v>10800.0</v>
      </c>
      <c r="I96" s="24"/>
      <c r="J96" s="21"/>
      <c r="K96" s="21"/>
      <c r="L96" s="21"/>
      <c r="M96" s="21"/>
      <c r="N96" s="21"/>
      <c r="O96" s="21"/>
      <c r="P96" s="22"/>
    </row>
    <row r="97" hidden="1">
      <c r="A97" s="57" t="s">
        <v>17</v>
      </c>
      <c r="B97" s="58">
        <f t="shared" ref="B97:D97" si="50">B95-(B96)</f>
        <v>27200</v>
      </c>
      <c r="C97" s="58">
        <f t="shared" si="50"/>
        <v>21230</v>
      </c>
      <c r="D97" s="58">
        <f t="shared" si="50"/>
        <v>20600</v>
      </c>
      <c r="E97" s="58"/>
      <c r="F97" s="58">
        <f t="shared" ref="F97:H97" si="51">F95-(F96)</f>
        <v>20600</v>
      </c>
      <c r="G97" s="58">
        <f t="shared" si="51"/>
        <v>17200</v>
      </c>
      <c r="H97" s="58">
        <f t="shared" si="51"/>
        <v>17200</v>
      </c>
      <c r="I97" s="58">
        <f>I94-(I96)</f>
        <v>0</v>
      </c>
      <c r="J97" s="25"/>
      <c r="K97" s="25"/>
      <c r="L97" s="25"/>
      <c r="M97" s="25"/>
      <c r="N97" s="25"/>
      <c r="O97" s="25"/>
      <c r="P97" s="26">
        <f t="shared" ref="P97:P100" si="52">SUM(B97:J97)</f>
        <v>124030</v>
      </c>
    </row>
    <row r="98" hidden="1">
      <c r="A98" s="27" t="s">
        <v>40</v>
      </c>
      <c r="B98" s="28"/>
      <c r="C98" s="28">
        <v>600.0</v>
      </c>
      <c r="D98" s="28">
        <v>1800.0</v>
      </c>
      <c r="E98" s="28"/>
      <c r="F98" s="28">
        <v>1000.0</v>
      </c>
      <c r="G98" s="28"/>
      <c r="H98" s="28">
        <f>600*6</f>
        <v>3600</v>
      </c>
      <c r="I98" s="28"/>
      <c r="J98" s="28"/>
      <c r="K98" s="29"/>
      <c r="L98" s="29"/>
      <c r="M98" s="29"/>
      <c r="N98" s="29"/>
      <c r="O98" s="29"/>
      <c r="P98" s="30">
        <f t="shared" si="52"/>
        <v>7000</v>
      </c>
    </row>
    <row r="99" hidden="1">
      <c r="A99" s="23" t="s">
        <v>41</v>
      </c>
      <c r="B99" s="24"/>
      <c r="C99" s="24">
        <v>1000.0</v>
      </c>
      <c r="D99" s="24">
        <v>1000.0</v>
      </c>
      <c r="E99" s="24"/>
      <c r="F99" s="24">
        <v>1000.0</v>
      </c>
      <c r="G99" s="24">
        <v>1000.0</v>
      </c>
      <c r="H99" s="24">
        <v>1000.0</v>
      </c>
      <c r="I99" s="24"/>
      <c r="J99" s="24"/>
      <c r="K99" s="25"/>
      <c r="L99" s="25"/>
      <c r="M99" s="25"/>
      <c r="N99" s="25"/>
      <c r="O99" s="25"/>
      <c r="P99" s="26">
        <f t="shared" si="52"/>
        <v>5000</v>
      </c>
    </row>
    <row r="100" hidden="1">
      <c r="A100" s="23" t="s">
        <v>42</v>
      </c>
      <c r="B100" s="24">
        <v>1000.0</v>
      </c>
      <c r="C100" s="24">
        <v>1000.0</v>
      </c>
      <c r="D100" s="24">
        <v>1000.0</v>
      </c>
      <c r="E100" s="24"/>
      <c r="F100" s="24">
        <v>1000.0</v>
      </c>
      <c r="G100" s="24">
        <v>1000.0</v>
      </c>
      <c r="H100" s="24">
        <v>1000.0</v>
      </c>
      <c r="I100" s="24">
        <v>1000.0</v>
      </c>
      <c r="J100" s="24"/>
      <c r="K100" s="25"/>
      <c r="L100" s="25"/>
      <c r="M100" s="25"/>
      <c r="N100" s="25"/>
      <c r="O100" s="25"/>
      <c r="P100" s="26">
        <f t="shared" si="52"/>
        <v>7000</v>
      </c>
    </row>
    <row r="101" hidden="1">
      <c r="A101" s="39" t="s">
        <v>22</v>
      </c>
      <c r="B101" s="40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</row>
    <row r="102" hidden="1">
      <c r="A102" s="59" t="s">
        <v>36</v>
      </c>
      <c r="B102" s="43"/>
      <c r="C102" s="44"/>
      <c r="D102" s="44"/>
      <c r="E102" s="45"/>
      <c r="F102" s="45"/>
      <c r="G102" s="44"/>
      <c r="H102" s="45"/>
      <c r="I102" s="44"/>
      <c r="J102" s="44"/>
      <c r="K102" s="44"/>
      <c r="L102" s="44"/>
      <c r="M102" s="44"/>
      <c r="N102" s="44"/>
      <c r="O102" s="44"/>
      <c r="P102" s="44"/>
    </row>
    <row r="103" hidden="1">
      <c r="A103" s="64">
        <v>44474.0</v>
      </c>
      <c r="B103" s="46"/>
      <c r="C103" s="45"/>
      <c r="D103" s="45"/>
      <c r="E103" s="45"/>
      <c r="F103" s="45">
        <v>500.0</v>
      </c>
      <c r="G103" s="45"/>
      <c r="H103" s="44"/>
      <c r="I103" s="44"/>
      <c r="J103" s="44"/>
      <c r="K103" s="44"/>
      <c r="L103" s="44"/>
      <c r="M103" s="44"/>
      <c r="N103" s="44"/>
      <c r="O103" s="44"/>
      <c r="P103" s="44"/>
    </row>
    <row r="104" hidden="1">
      <c r="A104" s="60" t="s">
        <v>37</v>
      </c>
      <c r="B104" s="43"/>
      <c r="C104" s="45">
        <v>1000.0</v>
      </c>
      <c r="D104" s="44"/>
      <c r="E104" s="45"/>
      <c r="F104" s="45">
        <v>300.0</v>
      </c>
      <c r="G104" s="44"/>
      <c r="H104" s="44"/>
      <c r="I104" s="44"/>
      <c r="J104" s="44"/>
      <c r="K104" s="44"/>
      <c r="L104" s="44"/>
      <c r="M104" s="44"/>
      <c r="N104" s="44"/>
      <c r="O104" s="44"/>
      <c r="P104" s="44"/>
    </row>
    <row r="105" hidden="1">
      <c r="A105" s="60" t="s">
        <v>38</v>
      </c>
      <c r="B105" s="46"/>
      <c r="C105" s="45"/>
      <c r="D105" s="44"/>
      <c r="E105" s="45"/>
      <c r="F105" s="45">
        <v>300.0</v>
      </c>
      <c r="G105" s="44"/>
      <c r="H105" s="45">
        <v>340.0</v>
      </c>
      <c r="I105" s="44"/>
      <c r="J105" s="44"/>
      <c r="K105" s="44"/>
      <c r="L105" s="44"/>
      <c r="M105" s="44"/>
      <c r="N105" s="44"/>
      <c r="O105" s="44"/>
      <c r="P105" s="44"/>
    </row>
    <row r="106" hidden="1">
      <c r="A106" s="64">
        <v>44222.0</v>
      </c>
      <c r="B106" s="46"/>
      <c r="C106" s="44"/>
      <c r="D106" s="44"/>
      <c r="E106" s="45"/>
      <c r="F106" s="45"/>
      <c r="G106" s="44"/>
      <c r="H106" s="45"/>
      <c r="I106" s="44"/>
      <c r="J106" s="44"/>
      <c r="K106" s="44"/>
      <c r="L106" s="44"/>
      <c r="M106" s="44"/>
      <c r="N106" s="44"/>
      <c r="O106" s="44"/>
      <c r="P106" s="44"/>
    </row>
    <row r="107" hidden="1">
      <c r="A107" s="37"/>
      <c r="B107" s="38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</row>
    <row r="108" hidden="1">
      <c r="A108" s="47" t="s">
        <v>23</v>
      </c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7" t="s">
        <v>24</v>
      </c>
    </row>
    <row r="109" hidden="1">
      <c r="A109" s="61" t="s">
        <v>36</v>
      </c>
      <c r="B109" s="51">
        <f>(B97/3)-B102</f>
        <v>9066.666667</v>
      </c>
      <c r="C109" s="52">
        <f t="shared" ref="C109:D109" si="53">(C97/3)-C102+C99</f>
        <v>8076.666667</v>
      </c>
      <c r="D109" s="62">
        <f t="shared" si="53"/>
        <v>7866.666667</v>
      </c>
      <c r="E109" s="52"/>
      <c r="F109" s="52">
        <f>(F97/3)-F102+F98+F99</f>
        <v>8866.666667</v>
      </c>
      <c r="G109" s="52">
        <f t="shared" ref="G109:H109" si="54">(G97/3)-G102+G99</f>
        <v>6733.333333</v>
      </c>
      <c r="H109" s="62">
        <f t="shared" si="54"/>
        <v>6733.333333</v>
      </c>
      <c r="I109" s="52"/>
      <c r="J109" s="52"/>
      <c r="K109" s="52"/>
      <c r="L109" s="52"/>
      <c r="M109" s="52"/>
      <c r="N109" s="52"/>
      <c r="O109" s="52"/>
      <c r="P109" s="53">
        <f t="shared" ref="P109:P111" si="56">SUM(B109:J109)</f>
        <v>47343.33333</v>
      </c>
    </row>
    <row r="110" hidden="1">
      <c r="A110" s="65">
        <v>44474.0</v>
      </c>
      <c r="B110" s="51">
        <f t="shared" ref="B110:C110" si="55">B97/3</f>
        <v>9066.666667</v>
      </c>
      <c r="C110" s="52">
        <f t="shared" si="55"/>
        <v>7076.666667</v>
      </c>
      <c r="D110" s="52">
        <f>D97/3+D98</f>
        <v>8666.666667</v>
      </c>
      <c r="E110" s="52"/>
      <c r="F110" s="52">
        <f>(F97/3)-F103</f>
        <v>6366.666667</v>
      </c>
      <c r="G110" s="52">
        <f>(G97/3)+G104</f>
        <v>5733.333333</v>
      </c>
      <c r="H110" s="52">
        <f>H97/3</f>
        <v>5733.333333</v>
      </c>
      <c r="I110" s="52"/>
      <c r="J110" s="52"/>
      <c r="K110" s="52"/>
      <c r="L110" s="52"/>
      <c r="M110" s="52"/>
      <c r="N110" s="52"/>
      <c r="O110" s="52"/>
      <c r="P110" s="53">
        <f t="shared" si="56"/>
        <v>42643.33333</v>
      </c>
    </row>
    <row r="111" hidden="1">
      <c r="A111" s="63" t="s">
        <v>37</v>
      </c>
      <c r="B111" s="66">
        <f>(B95-B109-B110)/2</f>
        <v>9933.333333</v>
      </c>
      <c r="C111" s="67">
        <f>(C95-7076-7076)/2-C104</f>
        <v>7424</v>
      </c>
      <c r="D111" s="67">
        <f>(D95-6866-6866)/2</f>
        <v>8134</v>
      </c>
      <c r="E111" s="67"/>
      <c r="F111" s="67">
        <f>(F95-6866-6866)/2-F104</f>
        <v>7834</v>
      </c>
      <c r="G111" s="67">
        <f t="shared" ref="G111:H111" si="57">(G95-5733-5733)/2</f>
        <v>8267</v>
      </c>
      <c r="H111" s="67">
        <f t="shared" si="57"/>
        <v>8267</v>
      </c>
      <c r="I111" s="52"/>
      <c r="J111" s="52"/>
      <c r="K111" s="52"/>
      <c r="L111" s="52"/>
      <c r="M111" s="52"/>
      <c r="N111" s="52"/>
      <c r="O111" s="52"/>
      <c r="P111" s="53">
        <f t="shared" si="56"/>
        <v>49859.33333</v>
      </c>
    </row>
    <row r="112" hidden="1">
      <c r="A112" s="63" t="s">
        <v>38</v>
      </c>
      <c r="B112" s="68">
        <f>B111-B105</f>
        <v>9933.333333</v>
      </c>
      <c r="C112" s="62">
        <f>8424-C105</f>
        <v>8424</v>
      </c>
      <c r="D112" s="52">
        <f>8134-D105</f>
        <v>8134</v>
      </c>
      <c r="E112" s="52"/>
      <c r="F112" s="52">
        <f>8134-F105</f>
        <v>7834</v>
      </c>
      <c r="G112" s="52">
        <f t="shared" ref="G112:H112" si="58">8267-G105</f>
        <v>8267</v>
      </c>
      <c r="H112" s="52">
        <f t="shared" si="58"/>
        <v>7927</v>
      </c>
      <c r="I112" s="52"/>
      <c r="J112" s="52"/>
      <c r="K112" s="52"/>
      <c r="L112" s="52"/>
      <c r="M112" s="52"/>
      <c r="N112" s="52"/>
      <c r="O112" s="52"/>
      <c r="P112" s="53">
        <f>SUM(B112:H112)</f>
        <v>50519.33333</v>
      </c>
    </row>
    <row r="113" hidden="1">
      <c r="A113" s="65">
        <v>44222.0</v>
      </c>
      <c r="B113" s="54">
        <f>B93+B100</f>
        <v>10500</v>
      </c>
      <c r="C113" s="52">
        <f>C93+C100+C98</f>
        <v>9350</v>
      </c>
      <c r="D113" s="52">
        <f>D93+D100</f>
        <v>8500</v>
      </c>
      <c r="E113" s="52"/>
      <c r="F113" s="52">
        <f>F93</f>
        <v>7500</v>
      </c>
      <c r="G113" s="62" t="s">
        <v>43</v>
      </c>
      <c r="H113" s="52">
        <f>H93+H98+H100</f>
        <v>11600</v>
      </c>
      <c r="I113" s="52">
        <f>(1000*4)+I100</f>
        <v>5000</v>
      </c>
      <c r="J113" s="52"/>
      <c r="K113" s="52"/>
      <c r="L113" s="52"/>
      <c r="M113" s="52"/>
      <c r="N113" s="52"/>
      <c r="O113" s="52"/>
      <c r="P113" s="53">
        <f>SUM(B113:J113)</f>
        <v>52450</v>
      </c>
    </row>
    <row r="114" hidden="1"/>
    <row r="115" hidden="1"/>
    <row r="116" hidden="1">
      <c r="A116" s="1" t="s">
        <v>0</v>
      </c>
      <c r="B116" s="2" t="s">
        <v>1</v>
      </c>
      <c r="C116" s="3" t="s">
        <v>2</v>
      </c>
      <c r="D116" s="3" t="s">
        <v>3</v>
      </c>
      <c r="E116" s="3"/>
      <c r="F116" s="3" t="s">
        <v>4</v>
      </c>
      <c r="G116" s="3" t="s">
        <v>34</v>
      </c>
      <c r="H116" s="3" t="s">
        <v>6</v>
      </c>
      <c r="I116" s="4"/>
      <c r="J116" s="4"/>
      <c r="K116" s="4"/>
      <c r="L116" s="4"/>
      <c r="M116" s="4"/>
      <c r="N116" s="4"/>
      <c r="O116" s="4"/>
      <c r="P116" s="1" t="s">
        <v>0</v>
      </c>
    </row>
    <row r="117" hidden="1">
      <c r="A117" s="6" t="s">
        <v>44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8"/>
    </row>
    <row r="118" hidden="1">
      <c r="A118" s="55" t="s">
        <v>45</v>
      </c>
      <c r="B118" s="10">
        <v>9500.0</v>
      </c>
      <c r="C118" s="10">
        <v>7750.0</v>
      </c>
      <c r="D118" s="10">
        <v>7500.0</v>
      </c>
      <c r="E118" s="10"/>
      <c r="F118" s="10">
        <v>7500.0</v>
      </c>
      <c r="G118" s="10">
        <v>7000.0</v>
      </c>
      <c r="H118" s="10">
        <v>7000.0</v>
      </c>
      <c r="I118" s="11">
        <v>0.0</v>
      </c>
      <c r="J118" s="12"/>
      <c r="K118" s="12"/>
      <c r="L118" s="12"/>
      <c r="M118" s="12"/>
      <c r="N118" s="12"/>
      <c r="O118" s="12"/>
      <c r="P118" s="13">
        <f>SUM(B118:J118)</f>
        <v>46250</v>
      </c>
    </row>
    <row r="119" hidden="1">
      <c r="A119" s="15" t="s">
        <v>46</v>
      </c>
      <c r="B119" s="10">
        <v>9500.0</v>
      </c>
      <c r="C119" s="10">
        <v>7750.0</v>
      </c>
      <c r="D119" s="10">
        <v>7500.0</v>
      </c>
      <c r="E119" s="10"/>
      <c r="F119" s="10">
        <v>7500.0</v>
      </c>
      <c r="G119" s="10">
        <v>7000.0</v>
      </c>
      <c r="H119" s="10">
        <v>7000.0</v>
      </c>
      <c r="I119" s="11">
        <v>0.0</v>
      </c>
      <c r="J119" s="12"/>
      <c r="K119" s="12"/>
      <c r="L119" s="12"/>
      <c r="M119" s="12"/>
      <c r="N119" s="12"/>
      <c r="O119" s="12"/>
      <c r="P119" s="13">
        <f t="shared" ref="P119:P122" si="59">SUM(B119:I119)</f>
        <v>46250</v>
      </c>
    </row>
    <row r="120" hidden="1">
      <c r="A120" s="15" t="s">
        <v>47</v>
      </c>
      <c r="B120" s="10">
        <v>9500.0</v>
      </c>
      <c r="C120" s="10">
        <v>7750.0</v>
      </c>
      <c r="D120" s="10">
        <v>7500.0</v>
      </c>
      <c r="E120" s="10"/>
      <c r="F120" s="10">
        <v>7500.0</v>
      </c>
      <c r="G120" s="10">
        <v>7000.0</v>
      </c>
      <c r="H120" s="10">
        <v>7000.0</v>
      </c>
      <c r="I120" s="11">
        <v>0.0</v>
      </c>
      <c r="J120" s="12"/>
      <c r="K120" s="12"/>
      <c r="L120" s="12"/>
      <c r="M120" s="12"/>
      <c r="N120" s="12"/>
      <c r="O120" s="12"/>
      <c r="P120" s="13">
        <f t="shared" si="59"/>
        <v>46250</v>
      </c>
    </row>
    <row r="121" hidden="1">
      <c r="A121" s="15" t="s">
        <v>48</v>
      </c>
      <c r="B121" s="16">
        <v>9500.0</v>
      </c>
      <c r="C121" s="16">
        <v>7750.0</v>
      </c>
      <c r="D121" s="16">
        <v>7500.0</v>
      </c>
      <c r="E121" s="16"/>
      <c r="F121" s="16">
        <v>7500.0</v>
      </c>
      <c r="G121" s="16">
        <v>7000.0</v>
      </c>
      <c r="H121" s="16">
        <v>7000.0</v>
      </c>
      <c r="I121" s="17">
        <v>0.0</v>
      </c>
      <c r="J121" s="18"/>
      <c r="K121" s="18"/>
      <c r="L121" s="18"/>
      <c r="M121" s="18"/>
      <c r="N121" s="18"/>
      <c r="O121" s="18"/>
      <c r="P121" s="19">
        <f t="shared" si="59"/>
        <v>46250</v>
      </c>
    </row>
    <row r="122" hidden="1">
      <c r="A122" s="15"/>
      <c r="B122" s="16"/>
      <c r="C122" s="16"/>
      <c r="D122" s="16"/>
      <c r="E122" s="16"/>
      <c r="F122" s="16"/>
      <c r="G122" s="16"/>
      <c r="H122" s="16"/>
      <c r="I122" s="17">
        <v>0.0</v>
      </c>
      <c r="J122" s="18"/>
      <c r="K122" s="18"/>
      <c r="L122" s="18"/>
      <c r="M122" s="18"/>
      <c r="N122" s="18"/>
      <c r="O122" s="18"/>
      <c r="P122" s="19">
        <f t="shared" si="59"/>
        <v>0</v>
      </c>
    </row>
    <row r="123" hidden="1">
      <c r="A123" s="20" t="s">
        <v>15</v>
      </c>
      <c r="B123" s="21">
        <v>48800.0</v>
      </c>
      <c r="C123" s="21">
        <f t="shared" ref="C123:D123" si="60">SUM(C118:C121)</f>
        <v>31000</v>
      </c>
      <c r="D123" s="21">
        <f t="shared" si="60"/>
        <v>30000</v>
      </c>
      <c r="E123" s="21"/>
      <c r="F123" s="21">
        <f t="shared" ref="F123:I123" si="61">SUM(F118:F121)</f>
        <v>30000</v>
      </c>
      <c r="G123" s="21">
        <f t="shared" si="61"/>
        <v>28000</v>
      </c>
      <c r="H123" s="21">
        <f t="shared" si="61"/>
        <v>28000</v>
      </c>
      <c r="I123" s="21">
        <f t="shared" si="61"/>
        <v>0</v>
      </c>
      <c r="J123" s="20" t="s">
        <v>15</v>
      </c>
      <c r="K123" s="20"/>
      <c r="L123" s="20"/>
      <c r="M123" s="20"/>
      <c r="N123" s="20"/>
      <c r="O123" s="20"/>
      <c r="P123" s="21">
        <f>SUM(P118:P121)</f>
        <v>185000</v>
      </c>
    </row>
    <row r="124" hidden="1">
      <c r="A124" s="23" t="s">
        <v>16</v>
      </c>
      <c r="B124" s="24">
        <v>10800.0</v>
      </c>
      <c r="C124" s="24">
        <v>9770.0</v>
      </c>
      <c r="D124" s="24">
        <v>9400.0</v>
      </c>
      <c r="E124" s="24"/>
      <c r="F124" s="24">
        <v>9400.0</v>
      </c>
      <c r="G124" s="24">
        <v>10800.0</v>
      </c>
      <c r="H124" s="24">
        <v>10800.0</v>
      </c>
      <c r="I124" s="24"/>
      <c r="J124" s="21"/>
      <c r="K124" s="21"/>
      <c r="L124" s="21"/>
      <c r="M124" s="21"/>
      <c r="N124" s="21"/>
      <c r="O124" s="21"/>
      <c r="P124" s="22"/>
    </row>
    <row r="125" hidden="1">
      <c r="A125" s="57" t="s">
        <v>17</v>
      </c>
      <c r="B125" s="58">
        <f t="shared" ref="B125:D125" si="62">B123-(B124)</f>
        <v>38000</v>
      </c>
      <c r="C125" s="58">
        <f t="shared" si="62"/>
        <v>21230</v>
      </c>
      <c r="D125" s="58">
        <f t="shared" si="62"/>
        <v>20600</v>
      </c>
      <c r="E125" s="58"/>
      <c r="F125" s="58">
        <f>F123-(F124)</f>
        <v>20600</v>
      </c>
      <c r="G125" s="58"/>
      <c r="H125" s="58">
        <f>H123-(H124)</f>
        <v>17200</v>
      </c>
      <c r="I125" s="58">
        <f>I122-(I124)</f>
        <v>0</v>
      </c>
      <c r="J125" s="25"/>
      <c r="K125" s="25"/>
      <c r="L125" s="25"/>
      <c r="M125" s="25"/>
      <c r="N125" s="25"/>
      <c r="O125" s="25"/>
      <c r="P125" s="26">
        <f t="shared" ref="P125:P128" si="63">SUM(B125:J125)</f>
        <v>117630</v>
      </c>
    </row>
    <row r="126" hidden="1">
      <c r="A126" s="27" t="s">
        <v>40</v>
      </c>
      <c r="B126" s="28"/>
      <c r="C126" s="28"/>
      <c r="D126" s="28"/>
      <c r="E126" s="28"/>
      <c r="F126" s="28"/>
      <c r="G126" s="28"/>
      <c r="H126" s="28"/>
      <c r="I126" s="28"/>
      <c r="J126" s="28"/>
      <c r="K126" s="29"/>
      <c r="L126" s="29"/>
      <c r="M126" s="29"/>
      <c r="N126" s="29"/>
      <c r="O126" s="29"/>
      <c r="P126" s="30">
        <f t="shared" si="63"/>
        <v>0</v>
      </c>
    </row>
    <row r="127" hidden="1">
      <c r="A127" s="23" t="s">
        <v>49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5"/>
      <c r="L127" s="25"/>
      <c r="M127" s="25"/>
      <c r="N127" s="25"/>
      <c r="O127" s="25"/>
      <c r="P127" s="26">
        <f t="shared" si="63"/>
        <v>0</v>
      </c>
    </row>
    <row r="128" hidden="1">
      <c r="A128" s="23"/>
      <c r="B128" s="24"/>
      <c r="C128" s="24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6">
        <f t="shared" si="63"/>
        <v>0</v>
      </c>
    </row>
    <row r="129" hidden="1">
      <c r="A129" s="39" t="s">
        <v>22</v>
      </c>
      <c r="B129" s="40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</row>
    <row r="130" hidden="1">
      <c r="A130" s="59" t="s">
        <v>45</v>
      </c>
      <c r="B130" s="43"/>
      <c r="C130" s="44"/>
      <c r="D130" s="44"/>
      <c r="E130" s="45"/>
      <c r="F130" s="45"/>
      <c r="G130" s="44"/>
      <c r="H130" s="45"/>
      <c r="I130" s="44"/>
      <c r="J130" s="44"/>
      <c r="K130" s="44"/>
      <c r="L130" s="44"/>
      <c r="M130" s="44"/>
      <c r="N130" s="44"/>
      <c r="O130" s="44"/>
      <c r="P130" s="44"/>
    </row>
    <row r="131" hidden="1">
      <c r="A131" s="60" t="s">
        <v>46</v>
      </c>
      <c r="B131" s="46"/>
      <c r="C131" s="45"/>
      <c r="D131" s="45"/>
      <c r="E131" s="45"/>
      <c r="F131" s="45"/>
      <c r="G131" s="45"/>
      <c r="H131" s="44"/>
      <c r="I131" s="44"/>
      <c r="J131" s="44"/>
      <c r="K131" s="44"/>
      <c r="L131" s="44"/>
      <c r="M131" s="44"/>
      <c r="N131" s="44"/>
      <c r="O131" s="44"/>
      <c r="P131" s="44"/>
    </row>
    <row r="132" hidden="1">
      <c r="A132" s="60" t="s">
        <v>47</v>
      </c>
      <c r="B132" s="43"/>
      <c r="C132" s="45"/>
      <c r="D132" s="44"/>
      <c r="E132" s="45"/>
      <c r="F132" s="45"/>
      <c r="G132" s="44"/>
      <c r="H132" s="44"/>
      <c r="I132" s="44"/>
      <c r="J132" s="44"/>
      <c r="K132" s="44"/>
      <c r="L132" s="44"/>
      <c r="M132" s="44"/>
      <c r="N132" s="44"/>
      <c r="O132" s="44"/>
      <c r="P132" s="44"/>
    </row>
    <row r="133" hidden="1">
      <c r="A133" s="60" t="s">
        <v>48</v>
      </c>
      <c r="B133" s="46"/>
      <c r="C133" s="45"/>
      <c r="D133" s="44"/>
      <c r="E133" s="45"/>
      <c r="F133" s="45"/>
      <c r="G133" s="44"/>
      <c r="H133" s="45"/>
      <c r="I133" s="44"/>
      <c r="J133" s="44"/>
      <c r="K133" s="44"/>
      <c r="L133" s="44"/>
      <c r="M133" s="44"/>
      <c r="N133" s="44"/>
      <c r="O133" s="44"/>
      <c r="P133" s="44"/>
    </row>
    <row r="134" hidden="1">
      <c r="A134" s="47" t="s">
        <v>23</v>
      </c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7" t="s">
        <v>24</v>
      </c>
    </row>
    <row r="135" hidden="1">
      <c r="A135" s="61" t="s">
        <v>45</v>
      </c>
      <c r="B135" s="54">
        <v>9500.0</v>
      </c>
      <c r="C135" s="52"/>
      <c r="D135" s="62"/>
      <c r="E135" s="52"/>
      <c r="F135" s="52"/>
      <c r="G135" s="52"/>
      <c r="H135" s="62"/>
      <c r="I135" s="52"/>
      <c r="J135" s="52"/>
      <c r="K135" s="52"/>
      <c r="L135" s="52"/>
      <c r="M135" s="52"/>
      <c r="N135" s="52"/>
      <c r="O135" s="52"/>
      <c r="P135" s="53">
        <f t="shared" ref="P135:P137" si="64">SUM(B135:J135)</f>
        <v>9500</v>
      </c>
    </row>
    <row r="136" hidden="1">
      <c r="A136" s="63" t="s">
        <v>46</v>
      </c>
      <c r="B136" s="51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3">
        <f t="shared" si="64"/>
        <v>0</v>
      </c>
    </row>
    <row r="137" hidden="1">
      <c r="A137" s="63" t="s">
        <v>47</v>
      </c>
      <c r="B137" s="67">
        <f>(B125-B118)/2</f>
        <v>14250</v>
      </c>
      <c r="C137" s="67">
        <f t="shared" ref="C137:D137" si="65">(C125-C118)/2+1000</f>
        <v>7740</v>
      </c>
      <c r="D137" s="67">
        <f t="shared" si="65"/>
        <v>7550</v>
      </c>
      <c r="E137" s="67"/>
      <c r="F137" s="67">
        <f>(F125-F119)/2+1000</f>
        <v>7550</v>
      </c>
      <c r="G137" s="67">
        <f>G119</f>
        <v>7000</v>
      </c>
      <c r="H137" s="67">
        <f>(H125-H118)/2+2900</f>
        <v>8000</v>
      </c>
      <c r="I137" s="52"/>
      <c r="J137" s="52"/>
      <c r="K137" s="52"/>
      <c r="L137" s="52"/>
      <c r="M137" s="52"/>
      <c r="N137" s="52"/>
      <c r="O137" s="52"/>
      <c r="P137" s="52">
        <f t="shared" si="64"/>
        <v>52090</v>
      </c>
    </row>
    <row r="138" hidden="1">
      <c r="A138" s="63" t="s">
        <v>48</v>
      </c>
      <c r="B138" s="69">
        <v>14250.0</v>
      </c>
      <c r="C138" s="62">
        <v>7740.0</v>
      </c>
      <c r="D138" s="62">
        <v>7550.0</v>
      </c>
      <c r="E138" s="62"/>
      <c r="F138" s="62">
        <v>7550.0</v>
      </c>
      <c r="G138" s="62">
        <v>7000.0</v>
      </c>
      <c r="H138" s="62">
        <v>8000.0</v>
      </c>
      <c r="I138" s="52"/>
      <c r="J138" s="52"/>
      <c r="K138" s="52"/>
      <c r="L138" s="52"/>
      <c r="M138" s="52"/>
      <c r="N138" s="52"/>
      <c r="O138" s="52"/>
      <c r="P138" s="52">
        <f>SUM(B138:H138)</f>
        <v>52090</v>
      </c>
    </row>
    <row r="139" hidden="1">
      <c r="A139" s="65"/>
      <c r="B139" s="54"/>
      <c r="C139" s="52"/>
      <c r="D139" s="52"/>
      <c r="E139" s="52"/>
      <c r="F139" s="52"/>
      <c r="G139" s="62"/>
      <c r="H139" s="52"/>
      <c r="I139" s="52"/>
      <c r="J139" s="52"/>
      <c r="K139" s="52"/>
      <c r="L139" s="52"/>
      <c r="M139" s="52"/>
      <c r="N139" s="52"/>
      <c r="O139" s="52"/>
      <c r="P139" s="53">
        <f>SUM(B139:J139)</f>
        <v>0</v>
      </c>
    </row>
    <row r="140" hidden="1"/>
    <row r="141" hidden="1"/>
    <row r="142" hidden="1">
      <c r="A142" s="1" t="s">
        <v>0</v>
      </c>
      <c r="B142" s="2" t="s">
        <v>1</v>
      </c>
      <c r="C142" s="3" t="s">
        <v>2</v>
      </c>
      <c r="D142" s="3" t="s">
        <v>3</v>
      </c>
      <c r="E142" s="3"/>
      <c r="F142" s="3" t="s">
        <v>4</v>
      </c>
      <c r="G142" s="3" t="s">
        <v>34</v>
      </c>
      <c r="H142" s="3" t="s">
        <v>6</v>
      </c>
      <c r="I142" s="4" t="s">
        <v>50</v>
      </c>
      <c r="J142" s="4" t="s">
        <v>51</v>
      </c>
      <c r="K142" s="4"/>
      <c r="L142" s="4"/>
      <c r="M142" s="4"/>
      <c r="N142" s="4"/>
      <c r="O142" s="4"/>
      <c r="P142" s="1" t="s">
        <v>0</v>
      </c>
    </row>
    <row r="143" hidden="1">
      <c r="A143" s="6" t="s">
        <v>52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8"/>
    </row>
    <row r="144" hidden="1">
      <c r="A144" s="55" t="s">
        <v>53</v>
      </c>
      <c r="B144" s="10">
        <v>9500.0</v>
      </c>
      <c r="C144" s="10">
        <f t="shared" ref="C144:D144" si="66">C151/4</f>
        <v>6144.25</v>
      </c>
      <c r="D144" s="10">
        <f t="shared" si="66"/>
        <v>6000</v>
      </c>
      <c r="E144" s="10"/>
      <c r="F144" s="10">
        <f>F151/4</f>
        <v>6000</v>
      </c>
      <c r="G144" s="10">
        <v>7000.0</v>
      </c>
      <c r="H144" s="10">
        <f>H151/4</f>
        <v>5085</v>
      </c>
      <c r="I144" s="11"/>
      <c r="J144" s="12"/>
      <c r="K144" s="12"/>
      <c r="L144" s="12"/>
      <c r="M144" s="12"/>
      <c r="N144" s="12"/>
      <c r="O144" s="12"/>
      <c r="P144" s="13">
        <f>SUM(B144:J144)</f>
        <v>39729.25</v>
      </c>
    </row>
    <row r="145" hidden="1">
      <c r="A145" s="15" t="s">
        <v>54</v>
      </c>
      <c r="B145" s="10">
        <v>9500.0</v>
      </c>
      <c r="C145" s="10">
        <f t="shared" ref="C145:D145" si="67">C151/4</f>
        <v>6144.25</v>
      </c>
      <c r="D145" s="10">
        <f t="shared" si="67"/>
        <v>6000</v>
      </c>
      <c r="E145" s="10"/>
      <c r="F145" s="10">
        <f>F151/4</f>
        <v>6000</v>
      </c>
      <c r="G145" s="10">
        <v>7000.0</v>
      </c>
      <c r="H145" s="10">
        <f>H151/4</f>
        <v>5085</v>
      </c>
      <c r="I145" s="11">
        <v>0.0</v>
      </c>
      <c r="J145" s="12"/>
      <c r="K145" s="12"/>
      <c r="L145" s="12"/>
      <c r="M145" s="12"/>
      <c r="N145" s="12"/>
      <c r="O145" s="12"/>
      <c r="P145" s="13">
        <f t="shared" ref="P145:P148" si="69">SUM(B145:I145)</f>
        <v>39729.25</v>
      </c>
    </row>
    <row r="146" hidden="1">
      <c r="A146" s="15" t="s">
        <v>55</v>
      </c>
      <c r="B146" s="10">
        <v>9500.0</v>
      </c>
      <c r="C146" s="10">
        <f t="shared" ref="C146:D146" si="68">C151/4</f>
        <v>6144.25</v>
      </c>
      <c r="D146" s="10">
        <f t="shared" si="68"/>
        <v>6000</v>
      </c>
      <c r="E146" s="10"/>
      <c r="F146" s="10">
        <f>F151/4</f>
        <v>6000</v>
      </c>
      <c r="G146" s="10">
        <v>7000.0</v>
      </c>
      <c r="H146" s="10">
        <f>H151/4</f>
        <v>5085</v>
      </c>
      <c r="I146" s="11">
        <v>0.0</v>
      </c>
      <c r="J146" s="12"/>
      <c r="K146" s="12"/>
      <c r="L146" s="12"/>
      <c r="M146" s="12"/>
      <c r="N146" s="12"/>
      <c r="O146" s="12"/>
      <c r="P146" s="13">
        <f t="shared" si="69"/>
        <v>39729.25</v>
      </c>
    </row>
    <row r="147" hidden="1">
      <c r="A147" s="15" t="s">
        <v>56</v>
      </c>
      <c r="B147" s="16">
        <v>9500.0</v>
      </c>
      <c r="C147" s="16">
        <f t="shared" ref="C147:D147" si="70">C151/4</f>
        <v>6144.25</v>
      </c>
      <c r="D147" s="16">
        <f t="shared" si="70"/>
        <v>6000</v>
      </c>
      <c r="E147" s="16"/>
      <c r="F147" s="16">
        <f>F151/4</f>
        <v>6000</v>
      </c>
      <c r="G147" s="16">
        <v>7000.0</v>
      </c>
      <c r="H147" s="16">
        <f>H151/4</f>
        <v>5085</v>
      </c>
      <c r="I147" s="17">
        <v>0.0</v>
      </c>
      <c r="J147" s="18"/>
      <c r="K147" s="18"/>
      <c r="L147" s="18"/>
      <c r="M147" s="18"/>
      <c r="N147" s="18"/>
      <c r="O147" s="18"/>
      <c r="P147" s="19">
        <f t="shared" si="69"/>
        <v>39729.25</v>
      </c>
    </row>
    <row r="148" hidden="1">
      <c r="A148" s="15"/>
      <c r="B148" s="16"/>
      <c r="C148" s="16"/>
      <c r="D148" s="16"/>
      <c r="E148" s="16"/>
      <c r="F148" s="16"/>
      <c r="G148" s="16"/>
      <c r="H148" s="16"/>
      <c r="I148" s="17">
        <v>0.0</v>
      </c>
      <c r="J148" s="18"/>
      <c r="K148" s="18"/>
      <c r="L148" s="18"/>
      <c r="M148" s="18"/>
      <c r="N148" s="18"/>
      <c r="O148" s="18"/>
      <c r="P148" s="19">
        <f t="shared" si="69"/>
        <v>0</v>
      </c>
    </row>
    <row r="149" hidden="1">
      <c r="A149" s="20" t="s">
        <v>15</v>
      </c>
      <c r="B149" s="21">
        <v>48800.0</v>
      </c>
      <c r="C149" s="21">
        <v>35000.0</v>
      </c>
      <c r="D149" s="21">
        <v>34000.0</v>
      </c>
      <c r="E149" s="21"/>
      <c r="F149" s="21">
        <v>34000.0</v>
      </c>
      <c r="G149" s="21">
        <f>SUM(G144:G147)</f>
        <v>28000</v>
      </c>
      <c r="H149" s="21">
        <v>32000.0</v>
      </c>
      <c r="I149" s="21">
        <f>SUM(I144:I147)</f>
        <v>0</v>
      </c>
      <c r="J149" s="20" t="s">
        <v>15</v>
      </c>
      <c r="K149" s="20"/>
      <c r="L149" s="20"/>
      <c r="M149" s="20"/>
      <c r="N149" s="20"/>
      <c r="O149" s="20"/>
      <c r="P149" s="21">
        <f>SUM(P144:P147)</f>
        <v>158917</v>
      </c>
    </row>
    <row r="150" hidden="1">
      <c r="A150" s="23" t="s">
        <v>16</v>
      </c>
      <c r="B150" s="24">
        <v>11660.0</v>
      </c>
      <c r="C150" s="24">
        <v>10423.0</v>
      </c>
      <c r="D150" s="24">
        <v>10000.0</v>
      </c>
      <c r="E150" s="24"/>
      <c r="F150" s="24">
        <v>10000.0</v>
      </c>
      <c r="G150" s="24"/>
      <c r="H150" s="24">
        <v>11660.0</v>
      </c>
      <c r="I150" s="24"/>
      <c r="J150" s="21"/>
      <c r="K150" s="21"/>
      <c r="L150" s="21"/>
      <c r="M150" s="21"/>
      <c r="N150" s="21"/>
      <c r="O150" s="21"/>
      <c r="P150" s="22"/>
    </row>
    <row r="151" hidden="1">
      <c r="A151" s="57" t="s">
        <v>17</v>
      </c>
      <c r="B151" s="58">
        <f t="shared" ref="B151:D151" si="71">B149-(B150)</f>
        <v>37140</v>
      </c>
      <c r="C151" s="58">
        <f t="shared" si="71"/>
        <v>24577</v>
      </c>
      <c r="D151" s="58">
        <f t="shared" si="71"/>
        <v>24000</v>
      </c>
      <c r="E151" s="58"/>
      <c r="F151" s="58">
        <f>F149-(F150)</f>
        <v>24000</v>
      </c>
      <c r="G151" s="58"/>
      <c r="H151" s="58">
        <f>H149-(H150)</f>
        <v>20340</v>
      </c>
      <c r="I151" s="58">
        <f>I148-(I150)</f>
        <v>0</v>
      </c>
      <c r="J151" s="25"/>
      <c r="K151" s="25"/>
      <c r="L151" s="25"/>
      <c r="M151" s="25"/>
      <c r="N151" s="25"/>
      <c r="O151" s="25"/>
      <c r="P151" s="26">
        <f t="shared" ref="P151:P154" si="72">SUM(B151:J151)</f>
        <v>130057</v>
      </c>
    </row>
    <row r="152" hidden="1">
      <c r="A152" s="27" t="s">
        <v>40</v>
      </c>
      <c r="B152" s="28">
        <v>3000.0</v>
      </c>
      <c r="C152" s="28"/>
      <c r="D152" s="28">
        <v>3000.0</v>
      </c>
      <c r="E152" s="28"/>
      <c r="F152" s="28"/>
      <c r="G152" s="28"/>
      <c r="H152" s="28"/>
      <c r="I152" s="28"/>
      <c r="J152" s="28"/>
      <c r="K152" s="29"/>
      <c r="L152" s="29"/>
      <c r="M152" s="29"/>
      <c r="N152" s="29"/>
      <c r="O152" s="29"/>
      <c r="P152" s="30">
        <f t="shared" si="72"/>
        <v>6000</v>
      </c>
    </row>
    <row r="153" hidden="1">
      <c r="A153" s="23" t="s">
        <v>57</v>
      </c>
      <c r="B153" s="24"/>
      <c r="C153" s="24"/>
      <c r="D153" s="24"/>
      <c r="E153" s="24"/>
      <c r="F153" s="24"/>
      <c r="G153" s="24"/>
      <c r="H153" s="24"/>
      <c r="I153" s="24"/>
      <c r="J153" s="24"/>
      <c r="K153" s="25"/>
      <c r="L153" s="25"/>
      <c r="M153" s="25"/>
      <c r="N153" s="25"/>
      <c r="O153" s="25"/>
      <c r="P153" s="26">
        <f t="shared" si="72"/>
        <v>0</v>
      </c>
    </row>
    <row r="154" hidden="1">
      <c r="A154" s="23"/>
      <c r="B154" s="24"/>
      <c r="C154" s="24"/>
      <c r="D154" s="24"/>
      <c r="E154" s="24"/>
      <c r="F154" s="24"/>
      <c r="G154" s="24"/>
      <c r="H154" s="24"/>
      <c r="I154" s="24"/>
      <c r="J154" s="24"/>
      <c r="K154" s="25"/>
      <c r="L154" s="25"/>
      <c r="M154" s="25"/>
      <c r="N154" s="25"/>
      <c r="O154" s="25"/>
      <c r="P154" s="26">
        <f t="shared" si="72"/>
        <v>0</v>
      </c>
    </row>
    <row r="155" hidden="1">
      <c r="A155" s="39" t="s">
        <v>22</v>
      </c>
      <c r="B155" s="40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</row>
    <row r="156" hidden="1">
      <c r="A156" s="59" t="s">
        <v>53</v>
      </c>
      <c r="B156" s="43"/>
      <c r="C156" s="44"/>
      <c r="D156" s="44"/>
      <c r="E156" s="45"/>
      <c r="F156" s="45"/>
      <c r="G156" s="45">
        <v>360.0</v>
      </c>
      <c r="H156" s="45"/>
      <c r="I156" s="44"/>
      <c r="J156" s="44"/>
      <c r="K156" s="44"/>
      <c r="L156" s="44"/>
      <c r="M156" s="44"/>
      <c r="N156" s="44"/>
      <c r="O156" s="44"/>
      <c r="P156" s="44"/>
    </row>
    <row r="157" hidden="1">
      <c r="A157" s="60" t="s">
        <v>54</v>
      </c>
      <c r="B157" s="46"/>
      <c r="C157" s="45"/>
      <c r="D157" s="45"/>
      <c r="E157" s="45"/>
      <c r="F157" s="45"/>
      <c r="G157" s="45"/>
      <c r="H157" s="44"/>
      <c r="I157" s="44"/>
      <c r="J157" s="44"/>
      <c r="K157" s="44"/>
      <c r="L157" s="44"/>
      <c r="M157" s="44"/>
      <c r="N157" s="44"/>
      <c r="O157" s="44"/>
      <c r="P157" s="44"/>
    </row>
    <row r="158" hidden="1">
      <c r="A158" s="60" t="s">
        <v>55</v>
      </c>
      <c r="B158" s="43"/>
      <c r="C158" s="45"/>
      <c r="D158" s="44"/>
      <c r="E158" s="45"/>
      <c r="F158" s="45"/>
      <c r="G158" s="44"/>
      <c r="H158" s="44"/>
      <c r="I158" s="44"/>
      <c r="J158" s="44"/>
      <c r="K158" s="44"/>
      <c r="L158" s="44"/>
      <c r="M158" s="44"/>
      <c r="N158" s="44"/>
      <c r="O158" s="44"/>
      <c r="P158" s="44"/>
    </row>
    <row r="159" hidden="1">
      <c r="A159" s="60" t="s">
        <v>56</v>
      </c>
      <c r="B159" s="46"/>
      <c r="C159" s="45"/>
      <c r="D159" s="44"/>
      <c r="E159" s="45"/>
      <c r="F159" s="45"/>
      <c r="G159" s="44"/>
      <c r="H159" s="45"/>
      <c r="I159" s="44"/>
      <c r="J159" s="44"/>
      <c r="K159" s="44"/>
      <c r="L159" s="44"/>
      <c r="M159" s="44"/>
      <c r="N159" s="44"/>
      <c r="O159" s="44"/>
      <c r="P159" s="44"/>
    </row>
    <row r="160" hidden="1">
      <c r="A160" s="47" t="s">
        <v>23</v>
      </c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7" t="s">
        <v>24</v>
      </c>
    </row>
    <row r="161" hidden="1">
      <c r="A161" s="61" t="s">
        <v>53</v>
      </c>
      <c r="B161" s="54">
        <f t="shared" ref="B161:D161" si="73">B151/3</f>
        <v>12380</v>
      </c>
      <c r="C161" s="52">
        <f t="shared" si="73"/>
        <v>8192.333333</v>
      </c>
      <c r="D161" s="62">
        <f t="shared" si="73"/>
        <v>8000</v>
      </c>
      <c r="E161" s="52"/>
      <c r="F161" s="52">
        <f>F151/3-(2*1300)+500</f>
        <v>5900</v>
      </c>
      <c r="G161" s="62">
        <f>G144-G156</f>
        <v>6640</v>
      </c>
      <c r="H161" s="62">
        <f>H151/3</f>
        <v>6780</v>
      </c>
      <c r="I161" s="52"/>
      <c r="J161" s="52"/>
      <c r="K161" s="52"/>
      <c r="L161" s="52"/>
      <c r="M161" s="52"/>
      <c r="N161" s="52"/>
      <c r="O161" s="52"/>
      <c r="P161" s="53">
        <f t="shared" ref="P161:P165" si="74">SUM(B161:J161)</f>
        <v>47892.33333</v>
      </c>
    </row>
    <row r="162" hidden="1">
      <c r="A162" s="63" t="s">
        <v>54</v>
      </c>
      <c r="B162" s="51"/>
      <c r="C162" s="52"/>
      <c r="D162" s="52"/>
      <c r="E162" s="52"/>
      <c r="F162" s="52"/>
      <c r="G162" s="62">
        <v>7000.0</v>
      </c>
      <c r="H162" s="52"/>
      <c r="I162" s="62">
        <v>20200.0</v>
      </c>
      <c r="J162" s="62">
        <v>11000.0</v>
      </c>
      <c r="K162" s="62"/>
      <c r="L162" s="62"/>
      <c r="M162" s="62"/>
      <c r="N162" s="62"/>
      <c r="O162" s="62"/>
      <c r="P162" s="53">
        <f t="shared" si="74"/>
        <v>38200</v>
      </c>
    </row>
    <row r="163" hidden="1">
      <c r="A163" s="63" t="s">
        <v>55</v>
      </c>
      <c r="B163" s="67">
        <f>B151/3</f>
        <v>12380</v>
      </c>
      <c r="C163" s="67"/>
      <c r="D163" s="67">
        <f>D151/3+3200</f>
        <v>11200</v>
      </c>
      <c r="E163" s="67"/>
      <c r="F163" s="67"/>
      <c r="G163" s="69">
        <f>7000+600</f>
        <v>7600</v>
      </c>
      <c r="H163" s="67">
        <f>H151/3+1000</f>
        <v>7780</v>
      </c>
      <c r="I163" s="62">
        <v>16400.0</v>
      </c>
      <c r="J163" s="62">
        <v>11400.0</v>
      </c>
      <c r="K163" s="62"/>
      <c r="L163" s="62"/>
      <c r="M163" s="62"/>
      <c r="N163" s="62"/>
      <c r="O163" s="62"/>
      <c r="P163" s="52">
        <f t="shared" si="74"/>
        <v>66760</v>
      </c>
    </row>
    <row r="164" hidden="1">
      <c r="A164" s="63" t="s">
        <v>56</v>
      </c>
      <c r="B164" s="69">
        <f>B151/3</f>
        <v>12380</v>
      </c>
      <c r="C164" s="62"/>
      <c r="D164" s="62">
        <f>D151/3+3200</f>
        <v>11200</v>
      </c>
      <c r="E164" s="62"/>
      <c r="F164" s="62"/>
      <c r="G164" s="62">
        <f>7000+1000</f>
        <v>8000</v>
      </c>
      <c r="H164" s="62">
        <f>H151/3+1000</f>
        <v>7780</v>
      </c>
      <c r="I164" s="52"/>
      <c r="J164" s="62">
        <v>7000.0</v>
      </c>
      <c r="K164" s="62"/>
      <c r="L164" s="62"/>
      <c r="M164" s="62"/>
      <c r="N164" s="62"/>
      <c r="O164" s="62"/>
      <c r="P164" s="52">
        <f t="shared" si="74"/>
        <v>46360</v>
      </c>
    </row>
    <row r="165" hidden="1">
      <c r="A165" s="65"/>
      <c r="B165" s="54"/>
      <c r="C165" s="52"/>
      <c r="D165" s="52"/>
      <c r="E165" s="52"/>
      <c r="F165" s="52"/>
      <c r="G165" s="62"/>
      <c r="H165" s="52"/>
      <c r="I165" s="52"/>
      <c r="J165" s="52"/>
      <c r="K165" s="52"/>
      <c r="L165" s="52"/>
      <c r="M165" s="52"/>
      <c r="N165" s="52"/>
      <c r="O165" s="52"/>
      <c r="P165" s="53">
        <f t="shared" si="74"/>
        <v>0</v>
      </c>
    </row>
    <row r="166" hidden="1"/>
    <row r="167" hidden="1"/>
    <row r="168" hidden="1">
      <c r="A168" s="1" t="s">
        <v>0</v>
      </c>
      <c r="B168" s="2" t="s">
        <v>1</v>
      </c>
      <c r="C168" s="3"/>
      <c r="D168" s="3" t="s">
        <v>3</v>
      </c>
      <c r="E168" s="3"/>
      <c r="F168" s="3" t="s">
        <v>58</v>
      </c>
      <c r="G168" s="3" t="s">
        <v>34</v>
      </c>
      <c r="H168" s="3" t="s">
        <v>6</v>
      </c>
      <c r="I168" s="4" t="s">
        <v>50</v>
      </c>
      <c r="J168" s="4" t="s">
        <v>51</v>
      </c>
      <c r="K168" s="4"/>
      <c r="L168" s="4"/>
      <c r="M168" s="4"/>
      <c r="N168" s="4"/>
      <c r="O168" s="4"/>
      <c r="P168" s="1" t="s">
        <v>0</v>
      </c>
    </row>
    <row r="169" hidden="1">
      <c r="A169" s="6" t="s">
        <v>59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8"/>
    </row>
    <row r="170" hidden="1">
      <c r="A170" s="55" t="s">
        <v>60</v>
      </c>
      <c r="B170" s="10">
        <v>9500.0</v>
      </c>
      <c r="C170" s="10"/>
      <c r="D170" s="10">
        <f>D177/4</f>
        <v>6000</v>
      </c>
      <c r="E170" s="10"/>
      <c r="F170" s="10"/>
      <c r="G170" s="10">
        <v>7000.0</v>
      </c>
      <c r="H170" s="10">
        <f>H177/4</f>
        <v>5085</v>
      </c>
      <c r="I170" s="11"/>
      <c r="J170" s="12"/>
      <c r="K170" s="12"/>
      <c r="L170" s="12"/>
      <c r="M170" s="12"/>
      <c r="N170" s="12"/>
      <c r="O170" s="12"/>
      <c r="P170" s="13">
        <f>SUM(B170:J170)</f>
        <v>27585</v>
      </c>
    </row>
    <row r="171" hidden="1">
      <c r="A171" s="15" t="s">
        <v>61</v>
      </c>
      <c r="B171" s="10">
        <v>9500.0</v>
      </c>
      <c r="C171" s="10"/>
      <c r="D171" s="10">
        <f>D177/4</f>
        <v>6000</v>
      </c>
      <c r="E171" s="10"/>
      <c r="F171" s="10"/>
      <c r="G171" s="10">
        <v>7000.0</v>
      </c>
      <c r="H171" s="10">
        <f>H177/4</f>
        <v>5085</v>
      </c>
      <c r="I171" s="11">
        <v>0.0</v>
      </c>
      <c r="J171" s="12"/>
      <c r="K171" s="12"/>
      <c r="L171" s="12"/>
      <c r="M171" s="12"/>
      <c r="N171" s="12"/>
      <c r="O171" s="12"/>
      <c r="P171" s="13">
        <f t="shared" ref="P171:P174" si="75">SUM(B171:I171)</f>
        <v>27585</v>
      </c>
    </row>
    <row r="172" hidden="1">
      <c r="A172" s="15"/>
      <c r="B172" s="10">
        <v>9500.0</v>
      </c>
      <c r="C172" s="10"/>
      <c r="D172" s="10">
        <f>D177/4</f>
        <v>6000</v>
      </c>
      <c r="E172" s="10"/>
      <c r="F172" s="10"/>
      <c r="G172" s="10">
        <v>7000.0</v>
      </c>
      <c r="H172" s="10">
        <f>H177/4</f>
        <v>5085</v>
      </c>
      <c r="I172" s="11">
        <v>0.0</v>
      </c>
      <c r="J172" s="12"/>
      <c r="K172" s="12"/>
      <c r="L172" s="12"/>
      <c r="M172" s="12"/>
      <c r="N172" s="12"/>
      <c r="O172" s="12"/>
      <c r="P172" s="13">
        <f t="shared" si="75"/>
        <v>27585</v>
      </c>
    </row>
    <row r="173" hidden="1">
      <c r="A173" s="15"/>
      <c r="B173" s="16">
        <v>9500.0</v>
      </c>
      <c r="C173" s="16"/>
      <c r="D173" s="16">
        <f>D177/4</f>
        <v>6000</v>
      </c>
      <c r="E173" s="16"/>
      <c r="F173" s="16"/>
      <c r="G173" s="16">
        <v>7000.0</v>
      </c>
      <c r="H173" s="16">
        <f>H177/4</f>
        <v>5085</v>
      </c>
      <c r="I173" s="17">
        <v>0.0</v>
      </c>
      <c r="J173" s="18"/>
      <c r="K173" s="18"/>
      <c r="L173" s="18"/>
      <c r="M173" s="18"/>
      <c r="N173" s="18"/>
      <c r="O173" s="18"/>
      <c r="P173" s="19">
        <f t="shared" si="75"/>
        <v>27585</v>
      </c>
    </row>
    <row r="174" hidden="1">
      <c r="A174" s="15"/>
      <c r="B174" s="16"/>
      <c r="C174" s="16"/>
      <c r="D174" s="16"/>
      <c r="E174" s="16"/>
      <c r="F174" s="16"/>
      <c r="G174" s="16"/>
      <c r="H174" s="16"/>
      <c r="I174" s="17">
        <v>0.0</v>
      </c>
      <c r="J174" s="18"/>
      <c r="K174" s="18"/>
      <c r="L174" s="18"/>
      <c r="M174" s="18"/>
      <c r="N174" s="18"/>
      <c r="O174" s="18"/>
      <c r="P174" s="19">
        <f t="shared" si="75"/>
        <v>0</v>
      </c>
    </row>
    <row r="175" hidden="1">
      <c r="A175" s="20" t="s">
        <v>15</v>
      </c>
      <c r="B175" s="21">
        <v>48800.0</v>
      </c>
      <c r="C175" s="21"/>
      <c r="D175" s="21">
        <v>34000.0</v>
      </c>
      <c r="E175" s="21"/>
      <c r="F175" s="21">
        <v>32000.0</v>
      </c>
      <c r="G175" s="21">
        <f>SUM(G170:G173)</f>
        <v>28000</v>
      </c>
      <c r="H175" s="21">
        <v>32000.0</v>
      </c>
      <c r="I175" s="21">
        <f>SUM(I170:I173)</f>
        <v>0</v>
      </c>
      <c r="J175" s="20" t="s">
        <v>15</v>
      </c>
      <c r="K175" s="20"/>
      <c r="L175" s="20"/>
      <c r="M175" s="20"/>
      <c r="N175" s="20"/>
      <c r="O175" s="20"/>
      <c r="P175" s="21">
        <f>SUM(P170:P173)</f>
        <v>110340</v>
      </c>
    </row>
    <row r="176" hidden="1">
      <c r="A176" s="23" t="s">
        <v>16</v>
      </c>
      <c r="B176" s="24">
        <v>11660.0</v>
      </c>
      <c r="C176" s="24"/>
      <c r="D176" s="24">
        <v>10000.0</v>
      </c>
      <c r="E176" s="24"/>
      <c r="F176" s="24"/>
      <c r="G176" s="24"/>
      <c r="H176" s="24">
        <v>11660.0</v>
      </c>
      <c r="I176" s="24"/>
      <c r="J176" s="21"/>
      <c r="K176" s="21"/>
      <c r="L176" s="21"/>
      <c r="M176" s="21"/>
      <c r="N176" s="21"/>
      <c r="O176" s="21"/>
      <c r="P176" s="22"/>
    </row>
    <row r="177" hidden="1">
      <c r="A177" s="57" t="s">
        <v>17</v>
      </c>
      <c r="B177" s="58">
        <f>B175-(B176)</f>
        <v>37140</v>
      </c>
      <c r="C177" s="58"/>
      <c r="D177" s="58">
        <f>D175-(D176)</f>
        <v>24000</v>
      </c>
      <c r="E177" s="58"/>
      <c r="F177" s="58">
        <v>32000.0</v>
      </c>
      <c r="G177" s="58"/>
      <c r="H177" s="58">
        <f>H175-(H176)</f>
        <v>20340</v>
      </c>
      <c r="I177" s="58">
        <f>I174-(I176)</f>
        <v>0</v>
      </c>
      <c r="J177" s="25"/>
      <c r="K177" s="25"/>
      <c r="L177" s="25"/>
      <c r="M177" s="25"/>
      <c r="N177" s="25"/>
      <c r="O177" s="25"/>
      <c r="P177" s="26">
        <f t="shared" ref="P177:P180" si="76">SUM(B177:J177)</f>
        <v>113480</v>
      </c>
    </row>
    <row r="178" hidden="1">
      <c r="A178" s="27" t="s">
        <v>40</v>
      </c>
      <c r="B178" s="28"/>
      <c r="C178" s="28"/>
      <c r="D178" s="28"/>
      <c r="E178" s="28"/>
      <c r="F178" s="28"/>
      <c r="G178" s="28"/>
      <c r="H178" s="28"/>
      <c r="I178" s="28"/>
      <c r="J178" s="28"/>
      <c r="K178" s="29"/>
      <c r="L178" s="29"/>
      <c r="M178" s="29"/>
      <c r="N178" s="29"/>
      <c r="O178" s="29"/>
      <c r="P178" s="30">
        <f t="shared" si="76"/>
        <v>0</v>
      </c>
    </row>
    <row r="179" hidden="1">
      <c r="A179" s="23" t="s">
        <v>62</v>
      </c>
      <c r="B179" s="24">
        <f>(B175/2)-14000</f>
        <v>10400</v>
      </c>
      <c r="C179" s="24"/>
      <c r="D179" s="24">
        <f>(D175/2)-12000</f>
        <v>5000</v>
      </c>
      <c r="E179" s="24"/>
      <c r="F179" s="24"/>
      <c r="G179" s="24"/>
      <c r="H179" s="24">
        <f>(H175/2)-10000</f>
        <v>6000</v>
      </c>
      <c r="I179" s="24"/>
      <c r="J179" s="24"/>
      <c r="K179" s="25"/>
      <c r="L179" s="25"/>
      <c r="M179" s="25"/>
      <c r="N179" s="25"/>
      <c r="O179" s="25"/>
      <c r="P179" s="26">
        <f t="shared" si="76"/>
        <v>21400</v>
      </c>
    </row>
    <row r="180" hidden="1">
      <c r="A180" s="23" t="s">
        <v>63</v>
      </c>
      <c r="B180" s="24"/>
      <c r="C180" s="24"/>
      <c r="D180" s="24">
        <v>1000.0</v>
      </c>
      <c r="E180" s="24"/>
      <c r="F180" s="24"/>
      <c r="G180" s="24">
        <v>1000.0</v>
      </c>
      <c r="H180" s="24"/>
      <c r="I180" s="24"/>
      <c r="J180" s="24"/>
      <c r="K180" s="25"/>
      <c r="L180" s="25"/>
      <c r="M180" s="25"/>
      <c r="N180" s="25"/>
      <c r="O180" s="25"/>
      <c r="P180" s="26">
        <f t="shared" si="76"/>
        <v>2000</v>
      </c>
    </row>
    <row r="181" hidden="1">
      <c r="A181" s="39" t="s">
        <v>22</v>
      </c>
      <c r="B181" s="40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</row>
    <row r="182" hidden="1">
      <c r="A182" s="59" t="s">
        <v>60</v>
      </c>
      <c r="B182" s="43"/>
      <c r="C182" s="44"/>
      <c r="D182" s="44"/>
      <c r="E182" s="45"/>
      <c r="F182" s="45"/>
      <c r="G182" s="45"/>
      <c r="H182" s="45"/>
      <c r="I182" s="44"/>
      <c r="J182" s="44"/>
      <c r="K182" s="44"/>
      <c r="L182" s="44"/>
      <c r="M182" s="44"/>
      <c r="N182" s="44"/>
      <c r="O182" s="44"/>
      <c r="P182" s="44"/>
    </row>
    <row r="183" hidden="1">
      <c r="A183" s="60" t="s">
        <v>61</v>
      </c>
      <c r="B183" s="46"/>
      <c r="C183" s="45"/>
      <c r="D183" s="45"/>
      <c r="E183" s="45"/>
      <c r="F183" s="45"/>
      <c r="G183" s="45"/>
      <c r="H183" s="44"/>
      <c r="I183" s="44"/>
      <c r="J183" s="44"/>
      <c r="K183" s="44"/>
      <c r="L183" s="44"/>
      <c r="M183" s="44"/>
      <c r="N183" s="44"/>
      <c r="O183" s="44"/>
      <c r="P183" s="44"/>
    </row>
    <row r="184" hidden="1">
      <c r="A184" s="60" t="s">
        <v>64</v>
      </c>
      <c r="B184" s="43"/>
      <c r="C184" s="45"/>
      <c r="D184" s="45">
        <v>500.0</v>
      </c>
      <c r="E184" s="45"/>
      <c r="F184" s="45"/>
      <c r="G184" s="44"/>
      <c r="H184" s="44"/>
      <c r="I184" s="44"/>
      <c r="J184" s="44"/>
      <c r="K184" s="44"/>
      <c r="L184" s="44"/>
      <c r="M184" s="44"/>
      <c r="N184" s="44"/>
      <c r="O184" s="44"/>
      <c r="P184" s="44"/>
    </row>
    <row r="185" hidden="1">
      <c r="A185" s="60"/>
      <c r="B185" s="46"/>
      <c r="C185" s="45"/>
      <c r="D185" s="44"/>
      <c r="E185" s="45"/>
      <c r="F185" s="45"/>
      <c r="G185" s="44"/>
      <c r="H185" s="45"/>
      <c r="I185" s="44"/>
      <c r="J185" s="44"/>
      <c r="K185" s="44"/>
      <c r="L185" s="44"/>
      <c r="M185" s="44"/>
      <c r="N185" s="44"/>
      <c r="O185" s="44"/>
      <c r="P185" s="44"/>
    </row>
    <row r="186" hidden="1">
      <c r="A186" s="47" t="s">
        <v>23</v>
      </c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7" t="s">
        <v>24</v>
      </c>
    </row>
    <row r="187" hidden="1">
      <c r="A187" s="61" t="s">
        <v>60</v>
      </c>
      <c r="B187" s="54">
        <f>B177/3</f>
        <v>12380</v>
      </c>
      <c r="C187" s="52"/>
      <c r="D187" s="62">
        <f>D177/3+4000</f>
        <v>12000</v>
      </c>
      <c r="E187" s="52"/>
      <c r="F187" s="52"/>
      <c r="G187" s="62">
        <f>G170-G182</f>
        <v>7000</v>
      </c>
      <c r="H187" s="62">
        <f>H177/3+1000+220</f>
        <v>8000</v>
      </c>
      <c r="I187" s="52"/>
      <c r="J187" s="62">
        <v>10000.0</v>
      </c>
      <c r="K187" s="62"/>
      <c r="L187" s="62"/>
      <c r="M187" s="62"/>
      <c r="N187" s="62"/>
      <c r="O187" s="62"/>
      <c r="P187" s="53">
        <f t="shared" ref="P187:P192" si="77">SUM(B187:J187)</f>
        <v>49380</v>
      </c>
    </row>
    <row r="188" hidden="1">
      <c r="A188" s="63" t="s">
        <v>61</v>
      </c>
      <c r="B188" s="54">
        <v>17000.0</v>
      </c>
      <c r="C188" s="52"/>
      <c r="D188" s="62">
        <f>(12000+1500)</f>
        <v>13500</v>
      </c>
      <c r="E188" s="52"/>
      <c r="F188" s="52"/>
      <c r="G188" s="62">
        <f>7000+1000</f>
        <v>8000</v>
      </c>
      <c r="H188" s="52">
        <f>(10000+1000+500)</f>
        <v>11500</v>
      </c>
      <c r="I188" s="62"/>
      <c r="J188" s="62">
        <v>8250.0</v>
      </c>
      <c r="K188" s="62"/>
      <c r="L188" s="62"/>
      <c r="M188" s="62"/>
      <c r="N188" s="62"/>
      <c r="O188" s="62"/>
      <c r="P188" s="53">
        <f t="shared" si="77"/>
        <v>58250</v>
      </c>
    </row>
    <row r="189" hidden="1">
      <c r="A189" s="63" t="s">
        <v>65</v>
      </c>
      <c r="B189" s="70">
        <f>B177/3</f>
        <v>12380</v>
      </c>
      <c r="C189" s="67"/>
      <c r="D189" s="69">
        <v>12000.0</v>
      </c>
      <c r="E189" s="67"/>
      <c r="F189" s="67"/>
      <c r="G189" s="69">
        <v>7000.0</v>
      </c>
      <c r="H189" s="67">
        <f>H177/3+1220</f>
        <v>8000</v>
      </c>
      <c r="I189" s="62"/>
      <c r="J189" s="62">
        <v>8550.0</v>
      </c>
      <c r="K189" s="62"/>
      <c r="L189" s="62"/>
      <c r="M189" s="62"/>
      <c r="N189" s="62"/>
      <c r="O189" s="62"/>
      <c r="P189" s="52">
        <f t="shared" si="77"/>
        <v>47930</v>
      </c>
    </row>
    <row r="190" hidden="1">
      <c r="A190" s="63" t="s">
        <v>66</v>
      </c>
      <c r="B190" s="71">
        <f>SUM(B189+B179)</f>
        <v>22780</v>
      </c>
      <c r="C190" s="62"/>
      <c r="D190" s="62">
        <f>(D177/3)+1000+5000</f>
        <v>14000</v>
      </c>
      <c r="E190" s="62"/>
      <c r="F190" s="62"/>
      <c r="G190" s="62">
        <v>7000.0</v>
      </c>
      <c r="H190" s="62">
        <f>8000+6000</f>
        <v>14000</v>
      </c>
      <c r="I190" s="52"/>
      <c r="J190" s="62"/>
      <c r="K190" s="62"/>
      <c r="L190" s="62"/>
      <c r="M190" s="62"/>
      <c r="N190" s="62"/>
      <c r="O190" s="62"/>
      <c r="P190" s="52">
        <f t="shared" si="77"/>
        <v>57780</v>
      </c>
    </row>
    <row r="191" hidden="1">
      <c r="A191" s="63" t="s">
        <v>67</v>
      </c>
      <c r="B191" s="54">
        <v>14000.0</v>
      </c>
      <c r="C191" s="52"/>
      <c r="D191" s="62">
        <f t="shared" ref="D191:D192" si="78">8000+2000</f>
        <v>10000</v>
      </c>
      <c r="E191" s="62"/>
      <c r="F191" s="62">
        <v>8000.0</v>
      </c>
      <c r="G191" s="62">
        <v>7000.0</v>
      </c>
      <c r="H191" s="62">
        <f t="shared" ref="H191:H192" si="79">8000+1000</f>
        <v>9000</v>
      </c>
      <c r="I191" s="52"/>
      <c r="J191" s="62">
        <v>8550.0</v>
      </c>
      <c r="K191" s="62"/>
      <c r="L191" s="62"/>
      <c r="M191" s="62"/>
      <c r="N191" s="62"/>
      <c r="O191" s="62"/>
      <c r="P191" s="53">
        <f t="shared" si="77"/>
        <v>56550</v>
      </c>
    </row>
    <row r="192" hidden="1">
      <c r="A192" s="63" t="s">
        <v>68</v>
      </c>
      <c r="B192" s="54">
        <v>14000.0</v>
      </c>
      <c r="C192" s="52"/>
      <c r="D192" s="62">
        <f t="shared" si="78"/>
        <v>10000</v>
      </c>
      <c r="E192" s="62"/>
      <c r="F192" s="62">
        <f>8000+2000</f>
        <v>10000</v>
      </c>
      <c r="G192" s="62">
        <v>7000.0</v>
      </c>
      <c r="H192" s="62">
        <f t="shared" si="79"/>
        <v>9000</v>
      </c>
      <c r="I192" s="52"/>
      <c r="J192" s="62">
        <v>8550.0</v>
      </c>
      <c r="K192" s="62"/>
      <c r="L192" s="62"/>
      <c r="M192" s="62"/>
      <c r="N192" s="62"/>
      <c r="O192" s="62"/>
      <c r="P192" s="53">
        <f t="shared" si="77"/>
        <v>58550</v>
      </c>
    </row>
    <row r="193" hidden="1">
      <c r="B193" s="72" t="s">
        <v>69</v>
      </c>
      <c r="D193" s="72" t="s">
        <v>70</v>
      </c>
      <c r="E193" s="72"/>
      <c r="F193" s="72" t="s">
        <v>71</v>
      </c>
      <c r="H193" s="72" t="s">
        <v>72</v>
      </c>
      <c r="I193" s="73">
        <v>44318.0</v>
      </c>
    </row>
    <row r="194" hidden="1">
      <c r="B194" s="72" t="s">
        <v>73</v>
      </c>
      <c r="D194" s="72" t="s">
        <v>74</v>
      </c>
      <c r="H194" s="72" t="s">
        <v>75</v>
      </c>
      <c r="I194" s="72">
        <v>1.0</v>
      </c>
    </row>
    <row r="195" hidden="1">
      <c r="B195" s="72" t="s">
        <v>76</v>
      </c>
      <c r="D195" s="72" t="s">
        <v>77</v>
      </c>
      <c r="I195" s="72">
        <v>1.0</v>
      </c>
    </row>
    <row r="196" hidden="1">
      <c r="I196" s="72">
        <v>3.0</v>
      </c>
    </row>
    <row r="197" hidden="1"/>
    <row r="198" hidden="1">
      <c r="A198" s="1" t="s">
        <v>0</v>
      </c>
      <c r="B198" s="2" t="s">
        <v>1</v>
      </c>
      <c r="C198" s="3"/>
      <c r="D198" s="3" t="s">
        <v>3</v>
      </c>
      <c r="E198" s="3"/>
      <c r="F198" s="3" t="s">
        <v>58</v>
      </c>
      <c r="G198" s="3" t="s">
        <v>34</v>
      </c>
      <c r="H198" s="3" t="s">
        <v>6</v>
      </c>
      <c r="I198" s="4" t="s">
        <v>78</v>
      </c>
      <c r="J198" s="4" t="s">
        <v>79</v>
      </c>
      <c r="K198" s="4"/>
      <c r="L198" s="4"/>
      <c r="M198" s="4"/>
      <c r="N198" s="4"/>
      <c r="O198" s="4"/>
      <c r="P198" s="1" t="s">
        <v>0</v>
      </c>
    </row>
    <row r="199" hidden="1">
      <c r="A199" s="6" t="s">
        <v>80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8"/>
    </row>
    <row r="200" hidden="1">
      <c r="A200" s="55" t="s">
        <v>81</v>
      </c>
      <c r="B200" s="10">
        <f>B205/4</f>
        <v>12200</v>
      </c>
      <c r="C200" s="10"/>
      <c r="D200" s="10">
        <f>D205/4</f>
        <v>10000</v>
      </c>
      <c r="E200" s="10"/>
      <c r="F200" s="10">
        <v>8000.0</v>
      </c>
      <c r="G200" s="10">
        <v>7000.0</v>
      </c>
      <c r="H200" s="10">
        <f t="shared" ref="H200:I200" si="80">H205/4</f>
        <v>10000</v>
      </c>
      <c r="I200" s="10">
        <f t="shared" si="80"/>
        <v>12000</v>
      </c>
      <c r="J200" s="12"/>
      <c r="K200" s="12"/>
      <c r="L200" s="12"/>
      <c r="M200" s="12"/>
      <c r="N200" s="12"/>
      <c r="O200" s="12"/>
      <c r="P200" s="13">
        <f>SUM(B200:J200)</f>
        <v>59200</v>
      </c>
    </row>
    <row r="201" hidden="1">
      <c r="A201" s="15" t="s">
        <v>82</v>
      </c>
      <c r="B201" s="10">
        <f>B205/4</f>
        <v>12200</v>
      </c>
      <c r="C201" s="10"/>
      <c r="D201" s="10">
        <f>D205/4</f>
        <v>10000</v>
      </c>
      <c r="E201" s="10"/>
      <c r="F201" s="10">
        <v>8000.0</v>
      </c>
      <c r="G201" s="10">
        <v>7000.0</v>
      </c>
      <c r="H201" s="10">
        <f t="shared" ref="H201:I201" si="81">H205/4</f>
        <v>10000</v>
      </c>
      <c r="I201" s="10">
        <f t="shared" si="81"/>
        <v>12000</v>
      </c>
      <c r="J201" s="12"/>
      <c r="K201" s="12"/>
      <c r="L201" s="12"/>
      <c r="M201" s="12"/>
      <c r="N201" s="12"/>
      <c r="O201" s="12"/>
      <c r="P201" s="13">
        <f t="shared" ref="P201:P204" si="83">SUM(B201:I201)</f>
        <v>59200</v>
      </c>
    </row>
    <row r="202" hidden="1">
      <c r="A202" s="15" t="s">
        <v>83</v>
      </c>
      <c r="B202" s="10">
        <f>B205/4</f>
        <v>12200</v>
      </c>
      <c r="C202" s="10"/>
      <c r="D202" s="10">
        <f>D205/4</f>
        <v>10000</v>
      </c>
      <c r="E202" s="10"/>
      <c r="F202" s="10">
        <v>8000.0</v>
      </c>
      <c r="G202" s="10">
        <v>7000.0</v>
      </c>
      <c r="H202" s="10">
        <f t="shared" ref="H202:I202" si="82">H205/4</f>
        <v>10000</v>
      </c>
      <c r="I202" s="10">
        <f t="shared" si="82"/>
        <v>12000</v>
      </c>
      <c r="J202" s="12"/>
      <c r="K202" s="12"/>
      <c r="L202" s="12"/>
      <c r="M202" s="12"/>
      <c r="N202" s="12"/>
      <c r="O202" s="12"/>
      <c r="P202" s="13">
        <f t="shared" si="83"/>
        <v>59200</v>
      </c>
    </row>
    <row r="203" hidden="1">
      <c r="A203" s="15" t="s">
        <v>84</v>
      </c>
      <c r="B203" s="16">
        <f>B205/4</f>
        <v>12200</v>
      </c>
      <c r="C203" s="16"/>
      <c r="D203" s="16">
        <f>D205/4</f>
        <v>10000</v>
      </c>
      <c r="E203" s="16"/>
      <c r="F203" s="16">
        <v>8000.0</v>
      </c>
      <c r="G203" s="16">
        <v>7000.0</v>
      </c>
      <c r="H203" s="16">
        <f t="shared" ref="H203:I203" si="84">H205/4</f>
        <v>10000</v>
      </c>
      <c r="I203" s="16">
        <f t="shared" si="84"/>
        <v>12000</v>
      </c>
      <c r="J203" s="18"/>
      <c r="K203" s="18"/>
      <c r="L203" s="18"/>
      <c r="M203" s="18"/>
      <c r="N203" s="18"/>
      <c r="O203" s="18"/>
      <c r="P203" s="19">
        <f t="shared" si="83"/>
        <v>59200</v>
      </c>
    </row>
    <row r="204" hidden="1">
      <c r="A204" s="15"/>
      <c r="B204" s="16"/>
      <c r="C204" s="16"/>
      <c r="D204" s="16"/>
      <c r="E204" s="16"/>
      <c r="F204" s="16"/>
      <c r="G204" s="16"/>
      <c r="H204" s="16"/>
      <c r="I204" s="16"/>
      <c r="J204" s="18"/>
      <c r="K204" s="18"/>
      <c r="L204" s="18"/>
      <c r="M204" s="18"/>
      <c r="N204" s="18"/>
      <c r="O204" s="18"/>
      <c r="P204" s="19">
        <f t="shared" si="83"/>
        <v>0</v>
      </c>
    </row>
    <row r="205" hidden="1">
      <c r="A205" s="20" t="s">
        <v>15</v>
      </c>
      <c r="B205" s="21">
        <v>48800.0</v>
      </c>
      <c r="C205" s="21"/>
      <c r="D205" s="21">
        <v>40000.0</v>
      </c>
      <c r="E205" s="21"/>
      <c r="F205" s="21">
        <v>32000.0</v>
      </c>
      <c r="G205" s="21">
        <f>SUM(G200:G203)</f>
        <v>28000</v>
      </c>
      <c r="H205" s="21">
        <v>40000.0</v>
      </c>
      <c r="I205" s="21">
        <v>48000.0</v>
      </c>
      <c r="J205" s="20"/>
      <c r="K205" s="20"/>
      <c r="L205" s="20"/>
      <c r="M205" s="20"/>
      <c r="N205" s="20"/>
      <c r="O205" s="20"/>
      <c r="P205" s="21">
        <f>SUM(P200:P203)</f>
        <v>236800</v>
      </c>
    </row>
    <row r="206" hidden="1">
      <c r="A206" s="23" t="s">
        <v>16</v>
      </c>
      <c r="B206" s="24">
        <v>11563.0</v>
      </c>
      <c r="C206" s="24"/>
      <c r="D206" s="24">
        <v>9931.0</v>
      </c>
      <c r="E206" s="24"/>
      <c r="F206" s="24" t="s">
        <v>85</v>
      </c>
      <c r="G206" s="24" t="s">
        <v>85</v>
      </c>
      <c r="H206" s="24">
        <v>11563.0</v>
      </c>
      <c r="I206" s="24"/>
      <c r="J206" s="74"/>
      <c r="K206" s="74"/>
      <c r="L206" s="74"/>
      <c r="M206" s="74"/>
      <c r="N206" s="74"/>
      <c r="O206" s="74"/>
      <c r="P206" s="75"/>
    </row>
    <row r="207" hidden="1">
      <c r="A207" s="57" t="s">
        <v>17</v>
      </c>
      <c r="B207" s="58">
        <f>B205-(B206)</f>
        <v>37237</v>
      </c>
      <c r="C207" s="58"/>
      <c r="D207" s="58">
        <f>D205-(D206)</f>
        <v>30069</v>
      </c>
      <c r="E207" s="58"/>
      <c r="F207" s="58">
        <v>32000.0</v>
      </c>
      <c r="G207" s="58">
        <f>G205</f>
        <v>28000</v>
      </c>
      <c r="H207" s="58">
        <f>H205-(H206)</f>
        <v>28437</v>
      </c>
      <c r="I207" s="58">
        <f>I204-(I206)</f>
        <v>0</v>
      </c>
      <c r="J207" s="25"/>
      <c r="K207" s="25"/>
      <c r="L207" s="25"/>
      <c r="M207" s="25"/>
      <c r="N207" s="25"/>
      <c r="O207" s="25"/>
      <c r="P207" s="26">
        <f t="shared" ref="P207:P209" si="85">SUM(B207:J207)</f>
        <v>155743</v>
      </c>
    </row>
    <row r="208" hidden="1">
      <c r="A208" s="27" t="s">
        <v>40</v>
      </c>
      <c r="B208" s="28" t="s">
        <v>86</v>
      </c>
      <c r="C208" s="28"/>
      <c r="D208" s="28"/>
      <c r="E208" s="28"/>
      <c r="F208" s="28" t="s">
        <v>87</v>
      </c>
      <c r="G208" s="28"/>
      <c r="H208" s="28"/>
      <c r="I208" s="28"/>
      <c r="J208" s="28"/>
      <c r="K208" s="29"/>
      <c r="L208" s="29"/>
      <c r="M208" s="29"/>
      <c r="N208" s="29"/>
      <c r="O208" s="29"/>
      <c r="P208" s="30">
        <f t="shared" si="85"/>
        <v>0</v>
      </c>
    </row>
    <row r="209" hidden="1">
      <c r="A209" s="23" t="s">
        <v>88</v>
      </c>
      <c r="B209" s="24"/>
      <c r="C209" s="24"/>
      <c r="D209" s="24"/>
      <c r="E209" s="24"/>
      <c r="F209" s="24"/>
      <c r="G209" s="24">
        <v>1000.0</v>
      </c>
      <c r="H209" s="24">
        <v>1000.0</v>
      </c>
      <c r="I209" s="24">
        <v>1000.0</v>
      </c>
      <c r="J209" s="24"/>
      <c r="K209" s="25"/>
      <c r="L209" s="25"/>
      <c r="M209" s="25"/>
      <c r="N209" s="25"/>
      <c r="O209" s="25"/>
      <c r="P209" s="26">
        <f t="shared" si="85"/>
        <v>3000</v>
      </c>
    </row>
    <row r="210" hidden="1">
      <c r="A210" s="39" t="s">
        <v>22</v>
      </c>
      <c r="B210" s="40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</row>
    <row r="211" hidden="1">
      <c r="A211" s="59" t="s">
        <v>81</v>
      </c>
      <c r="B211" s="43"/>
      <c r="C211" s="44"/>
      <c r="D211" s="44"/>
      <c r="E211" s="45"/>
      <c r="F211" s="45"/>
      <c r="G211" s="45"/>
      <c r="H211" s="45"/>
      <c r="I211" s="44"/>
      <c r="J211" s="44"/>
      <c r="K211" s="44"/>
      <c r="L211" s="44"/>
      <c r="M211" s="44"/>
      <c r="N211" s="44"/>
      <c r="O211" s="44"/>
      <c r="P211" s="44"/>
    </row>
    <row r="212" hidden="1">
      <c r="A212" s="60" t="s">
        <v>82</v>
      </c>
      <c r="B212" s="46"/>
      <c r="C212" s="45"/>
      <c r="D212" s="45"/>
      <c r="E212" s="45"/>
      <c r="F212" s="45"/>
      <c r="G212" s="45"/>
      <c r="H212" s="44"/>
      <c r="I212" s="44"/>
      <c r="J212" s="44"/>
      <c r="K212" s="44"/>
      <c r="L212" s="44"/>
      <c r="M212" s="44"/>
      <c r="N212" s="44"/>
      <c r="O212" s="44"/>
      <c r="P212" s="44"/>
    </row>
    <row r="213" hidden="1">
      <c r="A213" s="60" t="s">
        <v>83</v>
      </c>
      <c r="B213" s="43"/>
      <c r="C213" s="45"/>
      <c r="D213" s="45"/>
      <c r="E213" s="45"/>
      <c r="F213" s="45"/>
      <c r="G213" s="44"/>
      <c r="H213" s="44"/>
      <c r="I213" s="44"/>
      <c r="J213" s="44"/>
      <c r="K213" s="44"/>
      <c r="L213" s="44"/>
      <c r="M213" s="44"/>
      <c r="N213" s="44"/>
      <c r="O213" s="44"/>
      <c r="P213" s="44"/>
    </row>
    <row r="214" hidden="1">
      <c r="A214" s="60" t="s">
        <v>84</v>
      </c>
      <c r="B214" s="46"/>
      <c r="C214" s="45"/>
      <c r="D214" s="44"/>
      <c r="E214" s="45"/>
      <c r="F214" s="45"/>
      <c r="G214" s="44"/>
      <c r="H214" s="45"/>
      <c r="I214" s="44"/>
      <c r="J214" s="44"/>
      <c r="K214" s="44"/>
      <c r="L214" s="44"/>
      <c r="M214" s="44"/>
      <c r="N214" s="44"/>
      <c r="O214" s="44"/>
      <c r="P214" s="44"/>
    </row>
    <row r="215" hidden="1">
      <c r="A215" s="47" t="s">
        <v>23</v>
      </c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7" t="s">
        <v>24</v>
      </c>
    </row>
    <row r="216" hidden="1">
      <c r="A216" s="61" t="s">
        <v>81</v>
      </c>
      <c r="B216" s="54">
        <f>B207/3</f>
        <v>12412.33333</v>
      </c>
      <c r="C216" s="52"/>
      <c r="D216" s="62">
        <f>D207/3</f>
        <v>10023</v>
      </c>
      <c r="E216" s="52"/>
      <c r="F216" s="52">
        <f t="shared" ref="F216:G216" si="86">F207/4</f>
        <v>8000</v>
      </c>
      <c r="G216" s="62">
        <f t="shared" si="86"/>
        <v>7000</v>
      </c>
      <c r="H216" s="62">
        <f>H207/3</f>
        <v>9479</v>
      </c>
      <c r="I216" s="52">
        <f>I205/4</f>
        <v>12000</v>
      </c>
      <c r="J216" s="62"/>
      <c r="K216" s="62"/>
      <c r="L216" s="62"/>
      <c r="M216" s="62"/>
      <c r="N216" s="62"/>
      <c r="O216" s="62"/>
      <c r="P216" s="53">
        <f t="shared" ref="P216:P221" si="87">SUM(B216:J216)</f>
        <v>58914.33333</v>
      </c>
    </row>
    <row r="217" hidden="1">
      <c r="A217" s="63" t="s">
        <v>82</v>
      </c>
      <c r="B217" s="54" t="s">
        <v>89</v>
      </c>
      <c r="C217" s="52"/>
      <c r="D217" s="62" t="s">
        <v>89</v>
      </c>
      <c r="E217" s="52"/>
      <c r="F217" s="52">
        <f>(F207/4)-F212+1000</f>
        <v>9000</v>
      </c>
      <c r="G217" s="62">
        <f>(G207/4)-G212</f>
        <v>7000</v>
      </c>
      <c r="H217" s="62" t="s">
        <v>89</v>
      </c>
      <c r="I217" s="62">
        <f>I205/4</f>
        <v>12000</v>
      </c>
      <c r="J217" s="62"/>
      <c r="K217" s="62"/>
      <c r="L217" s="62"/>
      <c r="M217" s="62"/>
      <c r="N217" s="62"/>
      <c r="O217" s="62"/>
      <c r="P217" s="53">
        <f t="shared" si="87"/>
        <v>28000</v>
      </c>
    </row>
    <row r="218" hidden="1">
      <c r="A218" s="63" t="s">
        <v>83</v>
      </c>
      <c r="B218" s="54">
        <f>(B207/3)+1000</f>
        <v>13412.33333</v>
      </c>
      <c r="C218" s="67"/>
      <c r="D218" s="69">
        <f>D207/3</f>
        <v>10023</v>
      </c>
      <c r="E218" s="67"/>
      <c r="F218" s="67">
        <f t="shared" ref="F218:G218" si="88">(F207/4)-F213</f>
        <v>8000</v>
      </c>
      <c r="G218" s="69">
        <f t="shared" si="88"/>
        <v>7000</v>
      </c>
      <c r="H218" s="67">
        <f>H207/3</f>
        <v>9479</v>
      </c>
      <c r="I218" s="62">
        <f>I205/4</f>
        <v>12000</v>
      </c>
      <c r="J218" s="62"/>
      <c r="K218" s="62"/>
      <c r="L218" s="62"/>
      <c r="M218" s="62"/>
      <c r="N218" s="62"/>
      <c r="O218" s="62"/>
      <c r="P218" s="53">
        <f t="shared" si="87"/>
        <v>59914.33333</v>
      </c>
    </row>
    <row r="219" hidden="1">
      <c r="A219" s="63" t="s">
        <v>84</v>
      </c>
      <c r="B219" s="54">
        <v>13500.0</v>
      </c>
      <c r="C219" s="62"/>
      <c r="D219" s="62">
        <f>D207/3</f>
        <v>10023</v>
      </c>
      <c r="E219" s="62"/>
      <c r="F219" s="62">
        <f t="shared" ref="F219:G219" si="89">(F207/4)-F214</f>
        <v>8000</v>
      </c>
      <c r="G219" s="62">
        <f t="shared" si="89"/>
        <v>7000</v>
      </c>
      <c r="H219" s="62">
        <f>H207/3</f>
        <v>9479</v>
      </c>
      <c r="I219" s="52">
        <f>I205/4</f>
        <v>12000</v>
      </c>
      <c r="J219" s="62"/>
      <c r="K219" s="62"/>
      <c r="L219" s="62"/>
      <c r="M219" s="62"/>
      <c r="N219" s="62"/>
      <c r="O219" s="62"/>
      <c r="P219" s="53">
        <f t="shared" si="87"/>
        <v>60002</v>
      </c>
    </row>
    <row r="220" hidden="1">
      <c r="A220" s="63"/>
      <c r="B220" s="54"/>
      <c r="C220" s="52"/>
      <c r="D220" s="62"/>
      <c r="E220" s="62"/>
      <c r="F220" s="62"/>
      <c r="G220" s="62"/>
      <c r="H220" s="62"/>
      <c r="I220" s="52"/>
      <c r="J220" s="62"/>
      <c r="K220" s="62"/>
      <c r="L220" s="62"/>
      <c r="M220" s="62"/>
      <c r="N220" s="62"/>
      <c r="O220" s="62"/>
      <c r="P220" s="53">
        <f t="shared" si="87"/>
        <v>0</v>
      </c>
    </row>
    <row r="221" hidden="1">
      <c r="A221" s="63"/>
      <c r="B221" s="54"/>
      <c r="C221" s="52"/>
      <c r="D221" s="62"/>
      <c r="E221" s="62"/>
      <c r="F221" s="62"/>
      <c r="G221" s="62"/>
      <c r="H221" s="62"/>
      <c r="I221" s="52"/>
      <c r="J221" s="62"/>
      <c r="K221" s="62"/>
      <c r="L221" s="62"/>
      <c r="M221" s="62"/>
      <c r="N221" s="62"/>
      <c r="O221" s="62"/>
      <c r="P221" s="53">
        <f t="shared" si="87"/>
        <v>0</v>
      </c>
    </row>
    <row r="222" hidden="1"/>
    <row r="223" hidden="1">
      <c r="A223" s="1" t="s">
        <v>0</v>
      </c>
      <c r="B223" s="2" t="s">
        <v>1</v>
      </c>
      <c r="C223" s="3" t="s">
        <v>90</v>
      </c>
      <c r="D223" s="3" t="s">
        <v>3</v>
      </c>
      <c r="E223" s="3"/>
      <c r="F223" s="3" t="s">
        <v>58</v>
      </c>
      <c r="G223" s="3" t="s">
        <v>91</v>
      </c>
      <c r="H223" s="3" t="s">
        <v>6</v>
      </c>
      <c r="I223" s="4" t="s">
        <v>92</v>
      </c>
      <c r="J223" s="4" t="s">
        <v>93</v>
      </c>
      <c r="K223" s="4"/>
      <c r="L223" s="4"/>
      <c r="M223" s="4"/>
      <c r="N223" s="4"/>
      <c r="O223" s="4"/>
      <c r="P223" s="1" t="s">
        <v>0</v>
      </c>
    </row>
    <row r="224" hidden="1">
      <c r="A224" s="6" t="s">
        <v>94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8"/>
    </row>
    <row r="225" hidden="1">
      <c r="A225" s="55" t="s">
        <v>95</v>
      </c>
      <c r="B225" s="10">
        <f>B230/4</f>
        <v>12200</v>
      </c>
      <c r="C225" s="10"/>
      <c r="D225" s="10">
        <f>D230/4</f>
        <v>10000</v>
      </c>
      <c r="E225" s="10"/>
      <c r="F225" s="10">
        <v>8000.0</v>
      </c>
      <c r="G225" s="10"/>
      <c r="H225" s="10">
        <f t="shared" ref="H225:I225" si="90">H230/4</f>
        <v>10000</v>
      </c>
      <c r="I225" s="10">
        <f t="shared" si="90"/>
        <v>12000</v>
      </c>
      <c r="J225" s="12"/>
      <c r="K225" s="12"/>
      <c r="L225" s="12"/>
      <c r="M225" s="12"/>
      <c r="N225" s="12"/>
      <c r="O225" s="12"/>
      <c r="P225" s="13">
        <f>SUM(B225:J225)</f>
        <v>52200</v>
      </c>
    </row>
    <row r="226" hidden="1">
      <c r="A226" s="15" t="s">
        <v>96</v>
      </c>
      <c r="B226" s="10">
        <f>B230/4</f>
        <v>12200</v>
      </c>
      <c r="C226" s="10"/>
      <c r="D226" s="10">
        <f>D230/4</f>
        <v>10000</v>
      </c>
      <c r="E226" s="10"/>
      <c r="F226" s="10">
        <v>8000.0</v>
      </c>
      <c r="G226" s="10"/>
      <c r="H226" s="10">
        <f t="shared" ref="H226:I226" si="91">H230/4</f>
        <v>10000</v>
      </c>
      <c r="I226" s="10">
        <f t="shared" si="91"/>
        <v>12000</v>
      </c>
      <c r="J226" s="12"/>
      <c r="K226" s="12"/>
      <c r="L226" s="12"/>
      <c r="M226" s="12"/>
      <c r="N226" s="12"/>
      <c r="O226" s="12"/>
      <c r="P226" s="13">
        <f t="shared" ref="P226:P229" si="93">SUM(B226:I226)</f>
        <v>52200</v>
      </c>
    </row>
    <row r="227" hidden="1">
      <c r="A227" s="15" t="s">
        <v>97</v>
      </c>
      <c r="B227" s="10">
        <f>B230/4</f>
        <v>12200</v>
      </c>
      <c r="C227" s="10"/>
      <c r="D227" s="10">
        <f>D230/4</f>
        <v>10000</v>
      </c>
      <c r="E227" s="10"/>
      <c r="F227" s="10">
        <v>8000.0</v>
      </c>
      <c r="G227" s="10"/>
      <c r="H227" s="10">
        <f t="shared" ref="H227:I227" si="92">H230/4</f>
        <v>10000</v>
      </c>
      <c r="I227" s="10">
        <f t="shared" si="92"/>
        <v>12000</v>
      </c>
      <c r="J227" s="12"/>
      <c r="K227" s="12"/>
      <c r="L227" s="12"/>
      <c r="M227" s="12"/>
      <c r="N227" s="12"/>
      <c r="O227" s="12"/>
      <c r="P227" s="13">
        <f t="shared" si="93"/>
        <v>52200</v>
      </c>
    </row>
    <row r="228" hidden="1">
      <c r="A228" s="15" t="s">
        <v>98</v>
      </c>
      <c r="B228" s="16">
        <f>B230/4</f>
        <v>12200</v>
      </c>
      <c r="C228" s="16"/>
      <c r="D228" s="16">
        <f>D230/4</f>
        <v>10000</v>
      </c>
      <c r="E228" s="16"/>
      <c r="F228" s="16">
        <v>8000.0</v>
      </c>
      <c r="G228" s="16"/>
      <c r="H228" s="16">
        <f t="shared" ref="H228:I228" si="94">H230/4</f>
        <v>10000</v>
      </c>
      <c r="I228" s="16">
        <f t="shared" si="94"/>
        <v>12000</v>
      </c>
      <c r="J228" s="18"/>
      <c r="K228" s="18"/>
      <c r="L228" s="18"/>
      <c r="M228" s="18"/>
      <c r="N228" s="18"/>
      <c r="O228" s="18"/>
      <c r="P228" s="19">
        <f t="shared" si="93"/>
        <v>52200</v>
      </c>
    </row>
    <row r="229" hidden="1">
      <c r="A229" s="15"/>
      <c r="B229" s="16"/>
      <c r="C229" s="16"/>
      <c r="D229" s="16"/>
      <c r="E229" s="16"/>
      <c r="F229" s="16"/>
      <c r="G229" s="16"/>
      <c r="H229" s="16"/>
      <c r="I229" s="16"/>
      <c r="J229" s="18"/>
      <c r="K229" s="18"/>
      <c r="L229" s="18"/>
      <c r="M229" s="18"/>
      <c r="N229" s="18"/>
      <c r="O229" s="18"/>
      <c r="P229" s="19">
        <f t="shared" si="93"/>
        <v>0</v>
      </c>
    </row>
    <row r="230" hidden="1">
      <c r="A230" s="20" t="s">
        <v>15</v>
      </c>
      <c r="B230" s="21">
        <v>48800.0</v>
      </c>
      <c r="C230" s="21"/>
      <c r="D230" s="21">
        <v>40000.0</v>
      </c>
      <c r="E230" s="21"/>
      <c r="F230" s="21">
        <v>32000.0</v>
      </c>
      <c r="G230" s="21"/>
      <c r="H230" s="21">
        <v>40000.0</v>
      </c>
      <c r="I230" s="21">
        <v>48000.0</v>
      </c>
      <c r="J230" s="20"/>
      <c r="K230" s="20"/>
      <c r="L230" s="20"/>
      <c r="M230" s="20"/>
      <c r="N230" s="20"/>
      <c r="O230" s="20"/>
      <c r="P230" s="21">
        <f>SUM(P225:P228)</f>
        <v>208800</v>
      </c>
    </row>
    <row r="231" hidden="1">
      <c r="A231" s="23" t="s">
        <v>16</v>
      </c>
      <c r="B231" s="24">
        <v>11563.0</v>
      </c>
      <c r="C231" s="24"/>
      <c r="D231" s="24">
        <v>9931.0</v>
      </c>
      <c r="E231" s="24"/>
      <c r="F231" s="24" t="s">
        <v>85</v>
      </c>
      <c r="G231" s="24"/>
      <c r="H231" s="24">
        <v>11563.0</v>
      </c>
      <c r="I231" s="24"/>
      <c r="J231" s="74"/>
      <c r="K231" s="74"/>
      <c r="L231" s="74"/>
      <c r="M231" s="74"/>
      <c r="N231" s="74"/>
      <c r="O231" s="74"/>
      <c r="P231" s="75"/>
    </row>
    <row r="232" hidden="1">
      <c r="A232" s="57" t="s">
        <v>17</v>
      </c>
      <c r="B232" s="58">
        <f>B230-(B231)</f>
        <v>37237</v>
      </c>
      <c r="C232" s="58"/>
      <c r="D232" s="58">
        <f>D230-(D231)</f>
        <v>30069</v>
      </c>
      <c r="E232" s="58"/>
      <c r="F232" s="58">
        <v>32000.0</v>
      </c>
      <c r="G232" s="58"/>
      <c r="H232" s="58">
        <f>H230-(H231)</f>
        <v>28437</v>
      </c>
      <c r="I232" s="58">
        <f>I229-(I231)</f>
        <v>0</v>
      </c>
      <c r="J232" s="25"/>
      <c r="K232" s="25"/>
      <c r="L232" s="25"/>
      <c r="M232" s="25"/>
      <c r="N232" s="25"/>
      <c r="O232" s="25"/>
      <c r="P232" s="26">
        <f t="shared" ref="P232:P234" si="95">SUM(B232:J232)</f>
        <v>127743</v>
      </c>
    </row>
    <row r="233" hidden="1">
      <c r="A233" s="27" t="s">
        <v>40</v>
      </c>
      <c r="B233" s="28" t="s">
        <v>86</v>
      </c>
      <c r="C233" s="28"/>
      <c r="D233" s="28"/>
      <c r="E233" s="28"/>
      <c r="F233" s="28" t="s">
        <v>87</v>
      </c>
      <c r="G233" s="28"/>
      <c r="H233" s="28"/>
      <c r="I233" s="28"/>
      <c r="J233" s="28"/>
      <c r="K233" s="29"/>
      <c r="L233" s="29"/>
      <c r="M233" s="29"/>
      <c r="N233" s="29"/>
      <c r="O233" s="29"/>
      <c r="P233" s="30">
        <f t="shared" si="95"/>
        <v>0</v>
      </c>
    </row>
    <row r="234" hidden="1">
      <c r="A234" s="23" t="s">
        <v>88</v>
      </c>
      <c r="B234" s="24"/>
      <c r="C234" s="24"/>
      <c r="D234" s="24"/>
      <c r="E234" s="24"/>
      <c r="F234" s="24"/>
      <c r="G234" s="24"/>
      <c r="H234" s="24">
        <v>1000.0</v>
      </c>
      <c r="I234" s="24">
        <v>1000.0</v>
      </c>
      <c r="J234" s="24"/>
      <c r="K234" s="25"/>
      <c r="L234" s="25"/>
      <c r="M234" s="25"/>
      <c r="N234" s="25"/>
      <c r="O234" s="25"/>
      <c r="P234" s="26">
        <f t="shared" si="95"/>
        <v>2000</v>
      </c>
    </row>
    <row r="235" hidden="1">
      <c r="A235" s="39" t="s">
        <v>22</v>
      </c>
      <c r="B235" s="40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</row>
    <row r="236" hidden="1">
      <c r="A236" s="59" t="s">
        <v>95</v>
      </c>
      <c r="B236" s="43"/>
      <c r="C236" s="44"/>
      <c r="D236" s="44"/>
      <c r="E236" s="45"/>
      <c r="F236" s="45"/>
      <c r="G236" s="45"/>
      <c r="H236" s="45"/>
      <c r="I236" s="44"/>
      <c r="J236" s="44"/>
      <c r="K236" s="44"/>
      <c r="L236" s="44"/>
      <c r="M236" s="44"/>
      <c r="N236" s="44"/>
      <c r="O236" s="44"/>
      <c r="P236" s="44"/>
    </row>
    <row r="237" hidden="1">
      <c r="A237" s="60" t="s">
        <v>96</v>
      </c>
      <c r="B237" s="46"/>
      <c r="C237" s="45"/>
      <c r="D237" s="45"/>
      <c r="E237" s="45"/>
      <c r="F237" s="45"/>
      <c r="G237" s="45"/>
      <c r="H237" s="44"/>
      <c r="I237" s="44"/>
      <c r="J237" s="44"/>
      <c r="K237" s="44"/>
      <c r="L237" s="44"/>
      <c r="M237" s="44"/>
      <c r="N237" s="44"/>
      <c r="O237" s="44"/>
      <c r="P237" s="44"/>
    </row>
    <row r="238" hidden="1">
      <c r="A238" s="60" t="s">
        <v>97</v>
      </c>
      <c r="B238" s="43"/>
      <c r="C238" s="45"/>
      <c r="D238" s="45"/>
      <c r="E238" s="45"/>
      <c r="F238" s="45"/>
      <c r="G238" s="44"/>
      <c r="H238" s="44"/>
      <c r="I238" s="44"/>
      <c r="J238" s="44"/>
      <c r="K238" s="44"/>
      <c r="L238" s="44"/>
      <c r="M238" s="44"/>
      <c r="N238" s="44"/>
      <c r="O238" s="44"/>
      <c r="P238" s="44"/>
    </row>
    <row r="239" hidden="1">
      <c r="A239" s="60" t="s">
        <v>98</v>
      </c>
      <c r="B239" s="46"/>
      <c r="C239" s="45"/>
      <c r="D239" s="44"/>
      <c r="E239" s="45"/>
      <c r="F239" s="45"/>
      <c r="G239" s="44"/>
      <c r="H239" s="45"/>
      <c r="I239" s="44"/>
      <c r="J239" s="44"/>
      <c r="K239" s="44"/>
      <c r="L239" s="44"/>
      <c r="M239" s="44"/>
      <c r="N239" s="44"/>
      <c r="O239" s="44"/>
      <c r="P239" s="44"/>
    </row>
    <row r="240" hidden="1">
      <c r="A240" s="1" t="s">
        <v>0</v>
      </c>
      <c r="B240" s="2" t="s">
        <v>1</v>
      </c>
      <c r="C240" s="3" t="s">
        <v>99</v>
      </c>
      <c r="D240" s="3" t="s">
        <v>3</v>
      </c>
      <c r="E240" s="3"/>
      <c r="F240" s="3" t="s">
        <v>58</v>
      </c>
      <c r="G240" s="3" t="s">
        <v>91</v>
      </c>
      <c r="H240" s="3" t="s">
        <v>6</v>
      </c>
      <c r="I240" s="4" t="s">
        <v>92</v>
      </c>
      <c r="J240" s="4" t="s">
        <v>93</v>
      </c>
      <c r="K240" s="4"/>
      <c r="L240" s="4"/>
      <c r="M240" s="4"/>
      <c r="N240" s="4"/>
      <c r="O240" s="4"/>
      <c r="P240" s="1" t="s">
        <v>0</v>
      </c>
    </row>
    <row r="241" hidden="1">
      <c r="A241" s="47" t="s">
        <v>23</v>
      </c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7" t="s">
        <v>24</v>
      </c>
    </row>
    <row r="242" hidden="1">
      <c r="A242" s="61" t="s">
        <v>95</v>
      </c>
      <c r="B242" s="54">
        <f>B232/3+1000</f>
        <v>13412.33333</v>
      </c>
      <c r="C242" s="52"/>
      <c r="D242" s="62">
        <f>D232/3</f>
        <v>10023</v>
      </c>
      <c r="E242" s="52"/>
      <c r="F242" s="52">
        <f>F232/4</f>
        <v>8000</v>
      </c>
      <c r="G242" s="62"/>
      <c r="H242" s="62">
        <f>H232/3</f>
        <v>9479</v>
      </c>
      <c r="I242" s="52">
        <f>I230/4</f>
        <v>12000</v>
      </c>
      <c r="J242" s="62"/>
      <c r="K242" s="62"/>
      <c r="L242" s="62"/>
      <c r="M242" s="62"/>
      <c r="N242" s="62"/>
      <c r="O242" s="62"/>
      <c r="P242" s="53">
        <f t="shared" ref="P242:P247" si="96">SUM(B242:J242)</f>
        <v>52914.33333</v>
      </c>
    </row>
    <row r="243" hidden="1">
      <c r="A243" s="63" t="s">
        <v>96</v>
      </c>
      <c r="B243" s="54">
        <f>12500+1000</f>
        <v>13500</v>
      </c>
      <c r="C243" s="52"/>
      <c r="D243" s="62">
        <v>10000.0</v>
      </c>
      <c r="E243" s="52"/>
      <c r="F243" s="52">
        <f t="shared" ref="F243:F245" si="97">8000+2000-333</f>
        <v>9667</v>
      </c>
      <c r="G243" s="62"/>
      <c r="H243" s="62">
        <v>9500.0</v>
      </c>
      <c r="I243" s="62">
        <f>I230/4</f>
        <v>12000</v>
      </c>
      <c r="J243" s="62">
        <v>6000.0</v>
      </c>
      <c r="K243" s="62"/>
      <c r="L243" s="62"/>
      <c r="M243" s="62"/>
      <c r="N243" s="62"/>
      <c r="O243" s="62"/>
      <c r="P243" s="53">
        <f t="shared" si="96"/>
        <v>60667</v>
      </c>
    </row>
    <row r="244" hidden="1">
      <c r="A244" s="63" t="s">
        <v>97</v>
      </c>
      <c r="B244" s="54">
        <f>(B232/3)+1000</f>
        <v>13412.33333</v>
      </c>
      <c r="C244" s="67"/>
      <c r="D244" s="69">
        <f>D232/3</f>
        <v>10023</v>
      </c>
      <c r="E244" s="52"/>
      <c r="F244" s="52">
        <f t="shared" si="97"/>
        <v>9667</v>
      </c>
      <c r="G244" s="69"/>
      <c r="H244" s="67">
        <f>H232/3+(200*4)</f>
        <v>10279</v>
      </c>
      <c r="I244" s="62">
        <f>I230/4+1800</f>
        <v>13800</v>
      </c>
      <c r="J244" s="62">
        <f>6000+(125*4)</f>
        <v>6500</v>
      </c>
      <c r="K244" s="62"/>
      <c r="L244" s="62"/>
      <c r="M244" s="62"/>
      <c r="N244" s="62"/>
      <c r="O244" s="62"/>
      <c r="P244" s="53">
        <f t="shared" si="96"/>
        <v>63681.33333</v>
      </c>
    </row>
    <row r="245" hidden="1">
      <c r="A245" s="63" t="s">
        <v>98</v>
      </c>
      <c r="B245" s="54">
        <v>13500.0</v>
      </c>
      <c r="C245" s="62">
        <v>8000.0</v>
      </c>
      <c r="D245" s="62">
        <f>D232/3</f>
        <v>10023</v>
      </c>
      <c r="E245" s="62"/>
      <c r="F245" s="62">
        <f t="shared" si="97"/>
        <v>9667</v>
      </c>
      <c r="G245" s="62"/>
      <c r="H245" s="62">
        <f>10000+1500+2500+1000</f>
        <v>15000</v>
      </c>
      <c r="I245" s="52">
        <f>I230/4</f>
        <v>12000</v>
      </c>
      <c r="J245" s="62">
        <v>7000.0</v>
      </c>
      <c r="K245" s="62"/>
      <c r="L245" s="62"/>
      <c r="M245" s="62"/>
      <c r="N245" s="62"/>
      <c r="O245" s="62"/>
      <c r="P245" s="53">
        <f t="shared" si="96"/>
        <v>75190</v>
      </c>
    </row>
    <row r="246" hidden="1">
      <c r="A246" s="63" t="s">
        <v>100</v>
      </c>
      <c r="B246" s="54">
        <v>13500.0</v>
      </c>
      <c r="C246" s="62">
        <v>8000.0</v>
      </c>
      <c r="D246" s="62">
        <v>10000.0</v>
      </c>
      <c r="E246" s="62"/>
      <c r="F246" s="62">
        <f>8000+2000</f>
        <v>10000</v>
      </c>
      <c r="G246" s="62"/>
      <c r="H246" s="62">
        <v>15000.0</v>
      </c>
      <c r="I246" s="62">
        <v>12000.0</v>
      </c>
      <c r="J246" s="62">
        <f>7000+1000</f>
        <v>8000</v>
      </c>
      <c r="K246" s="62"/>
      <c r="L246" s="62"/>
      <c r="M246" s="62"/>
      <c r="N246" s="62"/>
      <c r="O246" s="62"/>
      <c r="P246" s="53">
        <f t="shared" si="96"/>
        <v>76500</v>
      </c>
    </row>
    <row r="247" hidden="1">
      <c r="A247" s="63" t="s">
        <v>101</v>
      </c>
      <c r="B247" s="54">
        <v>16500.0</v>
      </c>
      <c r="C247" s="62">
        <f t="shared" ref="C247:C248" si="98">9500+1500</f>
        <v>11000</v>
      </c>
      <c r="D247" s="62">
        <f t="shared" ref="D247:D248" si="99">10000+1700</f>
        <v>11700</v>
      </c>
      <c r="E247" s="62"/>
      <c r="F247" s="62">
        <f t="shared" ref="F247:F248" si="100">8000+1300</f>
        <v>9300</v>
      </c>
      <c r="G247" s="62">
        <f>7000+1100+600</f>
        <v>8700</v>
      </c>
      <c r="H247" s="62">
        <v>15000.0</v>
      </c>
      <c r="I247" s="62">
        <v>16800.0</v>
      </c>
      <c r="J247" s="62">
        <f t="shared" ref="J247:J248" si="101">7000+1200</f>
        <v>8200</v>
      </c>
      <c r="K247" s="62"/>
      <c r="L247" s="62"/>
      <c r="M247" s="62"/>
      <c r="N247" s="62"/>
      <c r="O247" s="62"/>
      <c r="P247" s="53">
        <f t="shared" si="96"/>
        <v>97200</v>
      </c>
    </row>
    <row r="248" hidden="1">
      <c r="B248" s="54">
        <v>16500.0</v>
      </c>
      <c r="C248" s="62">
        <f t="shared" si="98"/>
        <v>11000</v>
      </c>
      <c r="D248" s="62">
        <f t="shared" si="99"/>
        <v>11700</v>
      </c>
      <c r="E248" s="62"/>
      <c r="F248" s="62">
        <f t="shared" si="100"/>
        <v>9300</v>
      </c>
      <c r="G248" s="62">
        <f>7000+1100</f>
        <v>8100</v>
      </c>
      <c r="H248" s="62">
        <v>15000.0</v>
      </c>
      <c r="I248" s="62">
        <v>16800.0</v>
      </c>
      <c r="J248" s="62">
        <f t="shared" si="101"/>
        <v>8200</v>
      </c>
      <c r="K248" s="62"/>
      <c r="L248" s="62"/>
      <c r="M248" s="62"/>
      <c r="N248" s="62"/>
      <c r="O248" s="62"/>
    </row>
    <row r="249" hidden="1"/>
    <row r="250" hidden="1">
      <c r="D250" t="str">
        <f>SUM(D244+F244+G244+#REF!+H244)</f>
        <v>#REF!</v>
      </c>
    </row>
    <row r="251" hidden="1">
      <c r="A251" s="6" t="s">
        <v>102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8"/>
    </row>
    <row r="252" hidden="1">
      <c r="A252" s="55" t="s">
        <v>103</v>
      </c>
      <c r="B252" s="10">
        <v>13500.0</v>
      </c>
      <c r="C252" s="10">
        <v>9500.0</v>
      </c>
      <c r="D252" s="10">
        <f>D257/4</f>
        <v>10000</v>
      </c>
      <c r="E252" s="10"/>
      <c r="F252" s="10">
        <v>8000.0</v>
      </c>
      <c r="G252" s="10">
        <v>7000.0</v>
      </c>
      <c r="H252" s="10">
        <v>15000.0</v>
      </c>
      <c r="I252" s="10">
        <v>14000.0</v>
      </c>
      <c r="J252" s="10">
        <v>7000.0</v>
      </c>
      <c r="K252" s="10"/>
      <c r="L252" s="10"/>
      <c r="M252" s="10"/>
      <c r="N252" s="10"/>
      <c r="O252" s="10"/>
      <c r="P252" s="13">
        <f t="shared" ref="P252:P255" si="102">SUM(B252:J252)</f>
        <v>84000</v>
      </c>
    </row>
    <row r="253" hidden="1">
      <c r="A253" s="15" t="s">
        <v>104</v>
      </c>
      <c r="B253" s="10">
        <v>13500.0</v>
      </c>
      <c r="C253" s="10">
        <v>9500.0</v>
      </c>
      <c r="D253" s="10">
        <f>D257/4</f>
        <v>10000</v>
      </c>
      <c r="E253" s="10"/>
      <c r="F253" s="10">
        <v>8000.0</v>
      </c>
      <c r="G253" s="10">
        <v>7000.0</v>
      </c>
      <c r="H253" s="10">
        <v>15000.0</v>
      </c>
      <c r="I253" s="10">
        <v>14000.0</v>
      </c>
      <c r="J253" s="10">
        <v>7000.0</v>
      </c>
      <c r="K253" s="10"/>
      <c r="L253" s="10"/>
      <c r="M253" s="10"/>
      <c r="N253" s="10"/>
      <c r="O253" s="10"/>
      <c r="P253" s="13">
        <f t="shared" si="102"/>
        <v>84000</v>
      </c>
    </row>
    <row r="254" hidden="1">
      <c r="A254" s="15" t="s">
        <v>105</v>
      </c>
      <c r="B254" s="10">
        <v>13500.0</v>
      </c>
      <c r="C254" s="10">
        <v>9500.0</v>
      </c>
      <c r="D254" s="10">
        <f>D257/4</f>
        <v>10000</v>
      </c>
      <c r="E254" s="10"/>
      <c r="F254" s="10">
        <v>8000.0</v>
      </c>
      <c r="G254" s="10">
        <v>7000.0</v>
      </c>
      <c r="H254" s="10">
        <v>15000.0</v>
      </c>
      <c r="I254" s="10">
        <v>14000.0</v>
      </c>
      <c r="J254" s="10">
        <v>7000.0</v>
      </c>
      <c r="K254" s="10"/>
      <c r="L254" s="10"/>
      <c r="M254" s="10"/>
      <c r="N254" s="10"/>
      <c r="O254" s="10"/>
      <c r="P254" s="13">
        <f t="shared" si="102"/>
        <v>84000</v>
      </c>
    </row>
    <row r="255" hidden="1">
      <c r="A255" s="15" t="s">
        <v>106</v>
      </c>
      <c r="B255" s="16">
        <v>13500.0</v>
      </c>
      <c r="C255" s="16">
        <v>9500.0</v>
      </c>
      <c r="D255" s="16">
        <f>D257/4</f>
        <v>10000</v>
      </c>
      <c r="E255" s="16"/>
      <c r="F255" s="16">
        <v>8000.0</v>
      </c>
      <c r="G255" s="16">
        <v>7000.0</v>
      </c>
      <c r="H255" s="16">
        <v>15000.0</v>
      </c>
      <c r="I255" s="16">
        <v>14000.0</v>
      </c>
      <c r="J255" s="16">
        <v>7000.0</v>
      </c>
      <c r="K255" s="16"/>
      <c r="L255" s="16"/>
      <c r="M255" s="16"/>
      <c r="N255" s="16"/>
      <c r="O255" s="16"/>
      <c r="P255" s="19">
        <f t="shared" si="102"/>
        <v>84000</v>
      </c>
    </row>
    <row r="256" hidden="1">
      <c r="A256" s="15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9">
        <f>SUM(B256:I256)</f>
        <v>0</v>
      </c>
    </row>
    <row r="257" hidden="1">
      <c r="A257" s="20" t="s">
        <v>15</v>
      </c>
      <c r="B257" s="21">
        <f t="shared" ref="B257:C257" si="103">SUM(B252:B256)</f>
        <v>54000</v>
      </c>
      <c r="C257" s="21">
        <f t="shared" si="103"/>
        <v>38000</v>
      </c>
      <c r="D257" s="21">
        <v>40000.0</v>
      </c>
      <c r="E257" s="21"/>
      <c r="F257" s="21">
        <f t="shared" ref="F257:J257" si="104">SUM(F252:F256)</f>
        <v>32000</v>
      </c>
      <c r="G257" s="21">
        <f t="shared" si="104"/>
        <v>28000</v>
      </c>
      <c r="H257" s="21">
        <f t="shared" si="104"/>
        <v>60000</v>
      </c>
      <c r="I257" s="21">
        <f t="shared" si="104"/>
        <v>56000</v>
      </c>
      <c r="J257" s="21">
        <f t="shared" si="104"/>
        <v>28000</v>
      </c>
      <c r="K257" s="21"/>
      <c r="L257" s="21"/>
      <c r="M257" s="21"/>
      <c r="N257" s="21"/>
      <c r="O257" s="21"/>
      <c r="P257" s="21">
        <f>SUM(P252:P255)</f>
        <v>336000</v>
      </c>
    </row>
    <row r="258" hidden="1">
      <c r="A258" s="27" t="s">
        <v>40</v>
      </c>
      <c r="B258" s="28"/>
      <c r="C258" s="28"/>
      <c r="D258" s="28"/>
      <c r="E258" s="28"/>
      <c r="F258" s="28"/>
      <c r="G258" s="28"/>
      <c r="H258" s="28"/>
      <c r="I258" s="28"/>
      <c r="J258" s="28"/>
      <c r="K258" s="29"/>
      <c r="L258" s="29"/>
      <c r="M258" s="29"/>
      <c r="N258" s="29"/>
      <c r="O258" s="29"/>
      <c r="P258" s="30">
        <f t="shared" ref="P258:P259" si="105">SUM(B258:J258)</f>
        <v>0</v>
      </c>
    </row>
    <row r="259" hidden="1">
      <c r="A259" s="23" t="s">
        <v>107</v>
      </c>
      <c r="B259" s="24"/>
      <c r="C259" s="24"/>
      <c r="D259" s="24"/>
      <c r="E259" s="24"/>
      <c r="F259" s="24"/>
      <c r="G259" s="24"/>
      <c r="H259" s="24"/>
      <c r="I259" s="24"/>
      <c r="J259" s="24"/>
      <c r="K259" s="25"/>
      <c r="L259" s="25"/>
      <c r="M259" s="25"/>
      <c r="N259" s="25"/>
      <c r="O259" s="25"/>
      <c r="P259" s="26">
        <f t="shared" si="105"/>
        <v>0</v>
      </c>
    </row>
    <row r="260" hidden="1">
      <c r="A260" s="39" t="s">
        <v>22</v>
      </c>
      <c r="B260" s="40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</row>
    <row r="261" hidden="1">
      <c r="A261" s="59" t="s">
        <v>103</v>
      </c>
      <c r="B261" s="43"/>
      <c r="C261" s="44"/>
      <c r="D261" s="44"/>
      <c r="E261" s="45"/>
      <c r="F261" s="45"/>
      <c r="G261" s="45"/>
      <c r="H261" s="45"/>
      <c r="I261" s="44"/>
      <c r="J261" s="44"/>
      <c r="K261" s="44"/>
      <c r="L261" s="44"/>
      <c r="M261" s="44"/>
      <c r="N261" s="44"/>
      <c r="O261" s="44"/>
      <c r="P261" s="44"/>
    </row>
    <row r="262" hidden="1">
      <c r="A262" s="60" t="s">
        <v>104</v>
      </c>
      <c r="B262" s="46"/>
      <c r="C262" s="45"/>
      <c r="D262" s="45">
        <v>500.0</v>
      </c>
      <c r="E262" s="45"/>
      <c r="F262" s="45"/>
      <c r="G262" s="45"/>
      <c r="H262" s="44"/>
      <c r="I262" s="44"/>
      <c r="J262" s="44"/>
      <c r="K262" s="44"/>
      <c r="L262" s="44"/>
      <c r="M262" s="44"/>
      <c r="N262" s="44"/>
      <c r="O262" s="44"/>
      <c r="P262" s="44"/>
    </row>
    <row r="263" hidden="1">
      <c r="A263" s="60" t="s">
        <v>105</v>
      </c>
      <c r="B263" s="43"/>
      <c r="C263" s="45"/>
      <c r="D263" s="45"/>
      <c r="E263" s="45"/>
      <c r="F263" s="45">
        <v>160.0</v>
      </c>
      <c r="G263" s="44"/>
      <c r="H263" s="44"/>
      <c r="I263" s="44"/>
      <c r="J263" s="44"/>
      <c r="K263" s="44"/>
      <c r="L263" s="44"/>
      <c r="M263" s="44"/>
      <c r="N263" s="44"/>
      <c r="O263" s="44"/>
      <c r="P263" s="44"/>
    </row>
    <row r="264" hidden="1">
      <c r="A264" s="60" t="s">
        <v>106</v>
      </c>
      <c r="B264" s="46"/>
      <c r="C264" s="45"/>
      <c r="D264" s="44"/>
      <c r="E264" s="45"/>
      <c r="F264" s="45">
        <v>350.0</v>
      </c>
      <c r="G264" s="44"/>
      <c r="H264" s="45"/>
      <c r="I264" s="44"/>
      <c r="J264" s="44"/>
      <c r="K264" s="44"/>
      <c r="L264" s="44"/>
      <c r="M264" s="44"/>
      <c r="N264" s="44"/>
      <c r="O264" s="44"/>
      <c r="P264" s="44"/>
    </row>
    <row r="265" hidden="1">
      <c r="A265" s="1" t="s">
        <v>0</v>
      </c>
      <c r="B265" s="2" t="s">
        <v>1</v>
      </c>
      <c r="C265" s="3" t="s">
        <v>90</v>
      </c>
      <c r="D265" s="3" t="s">
        <v>3</v>
      </c>
      <c r="E265" s="3"/>
      <c r="F265" s="3" t="s">
        <v>58</v>
      </c>
      <c r="G265" s="3" t="s">
        <v>91</v>
      </c>
      <c r="H265" s="3" t="s">
        <v>6</v>
      </c>
      <c r="I265" s="4" t="s">
        <v>92</v>
      </c>
      <c r="J265" s="4" t="s">
        <v>93</v>
      </c>
      <c r="K265" s="4"/>
      <c r="L265" s="4"/>
      <c r="M265" s="4"/>
      <c r="N265" s="4"/>
      <c r="O265" s="4"/>
      <c r="P265" s="1" t="s">
        <v>0</v>
      </c>
    </row>
    <row r="266" hidden="1">
      <c r="A266" s="47" t="s">
        <v>23</v>
      </c>
      <c r="B266" s="48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7" t="s">
        <v>24</v>
      </c>
    </row>
    <row r="267" hidden="1">
      <c r="A267" s="61" t="s">
        <v>103</v>
      </c>
      <c r="B267" s="54">
        <f t="shared" ref="B267:D267" si="106">B252-B261</f>
        <v>13500</v>
      </c>
      <c r="C267" s="52">
        <f t="shared" si="106"/>
        <v>9500</v>
      </c>
      <c r="D267" s="62">
        <f t="shared" si="106"/>
        <v>10000</v>
      </c>
      <c r="E267" s="52"/>
      <c r="F267" s="52">
        <f t="shared" ref="F267:J267" si="107">F252-F261</f>
        <v>8000</v>
      </c>
      <c r="G267" s="62">
        <f t="shared" si="107"/>
        <v>7000</v>
      </c>
      <c r="H267" s="62">
        <f t="shared" si="107"/>
        <v>15000</v>
      </c>
      <c r="I267" s="52">
        <f t="shared" si="107"/>
        <v>14000</v>
      </c>
      <c r="J267" s="62">
        <f t="shared" si="107"/>
        <v>7000</v>
      </c>
      <c r="K267" s="62"/>
      <c r="L267" s="62"/>
      <c r="M267" s="62"/>
      <c r="N267" s="62"/>
      <c r="O267" s="62"/>
      <c r="P267" s="52"/>
    </row>
    <row r="268" hidden="1">
      <c r="A268" s="63" t="s">
        <v>104</v>
      </c>
      <c r="B268" s="54">
        <f t="shared" ref="B268:D268" si="108">B253-B262</f>
        <v>13500</v>
      </c>
      <c r="C268" s="52">
        <f t="shared" si="108"/>
        <v>9500</v>
      </c>
      <c r="D268" s="62">
        <f t="shared" si="108"/>
        <v>9500</v>
      </c>
      <c r="E268" s="52"/>
      <c r="F268" s="52">
        <f t="shared" ref="F268:J268" si="109">F253-F262</f>
        <v>8000</v>
      </c>
      <c r="G268" s="62">
        <f t="shared" si="109"/>
        <v>7000</v>
      </c>
      <c r="H268" s="62">
        <f t="shared" si="109"/>
        <v>15000</v>
      </c>
      <c r="I268" s="62">
        <f t="shared" si="109"/>
        <v>14000</v>
      </c>
      <c r="J268" s="62">
        <f t="shared" si="109"/>
        <v>7000</v>
      </c>
      <c r="K268" s="62"/>
      <c r="L268" s="62"/>
      <c r="M268" s="62"/>
      <c r="N268" s="62"/>
      <c r="O268" s="62"/>
      <c r="P268" s="52"/>
    </row>
    <row r="269" hidden="1">
      <c r="A269" s="63" t="s">
        <v>105</v>
      </c>
      <c r="B269" s="54">
        <f t="shared" ref="B269:D269" si="110">B254-B263</f>
        <v>13500</v>
      </c>
      <c r="C269" s="67">
        <f t="shared" si="110"/>
        <v>9500</v>
      </c>
      <c r="D269" s="69">
        <f t="shared" si="110"/>
        <v>10000</v>
      </c>
      <c r="E269" s="52"/>
      <c r="F269" s="52">
        <f t="shared" ref="F269:J269" si="111">F254-F263</f>
        <v>7840</v>
      </c>
      <c r="G269" s="69">
        <f t="shared" si="111"/>
        <v>7000</v>
      </c>
      <c r="H269" s="67">
        <f t="shared" si="111"/>
        <v>15000</v>
      </c>
      <c r="I269" s="62">
        <f t="shared" si="111"/>
        <v>14000</v>
      </c>
      <c r="J269" s="62">
        <f t="shared" si="111"/>
        <v>7000</v>
      </c>
      <c r="K269" s="62"/>
      <c r="L269" s="62"/>
      <c r="M269" s="62"/>
      <c r="N269" s="62"/>
      <c r="O269" s="62"/>
      <c r="P269" s="52"/>
    </row>
    <row r="270" hidden="1">
      <c r="A270" s="63" t="s">
        <v>106</v>
      </c>
      <c r="B270" s="54">
        <f t="shared" ref="B270:C270" si="112">B255-B264</f>
        <v>13500</v>
      </c>
      <c r="C270" s="62">
        <f t="shared" si="112"/>
        <v>9500</v>
      </c>
      <c r="D270" s="62">
        <f>D254-D264</f>
        <v>10000</v>
      </c>
      <c r="E270" s="62"/>
      <c r="F270" s="62">
        <f t="shared" ref="F270:J270" si="113">F255-F264</f>
        <v>7650</v>
      </c>
      <c r="G270" s="62">
        <f t="shared" si="113"/>
        <v>7000</v>
      </c>
      <c r="H270" s="62">
        <f t="shared" si="113"/>
        <v>15000</v>
      </c>
      <c r="I270" s="52">
        <f t="shared" si="113"/>
        <v>14000</v>
      </c>
      <c r="J270" s="62">
        <f t="shared" si="113"/>
        <v>7000</v>
      </c>
      <c r="K270" s="62"/>
      <c r="L270" s="62"/>
      <c r="M270" s="62"/>
      <c r="N270" s="62"/>
      <c r="O270" s="62"/>
      <c r="P270" s="52"/>
    </row>
    <row r="271" hidden="1">
      <c r="A271" s="63" t="s">
        <v>108</v>
      </c>
      <c r="B271" s="54">
        <v>13500.0</v>
      </c>
      <c r="C271" s="62">
        <v>9500.0</v>
      </c>
      <c r="D271" s="62">
        <v>10000.0</v>
      </c>
      <c r="E271" s="62"/>
      <c r="F271" s="62">
        <v>8000.0</v>
      </c>
      <c r="G271" s="62">
        <v>7000.0</v>
      </c>
      <c r="H271" s="62">
        <v>15000.0</v>
      </c>
      <c r="I271" s="62">
        <v>14000.0</v>
      </c>
      <c r="J271" s="62">
        <v>7000.0</v>
      </c>
      <c r="K271" s="62"/>
      <c r="L271" s="62"/>
      <c r="M271" s="62"/>
      <c r="N271" s="62"/>
      <c r="O271" s="62"/>
      <c r="P271" s="52"/>
    </row>
    <row r="272" hidden="1">
      <c r="A272" s="63"/>
      <c r="B272" s="54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52"/>
    </row>
    <row r="273" hidden="1"/>
    <row r="276">
      <c r="A276" s="126" t="s">
        <v>0</v>
      </c>
      <c r="B276" s="127" t="s">
        <v>90</v>
      </c>
      <c r="C276" s="127" t="s">
        <v>3</v>
      </c>
      <c r="D276" s="183" t="s">
        <v>312</v>
      </c>
      <c r="E276" s="183" t="s">
        <v>301</v>
      </c>
      <c r="F276" s="183" t="s">
        <v>155</v>
      </c>
      <c r="G276" s="183" t="s">
        <v>195</v>
      </c>
      <c r="H276" s="129" t="s">
        <v>260</v>
      </c>
      <c r="I276" s="129" t="s">
        <v>327</v>
      </c>
      <c r="J276" s="129" t="s">
        <v>232</v>
      </c>
      <c r="K276" s="129" t="s">
        <v>252</v>
      </c>
      <c r="L276" s="129"/>
      <c r="M276" s="128" t="s">
        <v>110</v>
      </c>
    </row>
    <row r="277">
      <c r="A277" s="130" t="s">
        <v>12</v>
      </c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2"/>
    </row>
    <row r="278">
      <c r="A278" s="133" t="s">
        <v>111</v>
      </c>
      <c r="B278" s="134">
        <v>55000.0</v>
      </c>
      <c r="C278" s="134">
        <v>67000.0</v>
      </c>
      <c r="D278" s="134">
        <v>50000.0</v>
      </c>
      <c r="E278" s="134">
        <v>30000.0</v>
      </c>
      <c r="F278" s="134">
        <v>40000.0</v>
      </c>
      <c r="G278" s="134">
        <v>67500.0</v>
      </c>
      <c r="H278" s="134">
        <v>45000.0</v>
      </c>
      <c r="I278" s="134">
        <v>62500.0</v>
      </c>
      <c r="J278" s="134">
        <v>30000.0</v>
      </c>
      <c r="K278" s="134">
        <v>45000.0</v>
      </c>
      <c r="L278" s="134"/>
      <c r="M278" s="136">
        <f t="shared" ref="M278:M281" si="114">SUM(B278:J278)</f>
        <v>447000</v>
      </c>
    </row>
    <row r="279">
      <c r="A279" s="137"/>
      <c r="B279" s="134">
        <v>55000.0</v>
      </c>
      <c r="C279" s="134">
        <v>67000.0</v>
      </c>
      <c r="D279" s="134">
        <v>50000.0</v>
      </c>
      <c r="E279" s="134">
        <v>30000.0</v>
      </c>
      <c r="F279" s="134">
        <v>40000.0</v>
      </c>
      <c r="G279" s="134">
        <v>67500.0</v>
      </c>
      <c r="H279" s="134">
        <v>45000.0</v>
      </c>
      <c r="I279" s="134">
        <v>62500.0</v>
      </c>
      <c r="J279" s="134">
        <v>30000.0</v>
      </c>
      <c r="K279" s="134">
        <v>45000.0</v>
      </c>
      <c r="L279" s="134"/>
      <c r="M279" s="136">
        <f t="shared" si="114"/>
        <v>447000</v>
      </c>
      <c r="P279" s="91"/>
    </row>
    <row r="280">
      <c r="A280" s="137"/>
      <c r="B280" s="134">
        <v>55000.0</v>
      </c>
      <c r="C280" s="134">
        <v>67000.0</v>
      </c>
      <c r="D280" s="134">
        <v>50000.0</v>
      </c>
      <c r="E280" s="134">
        <v>30000.0</v>
      </c>
      <c r="F280" s="134">
        <v>40000.0</v>
      </c>
      <c r="G280" s="134">
        <v>67500.0</v>
      </c>
      <c r="H280" s="134">
        <v>45000.0</v>
      </c>
      <c r="I280" s="134">
        <v>62500.0</v>
      </c>
      <c r="J280" s="134">
        <v>30000.0</v>
      </c>
      <c r="K280" s="134">
        <v>45000.0</v>
      </c>
      <c r="L280" s="134"/>
      <c r="M280" s="136">
        <f t="shared" si="114"/>
        <v>447000</v>
      </c>
    </row>
    <row r="281">
      <c r="A281" s="138"/>
      <c r="B281" s="134">
        <v>55000.0</v>
      </c>
      <c r="C281" s="134">
        <v>67000.0</v>
      </c>
      <c r="D281" s="134">
        <v>50000.0</v>
      </c>
      <c r="E281" s="134">
        <v>30000.0</v>
      </c>
      <c r="F281" s="134">
        <v>40000.0</v>
      </c>
      <c r="G281" s="134">
        <v>67500.0</v>
      </c>
      <c r="H281" s="134">
        <v>45000.0</v>
      </c>
      <c r="I281" s="134">
        <v>62500.0</v>
      </c>
      <c r="J281" s="134">
        <v>30000.0</v>
      </c>
      <c r="K281" s="134">
        <v>45000.0</v>
      </c>
      <c r="L281" s="134"/>
      <c r="M281" s="139">
        <f t="shared" si="114"/>
        <v>447000</v>
      </c>
    </row>
    <row r="282">
      <c r="A282" s="140" t="s">
        <v>113</v>
      </c>
      <c r="B282" s="141">
        <f t="shared" ref="B282:K282" si="115">SUM(B278:B281)</f>
        <v>220000</v>
      </c>
      <c r="C282" s="141">
        <f t="shared" si="115"/>
        <v>268000</v>
      </c>
      <c r="D282" s="141">
        <f t="shared" si="115"/>
        <v>200000</v>
      </c>
      <c r="E282" s="141">
        <f t="shared" si="115"/>
        <v>120000</v>
      </c>
      <c r="F282" s="141">
        <f t="shared" si="115"/>
        <v>160000</v>
      </c>
      <c r="G282" s="141">
        <f t="shared" si="115"/>
        <v>270000</v>
      </c>
      <c r="H282" s="141">
        <f t="shared" si="115"/>
        <v>180000</v>
      </c>
      <c r="I282" s="141">
        <f t="shared" si="115"/>
        <v>250000</v>
      </c>
      <c r="J282" s="141">
        <f t="shared" si="115"/>
        <v>120000</v>
      </c>
      <c r="K282" s="141">
        <f t="shared" si="115"/>
        <v>180000</v>
      </c>
      <c r="L282" s="141"/>
      <c r="M282" s="141">
        <f>SUM(M278:M281)</f>
        <v>1788000</v>
      </c>
    </row>
    <row r="283">
      <c r="A283" s="157" t="s">
        <v>138</v>
      </c>
      <c r="B283" s="158">
        <f>B279/6/8</f>
        <v>1145.833333</v>
      </c>
      <c r="C283" s="158">
        <f>C278/8/6</f>
        <v>1395.833333</v>
      </c>
      <c r="D283" s="158">
        <f>D278/6/8</f>
        <v>1041.666667</v>
      </c>
      <c r="E283" s="158"/>
      <c r="F283" s="158">
        <f t="shared" ref="F283:H283" si="116">F278/6/8</f>
        <v>833.3333333</v>
      </c>
      <c r="G283" s="158">
        <f t="shared" si="116"/>
        <v>1406.25</v>
      </c>
      <c r="H283" s="158">
        <f t="shared" si="116"/>
        <v>937.5</v>
      </c>
      <c r="I283" s="158">
        <f>I279/6/8</f>
        <v>1302.083333</v>
      </c>
      <c r="J283" s="158">
        <f>J278/8/6</f>
        <v>625</v>
      </c>
      <c r="K283" s="159">
        <f>K278/6/8</f>
        <v>937.5</v>
      </c>
      <c r="L283" s="159">
        <f t="shared" ref="L283:M283" si="117">L281/6/8</f>
        <v>0</v>
      </c>
      <c r="M283" s="159">
        <f t="shared" si="117"/>
        <v>9312.5</v>
      </c>
      <c r="N283" s="122"/>
    </row>
    <row r="285">
      <c r="A285" s="195" t="s">
        <v>328</v>
      </c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7"/>
    </row>
    <row r="286">
      <c r="A286" s="200" t="s">
        <v>288</v>
      </c>
      <c r="B286" s="222"/>
      <c r="C286" s="221"/>
      <c r="D286" s="199"/>
      <c r="E286" s="199"/>
      <c r="F286" s="199"/>
      <c r="G286" s="221"/>
      <c r="H286" s="199"/>
      <c r="I286" s="221"/>
      <c r="J286" s="199"/>
      <c r="K286" s="221"/>
      <c r="L286" s="202"/>
    </row>
    <row r="287">
      <c r="A287" s="198" t="s">
        <v>40</v>
      </c>
      <c r="B287" s="221"/>
      <c r="C287" s="221"/>
      <c r="D287" s="221"/>
      <c r="E287" s="221"/>
      <c r="F287" s="221"/>
      <c r="G287" s="199"/>
      <c r="H287" s="221"/>
      <c r="I287" s="199"/>
      <c r="J287" s="199"/>
      <c r="K287" s="199"/>
      <c r="L287" s="251"/>
      <c r="M287" s="125"/>
    </row>
    <row r="288">
      <c r="A288" s="200" t="s">
        <v>255</v>
      </c>
      <c r="B288" s="211"/>
      <c r="C288" s="222"/>
      <c r="D288" s="211"/>
      <c r="E288" s="222"/>
      <c r="F288" s="222">
        <v>40000.0</v>
      </c>
      <c r="G288" s="221"/>
      <c r="H288" s="221">
        <v>45000.0</v>
      </c>
      <c r="I288" s="221"/>
      <c r="J288" s="221">
        <v>30000.0</v>
      </c>
      <c r="K288" s="211">
        <v>35000.0</v>
      </c>
      <c r="L288" s="252"/>
      <c r="M288" s="253"/>
    </row>
    <row r="289">
      <c r="A289" s="200" t="s">
        <v>295</v>
      </c>
      <c r="B289" s="255"/>
      <c r="C289" s="255"/>
      <c r="D289" s="255"/>
      <c r="E289" s="256"/>
      <c r="F289" s="256"/>
      <c r="G289" s="255"/>
      <c r="H289" s="255"/>
      <c r="I289" s="255"/>
      <c r="J289" s="255"/>
      <c r="K289" s="255"/>
      <c r="L289" s="257"/>
      <c r="M289" s="125"/>
    </row>
    <row r="290">
      <c r="A290" s="200" t="s">
        <v>250</v>
      </c>
      <c r="B290" s="255"/>
      <c r="C290" s="255"/>
      <c r="D290" s="255"/>
      <c r="E290" s="255"/>
      <c r="F290" s="255"/>
      <c r="G290" s="255"/>
      <c r="H290" s="255"/>
      <c r="I290" s="255"/>
      <c r="J290" s="255"/>
      <c r="K290" s="255"/>
      <c r="L290" s="257"/>
      <c r="M290" s="125"/>
    </row>
    <row r="291">
      <c r="A291" s="205" t="s">
        <v>118</v>
      </c>
      <c r="B291" s="238">
        <f>55000+B288</f>
        <v>55000</v>
      </c>
      <c r="C291" s="258">
        <f>67000+C288</f>
        <v>67000</v>
      </c>
      <c r="D291" s="226">
        <v>50000.0</v>
      </c>
      <c r="E291" s="226">
        <v>30000.0</v>
      </c>
      <c r="F291" s="258">
        <f>40000+F288</f>
        <v>80000</v>
      </c>
      <c r="G291" s="226">
        <f>G278+G288</f>
        <v>67500</v>
      </c>
      <c r="H291" s="226">
        <f>45000+H288</f>
        <v>90000</v>
      </c>
      <c r="I291" s="226">
        <f>62500+I289</f>
        <v>62500</v>
      </c>
      <c r="J291" s="226">
        <f>J281+J288</f>
        <v>60000</v>
      </c>
      <c r="K291" s="238">
        <f>45000+K288</f>
        <v>80000</v>
      </c>
      <c r="L291" s="208">
        <f>SUM(B291:J291)</f>
        <v>562000</v>
      </c>
    </row>
    <row r="292">
      <c r="A292" s="126" t="s">
        <v>0</v>
      </c>
      <c r="B292" s="127" t="s">
        <v>90</v>
      </c>
      <c r="C292" s="127" t="s">
        <v>3</v>
      </c>
      <c r="D292" s="183" t="s">
        <v>310</v>
      </c>
      <c r="E292" s="183" t="s">
        <v>5</v>
      </c>
      <c r="F292" s="183" t="s">
        <v>155</v>
      </c>
      <c r="G292" s="183" t="s">
        <v>195</v>
      </c>
      <c r="H292" s="129" t="s">
        <v>260</v>
      </c>
      <c r="I292" s="129" t="s">
        <v>305</v>
      </c>
      <c r="J292" s="129" t="s">
        <v>232</v>
      </c>
      <c r="K292" s="129" t="s">
        <v>247</v>
      </c>
      <c r="L292" s="128" t="s">
        <v>110</v>
      </c>
    </row>
    <row r="293">
      <c r="B293" s="72" t="s">
        <v>324</v>
      </c>
      <c r="C293" s="72" t="s">
        <v>324</v>
      </c>
      <c r="G293" s="72" t="s">
        <v>324</v>
      </c>
      <c r="H293" s="72" t="s">
        <v>329</v>
      </c>
      <c r="I293" s="72" t="s">
        <v>324</v>
      </c>
    </row>
    <row r="295">
      <c r="A295" s="195" t="s">
        <v>330</v>
      </c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7"/>
    </row>
    <row r="296">
      <c r="A296" s="200" t="s">
        <v>288</v>
      </c>
      <c r="B296" s="222"/>
      <c r="C296" s="221"/>
      <c r="D296" s="199"/>
      <c r="E296" s="199"/>
      <c r="F296" s="199"/>
      <c r="G296" s="221"/>
      <c r="H296" s="199"/>
      <c r="I296" s="221"/>
      <c r="J296" s="199"/>
      <c r="K296" s="221"/>
      <c r="L296" s="202"/>
    </row>
    <row r="297">
      <c r="A297" s="198" t="s">
        <v>40</v>
      </c>
      <c r="B297" s="221"/>
      <c r="C297" s="221"/>
      <c r="D297" s="221"/>
      <c r="E297" s="221"/>
      <c r="F297" s="221"/>
      <c r="G297" s="199"/>
      <c r="H297" s="221"/>
      <c r="I297" s="199"/>
      <c r="J297" s="199"/>
      <c r="K297" s="199"/>
      <c r="L297" s="251"/>
      <c r="M297" s="125"/>
    </row>
    <row r="298">
      <c r="A298" s="200" t="s">
        <v>331</v>
      </c>
      <c r="B298" s="211"/>
      <c r="C298" s="222"/>
      <c r="D298" s="211"/>
      <c r="E298" s="222"/>
      <c r="F298" s="222">
        <f>F281*2</f>
        <v>80000</v>
      </c>
      <c r="G298" s="221"/>
      <c r="H298" s="221"/>
      <c r="I298" s="221"/>
      <c r="J298" s="221"/>
      <c r="K298" s="211"/>
      <c r="L298" s="252"/>
      <c r="M298" s="253"/>
    </row>
    <row r="299">
      <c r="A299" s="200" t="s">
        <v>295</v>
      </c>
      <c r="B299" s="255"/>
      <c r="C299" s="255"/>
      <c r="D299" s="255"/>
      <c r="E299" s="256"/>
      <c r="F299" s="256"/>
      <c r="G299" s="255"/>
      <c r="H299" s="255"/>
      <c r="I299" s="255"/>
      <c r="J299" s="255"/>
      <c r="K299" s="255"/>
      <c r="L299" s="257"/>
      <c r="M299" s="125"/>
    </row>
    <row r="300">
      <c r="A300" s="200" t="s">
        <v>250</v>
      </c>
      <c r="B300" s="255"/>
      <c r="C300" s="255"/>
      <c r="D300" s="255"/>
      <c r="E300" s="255"/>
      <c r="F300" s="255"/>
      <c r="G300" s="255"/>
      <c r="H300" s="255"/>
      <c r="I300" s="255"/>
      <c r="J300" s="255"/>
      <c r="K300" s="255"/>
      <c r="L300" s="257"/>
      <c r="M300" s="125"/>
    </row>
    <row r="301">
      <c r="A301" s="205" t="s">
        <v>118</v>
      </c>
      <c r="B301" s="238">
        <f>55000+B298</f>
        <v>55000</v>
      </c>
      <c r="C301" s="258">
        <f>67000+C298</f>
        <v>67000</v>
      </c>
      <c r="D301" s="226">
        <v>50000.0</v>
      </c>
      <c r="E301" s="226">
        <v>30000.0</v>
      </c>
      <c r="F301" s="258">
        <f>40000+F298</f>
        <v>120000</v>
      </c>
      <c r="G301" s="226">
        <f>G278</f>
        <v>67500</v>
      </c>
      <c r="H301" s="226">
        <f>45000+H298</f>
        <v>45000</v>
      </c>
      <c r="I301" s="226">
        <f>62500+I299</f>
        <v>62500</v>
      </c>
      <c r="J301" s="226">
        <v>30000.0</v>
      </c>
      <c r="K301" s="238">
        <f>45000+K298</f>
        <v>45000</v>
      </c>
      <c r="L301" s="208">
        <f>SUM(B301:J301)</f>
        <v>527000</v>
      </c>
    </row>
    <row r="302">
      <c r="A302" s="126" t="s">
        <v>0</v>
      </c>
      <c r="B302" s="127" t="s">
        <v>90</v>
      </c>
      <c r="C302" s="127" t="s">
        <v>3</v>
      </c>
      <c r="D302" s="183" t="s">
        <v>310</v>
      </c>
      <c r="E302" s="183" t="s">
        <v>5</v>
      </c>
      <c r="F302" s="183" t="s">
        <v>155</v>
      </c>
      <c r="G302" s="183" t="s">
        <v>195</v>
      </c>
      <c r="H302" s="129" t="s">
        <v>260</v>
      </c>
      <c r="I302" s="129" t="s">
        <v>305</v>
      </c>
      <c r="J302" s="129" t="s">
        <v>232</v>
      </c>
      <c r="K302" s="129" t="s">
        <v>247</v>
      </c>
      <c r="L302" s="128" t="s">
        <v>110</v>
      </c>
    </row>
    <row r="305">
      <c r="A305" s="195" t="s">
        <v>332</v>
      </c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7"/>
    </row>
    <row r="306">
      <c r="A306" s="200" t="s">
        <v>288</v>
      </c>
      <c r="B306" s="222"/>
      <c r="C306" s="221">
        <v>8000.0</v>
      </c>
      <c r="D306" s="221">
        <v>5000.0</v>
      </c>
      <c r="E306" s="199"/>
      <c r="F306" s="199"/>
      <c r="G306" s="221"/>
      <c r="H306" s="199"/>
      <c r="I306" s="221"/>
      <c r="J306" s="199"/>
      <c r="K306" s="221"/>
      <c r="L306" s="202"/>
    </row>
    <row r="307">
      <c r="A307" s="198" t="s">
        <v>40</v>
      </c>
      <c r="B307" s="221"/>
      <c r="C307" s="221"/>
      <c r="D307" s="221"/>
      <c r="E307" s="221"/>
      <c r="F307" s="221"/>
      <c r="G307" s="199"/>
      <c r="H307" s="221"/>
      <c r="I307" s="199"/>
      <c r="J307" s="199"/>
      <c r="K307" s="199"/>
      <c r="L307" s="251"/>
      <c r="M307" s="125"/>
    </row>
    <row r="308">
      <c r="A308" s="200" t="s">
        <v>331</v>
      </c>
      <c r="B308" s="211"/>
      <c r="C308" s="222"/>
      <c r="D308" s="211"/>
      <c r="E308" s="222"/>
      <c r="F308" s="222"/>
      <c r="G308" s="221"/>
      <c r="H308" s="221">
        <f>H279</f>
        <v>45000</v>
      </c>
      <c r="I308" s="221"/>
      <c r="J308" s="221"/>
      <c r="K308" s="211">
        <v>45000.0</v>
      </c>
      <c r="L308" s="252"/>
      <c r="M308" s="253"/>
    </row>
    <row r="309">
      <c r="A309" s="200" t="s">
        <v>295</v>
      </c>
      <c r="B309" s="255"/>
      <c r="C309" s="255"/>
      <c r="D309" s="255"/>
      <c r="E309" s="256"/>
      <c r="F309" s="256"/>
      <c r="G309" s="255"/>
      <c r="H309" s="255"/>
      <c r="I309" s="255"/>
      <c r="J309" s="255"/>
      <c r="K309" s="255"/>
      <c r="L309" s="257"/>
      <c r="M309" s="125"/>
    </row>
    <row r="310">
      <c r="A310" s="200" t="s">
        <v>250</v>
      </c>
      <c r="B310" s="255"/>
      <c r="C310" s="255"/>
      <c r="D310" s="255"/>
      <c r="E310" s="255"/>
      <c r="F310" s="255"/>
      <c r="G310" s="255"/>
      <c r="H310" s="255"/>
      <c r="I310" s="255"/>
      <c r="J310" s="255"/>
      <c r="K310" s="255"/>
      <c r="L310" s="257"/>
      <c r="M310" s="125"/>
    </row>
    <row r="311">
      <c r="A311" s="205" t="s">
        <v>118</v>
      </c>
      <c r="B311" s="238">
        <f>55000+B308</f>
        <v>55000</v>
      </c>
      <c r="C311" s="258">
        <f>67000+C308-C306</f>
        <v>59000</v>
      </c>
      <c r="D311" s="226">
        <f>50000-D306</f>
        <v>45000</v>
      </c>
      <c r="E311" s="226">
        <v>30000.0</v>
      </c>
      <c r="F311" s="226"/>
      <c r="G311" s="226">
        <f>G281</f>
        <v>67500</v>
      </c>
      <c r="H311" s="226">
        <f>45000+H308</f>
        <v>90000</v>
      </c>
      <c r="I311" s="226">
        <f>62500+I309</f>
        <v>62500</v>
      </c>
      <c r="J311" s="226">
        <v>30000.0</v>
      </c>
      <c r="K311" s="238">
        <f>45000+K308</f>
        <v>90000</v>
      </c>
      <c r="L311" s="208">
        <f>SUM(B311:J311)</f>
        <v>439000</v>
      </c>
    </row>
    <row r="312">
      <c r="A312" s="126" t="s">
        <v>0</v>
      </c>
      <c r="B312" s="127" t="s">
        <v>90</v>
      </c>
      <c r="C312" s="127" t="s">
        <v>3</v>
      </c>
      <c r="D312" s="183" t="s">
        <v>310</v>
      </c>
      <c r="E312" s="183" t="s">
        <v>5</v>
      </c>
      <c r="F312" s="183" t="s">
        <v>155</v>
      </c>
      <c r="G312" s="183" t="s">
        <v>195</v>
      </c>
      <c r="H312" s="129" t="s">
        <v>260</v>
      </c>
      <c r="I312" s="129" t="s">
        <v>305</v>
      </c>
      <c r="J312" s="129" t="s">
        <v>232</v>
      </c>
      <c r="K312" s="129" t="s">
        <v>247</v>
      </c>
      <c r="L312" s="128" t="s">
        <v>110</v>
      </c>
    </row>
    <row r="313">
      <c r="G313" s="72" t="s">
        <v>326</v>
      </c>
      <c r="H313" s="72" t="s">
        <v>326</v>
      </c>
    </row>
    <row r="314">
      <c r="D314" s="72" t="s">
        <v>333</v>
      </c>
    </row>
    <row r="315">
      <c r="A315" s="195" t="s">
        <v>334</v>
      </c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7"/>
    </row>
    <row r="316">
      <c r="A316" s="200" t="s">
        <v>288</v>
      </c>
      <c r="B316" s="222"/>
      <c r="C316" s="221"/>
      <c r="D316" s="221">
        <v>5000.0</v>
      </c>
      <c r="E316" s="199"/>
      <c r="F316" s="199"/>
      <c r="G316" s="221"/>
      <c r="H316" s="199"/>
      <c r="I316" s="221"/>
      <c r="J316" s="199"/>
      <c r="K316" s="221"/>
      <c r="L316" s="202"/>
    </row>
    <row r="317">
      <c r="A317" s="198" t="s">
        <v>40</v>
      </c>
      <c r="B317" s="221"/>
      <c r="C317" s="221"/>
      <c r="D317" s="221"/>
      <c r="E317" s="221"/>
      <c r="F317" s="221"/>
      <c r="G317" s="199"/>
      <c r="H317" s="221"/>
      <c r="I317" s="199">
        <f>8*I283</f>
        <v>10416.66667</v>
      </c>
      <c r="J317" s="199"/>
      <c r="K317" s="199"/>
      <c r="L317" s="251"/>
      <c r="M317" s="125"/>
    </row>
    <row r="318">
      <c r="A318" s="200" t="s">
        <v>331</v>
      </c>
      <c r="B318" s="211"/>
      <c r="C318" s="222"/>
      <c r="D318" s="211"/>
      <c r="E318" s="222"/>
      <c r="F318" s="222"/>
      <c r="G318" s="221">
        <v>67500.0</v>
      </c>
      <c r="H318" s="221" t="str">
        <f>H289</f>
        <v/>
      </c>
      <c r="I318" s="221"/>
      <c r="J318" s="221"/>
      <c r="K318" s="211"/>
      <c r="L318" s="252"/>
      <c r="M318" s="253"/>
    </row>
    <row r="319">
      <c r="A319" s="200" t="s">
        <v>295</v>
      </c>
      <c r="B319" s="255"/>
      <c r="C319" s="255"/>
      <c r="D319" s="255"/>
      <c r="E319" s="256"/>
      <c r="F319" s="256"/>
      <c r="G319" s="255"/>
      <c r="H319" s="255"/>
      <c r="I319" s="255"/>
      <c r="J319" s="255"/>
      <c r="K319" s="255"/>
      <c r="L319" s="257"/>
      <c r="M319" s="125"/>
    </row>
    <row r="320">
      <c r="A320" s="200" t="s">
        <v>250</v>
      </c>
      <c r="B320" s="255"/>
      <c r="C320" s="255"/>
      <c r="D320" s="255"/>
      <c r="E320" s="255"/>
      <c r="F320" s="255"/>
      <c r="G320" s="255"/>
      <c r="H320" s="255"/>
      <c r="I320" s="255"/>
      <c r="J320" s="255"/>
      <c r="K320" s="255"/>
      <c r="L320" s="257"/>
      <c r="M320" s="125"/>
    </row>
    <row r="321">
      <c r="A321" s="205" t="s">
        <v>118</v>
      </c>
      <c r="B321" s="238">
        <f>55000+B318</f>
        <v>55000</v>
      </c>
      <c r="C321" s="258">
        <f>67000+C318-C316</f>
        <v>67000</v>
      </c>
      <c r="D321" s="226">
        <f>50000-D316</f>
        <v>45000</v>
      </c>
      <c r="E321" s="226" t="s">
        <v>335</v>
      </c>
      <c r="F321" s="226"/>
      <c r="G321" s="226">
        <f>G291+G318</f>
        <v>135000</v>
      </c>
      <c r="H321" s="226"/>
      <c r="I321" s="226">
        <f>62500+I317</f>
        <v>72916.66667</v>
      </c>
      <c r="J321" s="226">
        <v>30000.0</v>
      </c>
      <c r="K321" s="226"/>
      <c r="L321" s="208">
        <f>SUM(B321:J321)</f>
        <v>404916.6667</v>
      </c>
    </row>
    <row r="322">
      <c r="A322" s="126" t="s">
        <v>0</v>
      </c>
      <c r="B322" s="127" t="s">
        <v>90</v>
      </c>
      <c r="C322" s="127" t="s">
        <v>3</v>
      </c>
      <c r="D322" s="183" t="s">
        <v>310</v>
      </c>
      <c r="E322" s="183" t="s">
        <v>5</v>
      </c>
      <c r="F322" s="183" t="s">
        <v>155</v>
      </c>
      <c r="G322" s="183" t="s">
        <v>195</v>
      </c>
      <c r="H322" s="129" t="s">
        <v>260</v>
      </c>
      <c r="I322" s="129" t="s">
        <v>305</v>
      </c>
      <c r="J322" s="129" t="s">
        <v>232</v>
      </c>
      <c r="K322" s="129" t="s">
        <v>247</v>
      </c>
      <c r="L322" s="128" t="s">
        <v>110</v>
      </c>
    </row>
    <row r="323">
      <c r="C323" s="72" t="s">
        <v>336</v>
      </c>
      <c r="E323" s="72" t="s">
        <v>337</v>
      </c>
      <c r="G323" s="72" t="s">
        <v>326</v>
      </c>
      <c r="I323" s="72" t="s">
        <v>338</v>
      </c>
      <c r="J323" s="72" t="s">
        <v>339</v>
      </c>
    </row>
    <row r="324">
      <c r="I324" s="72" t="s">
        <v>340</v>
      </c>
    </row>
    <row r="325">
      <c r="I325" s="72" t="s">
        <v>237</v>
      </c>
    </row>
    <row r="326">
      <c r="A326" s="130" t="s">
        <v>124</v>
      </c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2"/>
    </row>
    <row r="327">
      <c r="A327" s="126" t="s">
        <v>0</v>
      </c>
      <c r="B327" s="127" t="s">
        <v>90</v>
      </c>
      <c r="C327" s="127" t="s">
        <v>3</v>
      </c>
      <c r="D327" s="183" t="s">
        <v>312</v>
      </c>
      <c r="E327" s="183" t="s">
        <v>301</v>
      </c>
      <c r="F327" s="183" t="s">
        <v>155</v>
      </c>
      <c r="G327" s="183" t="s">
        <v>195</v>
      </c>
      <c r="H327" s="129" t="s">
        <v>260</v>
      </c>
      <c r="I327" s="129" t="s">
        <v>327</v>
      </c>
      <c r="J327" s="129" t="s">
        <v>232</v>
      </c>
      <c r="K327" s="129" t="s">
        <v>252</v>
      </c>
      <c r="L327" s="129" t="s">
        <v>341</v>
      </c>
      <c r="M327" s="128"/>
    </row>
    <row r="328">
      <c r="A328" s="133" t="s">
        <v>111</v>
      </c>
      <c r="B328" s="134">
        <v>55000.0</v>
      </c>
      <c r="C328" s="134">
        <v>67000.0</v>
      </c>
      <c r="D328" s="134">
        <v>50000.0</v>
      </c>
      <c r="E328" s="134">
        <v>30000.0</v>
      </c>
      <c r="F328" s="134">
        <v>40000.0</v>
      </c>
      <c r="G328" s="134">
        <v>67500.0</v>
      </c>
      <c r="H328" s="134">
        <v>45000.0</v>
      </c>
      <c r="I328" s="134">
        <v>62500.0</v>
      </c>
      <c r="J328" s="134">
        <v>30000.0</v>
      </c>
      <c r="K328" s="134">
        <v>45000.0</v>
      </c>
      <c r="L328" s="136">
        <f t="shared" ref="L328:L331" si="118">SUM(B328:J328)</f>
        <v>447000</v>
      </c>
    </row>
    <row r="329">
      <c r="A329" s="137"/>
      <c r="B329" s="134">
        <v>55000.0</v>
      </c>
      <c r="C329" s="134">
        <v>67000.0</v>
      </c>
      <c r="D329" s="134">
        <v>50000.0</v>
      </c>
      <c r="E329" s="134">
        <v>30000.0</v>
      </c>
      <c r="F329" s="134">
        <v>40000.0</v>
      </c>
      <c r="G329" s="134">
        <v>67500.0</v>
      </c>
      <c r="H329" s="134">
        <v>45000.0</v>
      </c>
      <c r="I329" s="134">
        <v>62500.0</v>
      </c>
      <c r="J329" s="134">
        <v>30000.0</v>
      </c>
      <c r="K329" s="134">
        <v>45000.0</v>
      </c>
      <c r="L329" s="136">
        <f t="shared" si="118"/>
        <v>447000</v>
      </c>
      <c r="O329" s="91"/>
    </row>
    <row r="330">
      <c r="A330" s="137"/>
      <c r="B330" s="134">
        <v>55000.0</v>
      </c>
      <c r="C330" s="134">
        <v>67000.0</v>
      </c>
      <c r="D330" s="134">
        <v>50000.0</v>
      </c>
      <c r="E330" s="134">
        <v>30000.0</v>
      </c>
      <c r="F330" s="134">
        <v>40000.0</v>
      </c>
      <c r="G330" s="134">
        <v>67500.0</v>
      </c>
      <c r="H330" s="134">
        <v>45000.0</v>
      </c>
      <c r="I330" s="134">
        <v>62500.0</v>
      </c>
      <c r="J330" s="134">
        <v>30000.0</v>
      </c>
      <c r="K330" s="134">
        <v>45000.0</v>
      </c>
      <c r="L330" s="136">
        <f t="shared" si="118"/>
        <v>447000</v>
      </c>
    </row>
    <row r="331">
      <c r="A331" s="138"/>
      <c r="B331" s="134">
        <v>55000.0</v>
      </c>
      <c r="C331" s="134">
        <v>67000.0</v>
      </c>
      <c r="D331" s="134">
        <v>50000.0</v>
      </c>
      <c r="E331" s="134">
        <v>30000.0</v>
      </c>
      <c r="F331" s="134">
        <v>40000.0</v>
      </c>
      <c r="G331" s="134">
        <v>67500.0</v>
      </c>
      <c r="H331" s="134">
        <v>45000.0</v>
      </c>
      <c r="I331" s="134">
        <v>62500.0</v>
      </c>
      <c r="J331" s="134">
        <v>30000.0</v>
      </c>
      <c r="K331" s="134">
        <v>45000.0</v>
      </c>
      <c r="L331" s="139">
        <f t="shared" si="118"/>
        <v>447000</v>
      </c>
    </row>
    <row r="332">
      <c r="A332" s="140" t="s">
        <v>113</v>
      </c>
      <c r="B332" s="141">
        <f t="shared" ref="B332:L332" si="119">SUM(B328:B331)</f>
        <v>220000</v>
      </c>
      <c r="C332" s="141">
        <f t="shared" si="119"/>
        <v>268000</v>
      </c>
      <c r="D332" s="141">
        <f t="shared" si="119"/>
        <v>200000</v>
      </c>
      <c r="E332" s="141">
        <f t="shared" si="119"/>
        <v>120000</v>
      </c>
      <c r="F332" s="141">
        <f t="shared" si="119"/>
        <v>160000</v>
      </c>
      <c r="G332" s="141">
        <f t="shared" si="119"/>
        <v>270000</v>
      </c>
      <c r="H332" s="141">
        <f t="shared" si="119"/>
        <v>180000</v>
      </c>
      <c r="I332" s="141">
        <f t="shared" si="119"/>
        <v>250000</v>
      </c>
      <c r="J332" s="141">
        <f t="shared" si="119"/>
        <v>120000</v>
      </c>
      <c r="K332" s="141">
        <f t="shared" si="119"/>
        <v>180000</v>
      </c>
      <c r="L332" s="141">
        <f t="shared" si="119"/>
        <v>1788000</v>
      </c>
    </row>
    <row r="333">
      <c r="A333" s="157" t="s">
        <v>138</v>
      </c>
      <c r="B333" s="158">
        <f>B329/6/8</f>
        <v>1145.833333</v>
      </c>
      <c r="C333" s="158">
        <f>C328/8/6</f>
        <v>1395.833333</v>
      </c>
      <c r="D333" s="158">
        <f>D328/6/8</f>
        <v>1041.666667</v>
      </c>
      <c r="E333" s="158"/>
      <c r="F333" s="158">
        <f t="shared" ref="F333:H333" si="120">F328/6/8</f>
        <v>833.3333333</v>
      </c>
      <c r="G333" s="158">
        <f t="shared" si="120"/>
        <v>1406.25</v>
      </c>
      <c r="H333" s="158">
        <f t="shared" si="120"/>
        <v>937.5</v>
      </c>
      <c r="I333" s="158">
        <f>I329/6/8</f>
        <v>1302.083333</v>
      </c>
      <c r="J333" s="158">
        <f>J328/8/6</f>
        <v>625</v>
      </c>
      <c r="K333" s="159">
        <f>K328/6/8</f>
        <v>937.5</v>
      </c>
      <c r="L333" s="159"/>
      <c r="M333" s="159"/>
      <c r="N333" s="122"/>
    </row>
    <row r="334">
      <c r="G334" s="72" t="s">
        <v>326</v>
      </c>
    </row>
    <row r="336">
      <c r="A336" s="195" t="s">
        <v>342</v>
      </c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7"/>
    </row>
    <row r="337">
      <c r="A337" s="200" t="s">
        <v>288</v>
      </c>
      <c r="B337" s="222"/>
      <c r="C337" s="221"/>
      <c r="D337" s="199"/>
      <c r="E337" s="199"/>
      <c r="F337" s="199"/>
      <c r="G337" s="221"/>
      <c r="H337" s="199"/>
      <c r="I337" s="221"/>
      <c r="J337" s="199"/>
      <c r="K337" s="221"/>
      <c r="L337" s="202"/>
    </row>
    <row r="338">
      <c r="A338" s="198" t="s">
        <v>40</v>
      </c>
      <c r="B338" s="221"/>
      <c r="C338" s="221"/>
      <c r="D338" s="221"/>
      <c r="E338" s="221"/>
      <c r="F338" s="221"/>
      <c r="G338" s="199"/>
      <c r="H338" s="221"/>
      <c r="I338" s="199">
        <f>4*I333</f>
        <v>5208.333333</v>
      </c>
      <c r="J338" s="199">
        <f>12*J333</f>
        <v>7500</v>
      </c>
      <c r="K338" s="199"/>
      <c r="L338" s="251"/>
      <c r="M338" s="125"/>
    </row>
    <row r="339">
      <c r="A339" s="200" t="s">
        <v>119</v>
      </c>
      <c r="B339" s="211"/>
      <c r="C339" s="222">
        <f>C331*2</f>
        <v>134000</v>
      </c>
      <c r="D339" s="211"/>
      <c r="E339" s="222"/>
      <c r="F339" s="222"/>
      <c r="G339" s="221"/>
      <c r="H339" s="221"/>
      <c r="I339" s="221"/>
      <c r="J339" s="221"/>
      <c r="K339" s="211"/>
      <c r="L339" s="252"/>
      <c r="M339" s="253"/>
    </row>
    <row r="340">
      <c r="A340" s="200" t="s">
        <v>295</v>
      </c>
      <c r="B340" s="255"/>
      <c r="C340" s="255"/>
      <c r="D340" s="255"/>
      <c r="E340" s="256"/>
      <c r="F340" s="256"/>
      <c r="G340" s="255"/>
      <c r="H340" s="255"/>
      <c r="I340" s="255"/>
      <c r="J340" s="255"/>
      <c r="K340" s="255"/>
      <c r="L340" s="257"/>
      <c r="M340" s="125"/>
    </row>
    <row r="341">
      <c r="A341" s="200" t="s">
        <v>250</v>
      </c>
      <c r="B341" s="255"/>
      <c r="C341" s="255"/>
      <c r="D341" s="255"/>
      <c r="E341" s="255"/>
      <c r="F341" s="255"/>
      <c r="G341" s="255"/>
      <c r="H341" s="255"/>
      <c r="I341" s="255"/>
      <c r="J341" s="255"/>
      <c r="K341" s="255"/>
      <c r="L341" s="257"/>
      <c r="M341" s="125"/>
    </row>
    <row r="342">
      <c r="A342" s="205" t="s">
        <v>118</v>
      </c>
      <c r="B342" s="238">
        <f>55000+B339</f>
        <v>55000</v>
      </c>
      <c r="C342" s="258">
        <f>67000+C339</f>
        <v>201000</v>
      </c>
      <c r="D342" s="226">
        <v>50000.0</v>
      </c>
      <c r="E342" s="226"/>
      <c r="F342" s="258">
        <f>40000+F339</f>
        <v>40000</v>
      </c>
      <c r="G342" s="226"/>
      <c r="H342" s="226">
        <f>45000+H339</f>
        <v>45000</v>
      </c>
      <c r="I342" s="226">
        <f>62500+I338</f>
        <v>67708.33333</v>
      </c>
      <c r="J342" s="226">
        <f>J330+J338</f>
        <v>37500</v>
      </c>
      <c r="K342" s="238">
        <f>45000+K339</f>
        <v>45000</v>
      </c>
      <c r="L342" s="208">
        <f>SUM(B342:J342)</f>
        <v>496208.3333</v>
      </c>
    </row>
    <row r="343">
      <c r="A343" s="126" t="s">
        <v>0</v>
      </c>
      <c r="B343" s="127" t="s">
        <v>90</v>
      </c>
      <c r="C343" s="127" t="s">
        <v>3</v>
      </c>
      <c r="D343" s="183" t="s">
        <v>310</v>
      </c>
      <c r="E343" s="183" t="s">
        <v>5</v>
      </c>
      <c r="F343" s="183" t="s">
        <v>155</v>
      </c>
      <c r="G343" s="183" t="s">
        <v>195</v>
      </c>
      <c r="H343" s="129" t="s">
        <v>260</v>
      </c>
      <c r="I343" s="129" t="s">
        <v>305</v>
      </c>
      <c r="J343" s="129" t="s">
        <v>232</v>
      </c>
      <c r="K343" s="129" t="s">
        <v>247</v>
      </c>
      <c r="L343" s="128" t="s">
        <v>110</v>
      </c>
    </row>
    <row r="346">
      <c r="A346" s="130" t="s">
        <v>343</v>
      </c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2"/>
    </row>
    <row r="347">
      <c r="A347" s="126" t="s">
        <v>0</v>
      </c>
      <c r="B347" s="127" t="s">
        <v>90</v>
      </c>
      <c r="C347" s="127" t="s">
        <v>3</v>
      </c>
      <c r="D347" s="183" t="s">
        <v>312</v>
      </c>
      <c r="E347" s="183" t="s">
        <v>155</v>
      </c>
      <c r="F347" s="183" t="s">
        <v>195</v>
      </c>
      <c r="G347" s="129" t="s">
        <v>260</v>
      </c>
      <c r="H347" s="129" t="s">
        <v>327</v>
      </c>
      <c r="I347" s="129" t="s">
        <v>232</v>
      </c>
      <c r="J347" s="129" t="s">
        <v>244</v>
      </c>
      <c r="K347" s="129" t="s">
        <v>341</v>
      </c>
      <c r="L347" s="128"/>
    </row>
    <row r="348">
      <c r="A348" s="133" t="s">
        <v>111</v>
      </c>
      <c r="B348" s="134">
        <v>65000.0</v>
      </c>
      <c r="C348" s="134">
        <v>75000.0</v>
      </c>
      <c r="D348" s="134">
        <v>60000.0</v>
      </c>
      <c r="E348" s="134">
        <v>50000.0</v>
      </c>
      <c r="F348" s="134">
        <v>75000.0</v>
      </c>
      <c r="G348" s="134">
        <v>55000.0</v>
      </c>
      <c r="H348" s="134">
        <v>82000.0</v>
      </c>
      <c r="I348" s="134">
        <v>40000.0</v>
      </c>
      <c r="J348" s="134">
        <v>50000.0</v>
      </c>
      <c r="K348" s="136">
        <f t="shared" ref="K348:K351" si="121">SUM(B348:J348)</f>
        <v>552000</v>
      </c>
    </row>
    <row r="349">
      <c r="A349" s="137"/>
      <c r="B349" s="134">
        <v>65000.0</v>
      </c>
      <c r="C349" s="134">
        <v>75000.0</v>
      </c>
      <c r="D349" s="134">
        <v>60000.0</v>
      </c>
      <c r="E349" s="134">
        <v>50000.0</v>
      </c>
      <c r="F349" s="134">
        <v>75000.0</v>
      </c>
      <c r="G349" s="134">
        <v>55000.0</v>
      </c>
      <c r="H349" s="134">
        <v>82000.0</v>
      </c>
      <c r="I349" s="134">
        <v>40000.0</v>
      </c>
      <c r="J349" s="134">
        <v>50000.0</v>
      </c>
      <c r="K349" s="136">
        <f t="shared" si="121"/>
        <v>552000</v>
      </c>
      <c r="N349" s="91"/>
    </row>
    <row r="350">
      <c r="A350" s="137"/>
      <c r="B350" s="134">
        <v>65000.0</v>
      </c>
      <c r="C350" s="134">
        <v>75000.0</v>
      </c>
      <c r="D350" s="134">
        <v>60000.0</v>
      </c>
      <c r="E350" s="134">
        <v>50000.0</v>
      </c>
      <c r="F350" s="134">
        <v>75000.0</v>
      </c>
      <c r="G350" s="134">
        <v>55000.0</v>
      </c>
      <c r="H350" s="134">
        <v>82000.0</v>
      </c>
      <c r="I350" s="134">
        <v>40000.0</v>
      </c>
      <c r="J350" s="134">
        <v>50000.0</v>
      </c>
      <c r="K350" s="136">
        <f t="shared" si="121"/>
        <v>552000</v>
      </c>
    </row>
    <row r="351">
      <c r="A351" s="138"/>
      <c r="B351" s="134">
        <v>65000.0</v>
      </c>
      <c r="C351" s="134">
        <v>75000.0</v>
      </c>
      <c r="D351" s="134">
        <v>60000.0</v>
      </c>
      <c r="E351" s="134">
        <v>50000.0</v>
      </c>
      <c r="F351" s="134">
        <v>75000.0</v>
      </c>
      <c r="G351" s="134">
        <v>55000.0</v>
      </c>
      <c r="H351" s="134">
        <v>82000.0</v>
      </c>
      <c r="I351" s="134">
        <v>40000.0</v>
      </c>
      <c r="J351" s="134">
        <v>50000.0</v>
      </c>
      <c r="K351" s="136">
        <f t="shared" si="121"/>
        <v>552000</v>
      </c>
    </row>
    <row r="352">
      <c r="A352" s="140" t="s">
        <v>113</v>
      </c>
      <c r="B352" s="141">
        <f t="shared" ref="B352:K352" si="122">SUM(B348:B351)</f>
        <v>260000</v>
      </c>
      <c r="C352" s="141">
        <f t="shared" si="122"/>
        <v>300000</v>
      </c>
      <c r="D352" s="141">
        <f t="shared" si="122"/>
        <v>240000</v>
      </c>
      <c r="E352" s="141">
        <f t="shared" si="122"/>
        <v>200000</v>
      </c>
      <c r="F352" s="141">
        <f t="shared" si="122"/>
        <v>300000</v>
      </c>
      <c r="G352" s="141">
        <f t="shared" si="122"/>
        <v>220000</v>
      </c>
      <c r="H352" s="141">
        <f t="shared" si="122"/>
        <v>328000</v>
      </c>
      <c r="I352" s="141">
        <f t="shared" si="122"/>
        <v>160000</v>
      </c>
      <c r="J352" s="141">
        <f t="shared" si="122"/>
        <v>200000</v>
      </c>
      <c r="K352" s="141">
        <f t="shared" si="122"/>
        <v>2208000</v>
      </c>
    </row>
    <row r="353">
      <c r="A353" s="260" t="s">
        <v>138</v>
      </c>
      <c r="B353" s="261">
        <f>B349/6/8</f>
        <v>1354.166667</v>
      </c>
      <c r="C353" s="261">
        <f>C348/8/6</f>
        <v>1562.5</v>
      </c>
      <c r="D353" s="261">
        <f t="shared" ref="D353:G353" si="123">D348/6/8</f>
        <v>1250</v>
      </c>
      <c r="E353" s="261">
        <f t="shared" si="123"/>
        <v>1041.666667</v>
      </c>
      <c r="F353" s="261">
        <f t="shared" si="123"/>
        <v>1562.5</v>
      </c>
      <c r="G353" s="261">
        <f t="shared" si="123"/>
        <v>1145.833333</v>
      </c>
      <c r="H353" s="261">
        <f>H349/6/8</f>
        <v>1708.333333</v>
      </c>
      <c r="I353" s="261">
        <f>I348/8/6</f>
        <v>833.3333333</v>
      </c>
      <c r="J353" s="261">
        <f>J348/6/8</f>
        <v>1041.666667</v>
      </c>
      <c r="K353" s="262"/>
      <c r="L353" s="262"/>
      <c r="M353" s="263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  <c r="AA353" s="174"/>
      <c r="AB353" s="174"/>
    </row>
    <row r="356">
      <c r="A356" s="195" t="s">
        <v>344</v>
      </c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7"/>
    </row>
    <row r="357">
      <c r="A357" s="200" t="s">
        <v>288</v>
      </c>
      <c r="B357" s="222"/>
      <c r="C357" s="221"/>
      <c r="D357" s="199"/>
      <c r="E357" s="199"/>
      <c r="F357" s="221"/>
      <c r="G357" s="199"/>
      <c r="H357" s="221"/>
      <c r="I357" s="199"/>
      <c r="J357" s="221"/>
      <c r="K357" s="202"/>
    </row>
    <row r="358">
      <c r="A358" s="198" t="s">
        <v>40</v>
      </c>
      <c r="B358" s="221"/>
      <c r="C358" s="221"/>
      <c r="D358" s="221">
        <f>4*D353</f>
        <v>5000</v>
      </c>
      <c r="E358" s="221"/>
      <c r="F358" s="199"/>
      <c r="G358" s="221"/>
      <c r="H358" s="199"/>
      <c r="I358" s="199"/>
      <c r="J358" s="199"/>
      <c r="K358" s="251"/>
      <c r="L358" s="125"/>
    </row>
    <row r="359">
      <c r="A359" s="200" t="s">
        <v>119</v>
      </c>
      <c r="B359" s="211"/>
      <c r="C359" s="222"/>
      <c r="D359" s="211"/>
      <c r="E359" s="222"/>
      <c r="F359" s="221"/>
      <c r="G359" s="221"/>
      <c r="H359" s="221"/>
      <c r="I359" s="221"/>
      <c r="J359" s="211"/>
      <c r="K359" s="252"/>
      <c r="L359" s="253"/>
    </row>
    <row r="360">
      <c r="A360" s="200" t="s">
        <v>295</v>
      </c>
      <c r="B360" s="255"/>
      <c r="C360" s="255"/>
      <c r="D360" s="255"/>
      <c r="E360" s="256"/>
      <c r="F360" s="255"/>
      <c r="G360" s="255"/>
      <c r="H360" s="255"/>
      <c r="I360" s="255"/>
      <c r="J360" s="255"/>
      <c r="K360" s="257"/>
      <c r="L360" s="125"/>
    </row>
    <row r="361">
      <c r="A361" s="200" t="s">
        <v>345</v>
      </c>
      <c r="B361" s="255"/>
      <c r="C361" s="255"/>
      <c r="D361" s="255">
        <v>7000.0</v>
      </c>
      <c r="E361" s="255">
        <v>1689.0</v>
      </c>
      <c r="F361" s="255"/>
      <c r="G361" s="255"/>
      <c r="H361" s="255"/>
      <c r="I361" s="255"/>
      <c r="J361" s="255"/>
      <c r="K361" s="257"/>
      <c r="L361" s="125"/>
    </row>
    <row r="362">
      <c r="A362" s="205" t="s">
        <v>118</v>
      </c>
      <c r="B362" s="226">
        <f>B351</f>
        <v>65000</v>
      </c>
      <c r="C362" s="226"/>
      <c r="D362" s="226">
        <f>D351</f>
        <v>60000</v>
      </c>
      <c r="E362" s="226">
        <f>E350</f>
        <v>50000</v>
      </c>
      <c r="F362" s="226">
        <f t="shared" ref="F362:G362" si="124">F351</f>
        <v>75000</v>
      </c>
      <c r="G362" s="226">
        <f t="shared" si="124"/>
        <v>55000</v>
      </c>
      <c r="H362" s="226">
        <f>62500+H358</f>
        <v>62500</v>
      </c>
      <c r="I362" s="226">
        <f>I350+I358</f>
        <v>40000</v>
      </c>
      <c r="J362" s="226">
        <f>J350</f>
        <v>50000</v>
      </c>
      <c r="K362" s="206">
        <f>SUM(B362:J362)</f>
        <v>457500</v>
      </c>
    </row>
    <row r="363">
      <c r="A363" s="126" t="s">
        <v>0</v>
      </c>
      <c r="B363" s="127" t="s">
        <v>90</v>
      </c>
      <c r="C363" s="127" t="s">
        <v>3</v>
      </c>
      <c r="D363" s="183" t="s">
        <v>310</v>
      </c>
      <c r="E363" s="183" t="s">
        <v>155</v>
      </c>
      <c r="F363" s="183" t="s">
        <v>195</v>
      </c>
      <c r="G363" s="129" t="s">
        <v>260</v>
      </c>
      <c r="H363" s="129" t="s">
        <v>305</v>
      </c>
      <c r="I363" s="129" t="s">
        <v>232</v>
      </c>
      <c r="J363" s="129" t="s">
        <v>244</v>
      </c>
      <c r="K363" s="128" t="s">
        <v>110</v>
      </c>
    </row>
    <row r="364">
      <c r="D364" s="72" t="s">
        <v>346</v>
      </c>
      <c r="G364" s="72" t="s">
        <v>347</v>
      </c>
      <c r="I364" s="72" t="s">
        <v>346</v>
      </c>
    </row>
    <row r="365">
      <c r="D365" s="72" t="s">
        <v>348</v>
      </c>
      <c r="F365" s="72" t="s">
        <v>348</v>
      </c>
      <c r="K365" s="72" t="s">
        <v>348</v>
      </c>
    </row>
    <row r="366">
      <c r="A366" s="195" t="s">
        <v>349</v>
      </c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7"/>
    </row>
    <row r="367">
      <c r="A367" s="200" t="s">
        <v>288</v>
      </c>
      <c r="B367" s="222"/>
      <c r="C367" s="221"/>
      <c r="D367" s="199"/>
      <c r="E367" s="199"/>
      <c r="F367" s="221"/>
      <c r="G367" s="199"/>
      <c r="H367" s="221"/>
      <c r="I367" s="199"/>
      <c r="J367" s="221"/>
      <c r="K367" s="202"/>
    </row>
    <row r="368">
      <c r="A368" s="198" t="s">
        <v>40</v>
      </c>
      <c r="B368" s="221"/>
      <c r="C368" s="221"/>
      <c r="D368" s="221"/>
      <c r="E368" s="221"/>
      <c r="F368" s="199"/>
      <c r="G368" s="221"/>
      <c r="H368" s="199"/>
      <c r="I368" s="199"/>
      <c r="J368" s="199"/>
      <c r="K368" s="251"/>
      <c r="L368" s="125"/>
    </row>
    <row r="369">
      <c r="A369" s="200" t="s">
        <v>119</v>
      </c>
      <c r="B369" s="211">
        <f>B349*2</f>
        <v>130000</v>
      </c>
      <c r="C369" s="222"/>
      <c r="D369" s="211"/>
      <c r="E369" s="222"/>
      <c r="F369" s="221"/>
      <c r="G369" s="221"/>
      <c r="H369" s="221"/>
      <c r="I369" s="221"/>
      <c r="J369" s="211"/>
      <c r="K369" s="252"/>
      <c r="L369" s="253"/>
    </row>
    <row r="370">
      <c r="A370" s="200" t="s">
        <v>295</v>
      </c>
      <c r="B370" s="255">
        <f>8*B353</f>
        <v>10833.33333</v>
      </c>
      <c r="C370" s="255"/>
      <c r="D370" s="255">
        <f t="shared" ref="D370:E370" si="125">15*D353</f>
        <v>18750</v>
      </c>
      <c r="E370" s="256">
        <f t="shared" si="125"/>
        <v>15625</v>
      </c>
      <c r="F370" s="255">
        <f>16*F353</f>
        <v>25000</v>
      </c>
      <c r="G370" s="255"/>
      <c r="H370" s="255">
        <f>12*H353</f>
        <v>20500</v>
      </c>
      <c r="I370" s="255">
        <f>I353*10</f>
        <v>8333.333333</v>
      </c>
      <c r="J370" s="255">
        <f>11*J353</f>
        <v>11458.33333</v>
      </c>
      <c r="K370" s="257"/>
      <c r="L370" s="125"/>
    </row>
    <row r="371">
      <c r="A371" s="200" t="s">
        <v>345</v>
      </c>
      <c r="B371" s="255"/>
      <c r="C371" s="255"/>
      <c r="D371" s="255">
        <v>3000.0</v>
      </c>
      <c r="E371" s="255"/>
      <c r="F371" s="255"/>
      <c r="G371" s="255"/>
      <c r="H371" s="255"/>
      <c r="I371" s="255"/>
      <c r="J371" s="255"/>
      <c r="K371" s="257"/>
      <c r="L371" s="125"/>
    </row>
    <row r="372">
      <c r="A372" s="205" t="s">
        <v>118</v>
      </c>
      <c r="B372" s="226">
        <f>B350+B370</f>
        <v>75833.33333</v>
      </c>
      <c r="C372" s="226"/>
      <c r="D372" s="226">
        <f>D350-D371+D370</f>
        <v>75750</v>
      </c>
      <c r="E372" s="226">
        <f t="shared" ref="E372:F372" si="126">E351+E370</f>
        <v>65625</v>
      </c>
      <c r="F372" s="226">
        <f t="shared" si="126"/>
        <v>100000</v>
      </c>
      <c r="G372" s="226">
        <f>G350</f>
        <v>55000</v>
      </c>
      <c r="H372" s="226">
        <f>H350+H368+H370</f>
        <v>102500</v>
      </c>
      <c r="I372" s="226">
        <f t="shared" ref="I372:J372" si="127">I349+I370</f>
        <v>48333.33333</v>
      </c>
      <c r="J372" s="226">
        <f t="shared" si="127"/>
        <v>61458.33333</v>
      </c>
      <c r="K372" s="206">
        <f>SUM(B372:J372)</f>
        <v>584500</v>
      </c>
    </row>
    <row r="373">
      <c r="A373" s="126" t="s">
        <v>0</v>
      </c>
      <c r="B373" s="127" t="s">
        <v>90</v>
      </c>
      <c r="C373" s="127" t="s">
        <v>3</v>
      </c>
      <c r="D373" s="183" t="s">
        <v>310</v>
      </c>
      <c r="E373" s="183" t="s">
        <v>155</v>
      </c>
      <c r="F373" s="183" t="s">
        <v>195</v>
      </c>
      <c r="G373" s="129" t="s">
        <v>260</v>
      </c>
      <c r="H373" s="129" t="s">
        <v>305</v>
      </c>
      <c r="I373" s="129" t="s">
        <v>232</v>
      </c>
      <c r="J373" s="129" t="s">
        <v>244</v>
      </c>
      <c r="K373" s="128" t="s">
        <v>110</v>
      </c>
    </row>
    <row r="376">
      <c r="A376" s="195" t="s">
        <v>350</v>
      </c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7"/>
    </row>
    <row r="377">
      <c r="A377" s="200" t="s">
        <v>288</v>
      </c>
      <c r="B377" s="222"/>
      <c r="C377" s="221"/>
      <c r="D377" s="199"/>
      <c r="E377" s="199"/>
      <c r="F377" s="221"/>
      <c r="G377" s="199"/>
      <c r="H377" s="221"/>
      <c r="I377" s="199"/>
      <c r="J377" s="221"/>
      <c r="K377" s="202"/>
    </row>
    <row r="378">
      <c r="A378" s="198" t="s">
        <v>40</v>
      </c>
      <c r="B378" s="221"/>
      <c r="C378" s="221">
        <f>C353*4</f>
        <v>6250</v>
      </c>
      <c r="D378" s="221"/>
      <c r="E378" s="221"/>
      <c r="F378" s="199"/>
      <c r="G378" s="221"/>
      <c r="H378" s="199"/>
      <c r="I378" s="199"/>
      <c r="J378" s="199"/>
      <c r="K378" s="251"/>
      <c r="L378" s="125"/>
    </row>
    <row r="379">
      <c r="A379" s="200" t="s">
        <v>119</v>
      </c>
      <c r="B379" s="211"/>
      <c r="C379" s="222"/>
      <c r="D379" s="211"/>
      <c r="E379" s="222"/>
      <c r="F379" s="221"/>
      <c r="G379" s="221"/>
      <c r="H379" s="221"/>
      <c r="I379" s="221"/>
      <c r="J379" s="211"/>
      <c r="K379" s="252"/>
      <c r="L379" s="253"/>
    </row>
    <row r="380">
      <c r="A380" s="200" t="s">
        <v>200</v>
      </c>
      <c r="B380" s="255"/>
      <c r="C380" s="255">
        <v>15000.0</v>
      </c>
      <c r="D380" s="255"/>
      <c r="E380" s="256"/>
      <c r="F380" s="255"/>
      <c r="G380" s="255"/>
      <c r="H380" s="255"/>
      <c r="I380" s="255"/>
      <c r="J380" s="255">
        <v>15000.0</v>
      </c>
      <c r="K380" s="257"/>
      <c r="L380" s="125"/>
    </row>
    <row r="381">
      <c r="A381" s="200" t="s">
        <v>345</v>
      </c>
      <c r="B381" s="255"/>
      <c r="C381" s="255"/>
      <c r="D381" s="255"/>
      <c r="E381" s="255"/>
      <c r="F381" s="255"/>
      <c r="G381" s="255"/>
      <c r="H381" s="255"/>
      <c r="I381" s="255"/>
      <c r="J381" s="255"/>
      <c r="K381" s="257"/>
      <c r="L381" s="125"/>
    </row>
    <row r="382">
      <c r="A382" s="205" t="s">
        <v>118</v>
      </c>
      <c r="B382" s="226">
        <f>B360+B380</f>
        <v>0</v>
      </c>
      <c r="C382" s="226">
        <f>C351+C378</f>
        <v>81250</v>
      </c>
      <c r="D382" s="226">
        <f>D360-D381+D380</f>
        <v>0</v>
      </c>
      <c r="E382" s="226">
        <f t="shared" ref="E382:H382" si="128">E351</f>
        <v>50000</v>
      </c>
      <c r="F382" s="226">
        <f t="shared" si="128"/>
        <v>75000</v>
      </c>
      <c r="G382" s="226">
        <f t="shared" si="128"/>
        <v>55000</v>
      </c>
      <c r="H382" s="226">
        <f t="shared" si="128"/>
        <v>82000</v>
      </c>
      <c r="I382" s="226">
        <f>I349</f>
        <v>40000</v>
      </c>
      <c r="J382" s="226">
        <f>J351+J380</f>
        <v>65000</v>
      </c>
      <c r="K382" s="206">
        <f>SUM(B382:J382)</f>
        <v>448250</v>
      </c>
    </row>
    <row r="383">
      <c r="A383" s="126" t="s">
        <v>0</v>
      </c>
      <c r="B383" s="127" t="s">
        <v>90</v>
      </c>
      <c r="C383" s="127" t="s">
        <v>3</v>
      </c>
      <c r="D383" s="183" t="s">
        <v>310</v>
      </c>
      <c r="E383" s="183" t="s">
        <v>155</v>
      </c>
      <c r="F383" s="183" t="s">
        <v>195</v>
      </c>
      <c r="G383" s="129" t="s">
        <v>260</v>
      </c>
      <c r="H383" s="129" t="s">
        <v>305</v>
      </c>
      <c r="I383" s="129" t="s">
        <v>232</v>
      </c>
      <c r="J383" s="129" t="s">
        <v>244</v>
      </c>
      <c r="K383" s="128" t="s">
        <v>110</v>
      </c>
    </row>
    <row r="384">
      <c r="C384" s="72" t="s">
        <v>326</v>
      </c>
      <c r="E384" s="72" t="s">
        <v>351</v>
      </c>
      <c r="F384" s="72" t="s">
        <v>352</v>
      </c>
      <c r="G384" s="72" t="s">
        <v>351</v>
      </c>
      <c r="H384" s="72" t="s">
        <v>351</v>
      </c>
      <c r="I384" s="72" t="s">
        <v>351</v>
      </c>
      <c r="J384" s="72" t="s">
        <v>353</v>
      </c>
    </row>
    <row r="386">
      <c r="A386" s="195" t="s">
        <v>354</v>
      </c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7"/>
    </row>
    <row r="387">
      <c r="A387" s="200" t="s">
        <v>288</v>
      </c>
      <c r="B387" s="222"/>
      <c r="C387" s="221"/>
      <c r="D387" s="199"/>
      <c r="E387" s="199"/>
      <c r="F387" s="221"/>
      <c r="G387" s="199"/>
      <c r="H387" s="221"/>
      <c r="I387" s="199"/>
      <c r="J387" s="221"/>
      <c r="K387" s="202"/>
    </row>
    <row r="388">
      <c r="A388" s="198" t="s">
        <v>40</v>
      </c>
      <c r="B388" s="221"/>
      <c r="C388" s="221">
        <f>2*C353</f>
        <v>3125</v>
      </c>
      <c r="D388" s="221"/>
      <c r="E388" s="221"/>
      <c r="F388" s="199"/>
      <c r="G388" s="221"/>
      <c r="H388" s="199">
        <f>8*H353</f>
        <v>13666.66667</v>
      </c>
      <c r="I388" s="199">
        <f>4*I353</f>
        <v>3333.333333</v>
      </c>
      <c r="J388" s="199">
        <f>3*J394</f>
        <v>4642.857143</v>
      </c>
      <c r="K388" s="251"/>
      <c r="L388" s="125"/>
    </row>
    <row r="389">
      <c r="A389" s="200" t="s">
        <v>119</v>
      </c>
      <c r="B389" s="211"/>
      <c r="C389" s="222"/>
      <c r="D389" s="211"/>
      <c r="E389" s="222"/>
      <c r="F389" s="221"/>
      <c r="G389" s="221"/>
      <c r="H389" s="221"/>
      <c r="I389" s="221"/>
      <c r="J389" s="211"/>
      <c r="K389" s="252"/>
      <c r="L389" s="253"/>
    </row>
    <row r="390">
      <c r="A390" s="200" t="s">
        <v>200</v>
      </c>
      <c r="B390" s="255"/>
      <c r="C390" s="255">
        <v>15000.0</v>
      </c>
      <c r="D390" s="255"/>
      <c r="E390" s="256"/>
      <c r="F390" s="255"/>
      <c r="G390" s="255"/>
      <c r="H390" s="255"/>
      <c r="I390" s="255"/>
      <c r="J390" s="255">
        <v>15000.0</v>
      </c>
      <c r="K390" s="257"/>
      <c r="L390" s="125"/>
    </row>
    <row r="391">
      <c r="A391" s="200" t="s">
        <v>345</v>
      </c>
      <c r="B391" s="255"/>
      <c r="C391" s="255"/>
      <c r="D391" s="255"/>
      <c r="E391" s="255"/>
      <c r="F391" s="255"/>
      <c r="G391" s="255"/>
      <c r="H391" s="255"/>
      <c r="I391" s="255"/>
      <c r="J391" s="255"/>
      <c r="K391" s="257"/>
      <c r="L391" s="125"/>
    </row>
    <row r="392">
      <c r="A392" s="205" t="s">
        <v>118</v>
      </c>
      <c r="B392" s="226"/>
      <c r="C392" s="226">
        <f>C349</f>
        <v>75000</v>
      </c>
      <c r="D392" s="226">
        <v>100000.0</v>
      </c>
      <c r="E392" s="226">
        <f>E350</f>
        <v>50000</v>
      </c>
      <c r="F392" s="226">
        <f t="shared" ref="F392:G392" si="129">F351</f>
        <v>75000</v>
      </c>
      <c r="G392" s="226">
        <f t="shared" si="129"/>
        <v>55000</v>
      </c>
      <c r="H392" s="226">
        <f>H349+H388</f>
        <v>95666.66667</v>
      </c>
      <c r="I392" s="226">
        <f>40000+I388</f>
        <v>43333.33333</v>
      </c>
      <c r="J392" s="226">
        <f>J349+J390+J388</f>
        <v>69642.85714</v>
      </c>
      <c r="K392" s="206">
        <f>SUM(B392:J392)</f>
        <v>563642.8571</v>
      </c>
    </row>
    <row r="393">
      <c r="A393" s="126" t="s">
        <v>0</v>
      </c>
      <c r="B393" s="127" t="s">
        <v>90</v>
      </c>
      <c r="C393" s="127" t="s">
        <v>3</v>
      </c>
      <c r="D393" s="183" t="s">
        <v>109</v>
      </c>
      <c r="E393" s="183" t="s">
        <v>155</v>
      </c>
      <c r="F393" s="183" t="s">
        <v>195</v>
      </c>
      <c r="G393" s="129" t="s">
        <v>260</v>
      </c>
      <c r="H393" s="129" t="s">
        <v>305</v>
      </c>
      <c r="I393" s="129" t="s">
        <v>232</v>
      </c>
      <c r="J393" s="129" t="s">
        <v>244</v>
      </c>
      <c r="K393" s="128" t="s">
        <v>110</v>
      </c>
    </row>
    <row r="394">
      <c r="C394" s="72" t="s">
        <v>355</v>
      </c>
      <c r="D394" s="72" t="s">
        <v>326</v>
      </c>
      <c r="F394" s="72" t="s">
        <v>326</v>
      </c>
      <c r="H394" s="72" t="s">
        <v>356</v>
      </c>
      <c r="J394">
        <f>65000/6/7</f>
        <v>1547.619048</v>
      </c>
    </row>
    <row r="395">
      <c r="C395" s="72" t="s">
        <v>357</v>
      </c>
      <c r="H395" s="72" t="s">
        <v>358</v>
      </c>
    </row>
    <row r="397">
      <c r="A397" s="130" t="s">
        <v>125</v>
      </c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2"/>
    </row>
    <row r="398">
      <c r="A398" s="126" t="s">
        <v>0</v>
      </c>
      <c r="B398" s="127" t="s">
        <v>90</v>
      </c>
      <c r="C398" s="127" t="s">
        <v>3</v>
      </c>
      <c r="D398" s="183" t="s">
        <v>109</v>
      </c>
      <c r="E398" s="183" t="s">
        <v>155</v>
      </c>
      <c r="F398" s="183" t="s">
        <v>195</v>
      </c>
      <c r="G398" s="129" t="s">
        <v>260</v>
      </c>
      <c r="H398" s="129" t="s">
        <v>327</v>
      </c>
      <c r="I398" s="129" t="s">
        <v>232</v>
      </c>
      <c r="J398" s="129" t="s">
        <v>244</v>
      </c>
      <c r="K398" s="129" t="s">
        <v>341</v>
      </c>
      <c r="L398" s="128"/>
    </row>
    <row r="399">
      <c r="A399" s="133" t="s">
        <v>111</v>
      </c>
      <c r="B399" s="134">
        <v>75000.0</v>
      </c>
      <c r="C399" s="134">
        <v>90000.0</v>
      </c>
      <c r="D399" s="134">
        <v>100000.0</v>
      </c>
      <c r="E399" s="134">
        <v>50000.0</v>
      </c>
      <c r="F399" s="134">
        <v>75000.0</v>
      </c>
      <c r="G399" s="134">
        <v>55000.0</v>
      </c>
      <c r="H399" s="134">
        <v>82000.0</v>
      </c>
      <c r="I399" s="134">
        <v>55000.0</v>
      </c>
      <c r="J399" s="134">
        <v>65000.0</v>
      </c>
      <c r="K399" s="136">
        <f t="shared" ref="K399:K402" si="130">SUM(B399:J399)</f>
        <v>647000</v>
      </c>
    </row>
    <row r="400">
      <c r="A400" s="137"/>
      <c r="B400" s="134">
        <v>75000.0</v>
      </c>
      <c r="C400" s="134">
        <v>90000.0</v>
      </c>
      <c r="D400" s="134">
        <v>100000.0</v>
      </c>
      <c r="E400" s="134">
        <v>50000.0</v>
      </c>
      <c r="F400" s="134">
        <v>75000.0</v>
      </c>
      <c r="G400" s="134">
        <v>55000.0</v>
      </c>
      <c r="H400" s="134">
        <v>82000.0</v>
      </c>
      <c r="I400" s="134">
        <v>55000.0</v>
      </c>
      <c r="J400" s="134">
        <v>65000.0</v>
      </c>
      <c r="K400" s="136">
        <f t="shared" si="130"/>
        <v>647000</v>
      </c>
      <c r="N400" s="91"/>
    </row>
    <row r="401">
      <c r="A401" s="137"/>
      <c r="B401" s="134">
        <v>75000.0</v>
      </c>
      <c r="C401" s="134">
        <v>90000.0</v>
      </c>
      <c r="D401" s="134">
        <v>100000.0</v>
      </c>
      <c r="E401" s="134">
        <v>50000.0</v>
      </c>
      <c r="F401" s="134">
        <v>125000.0</v>
      </c>
      <c r="G401" s="134">
        <v>55000.0</v>
      </c>
      <c r="H401" s="134">
        <v>82000.0</v>
      </c>
      <c r="I401" s="134">
        <v>55000.0</v>
      </c>
      <c r="J401" s="134">
        <v>65000.0</v>
      </c>
      <c r="K401" s="136">
        <f t="shared" si="130"/>
        <v>697000</v>
      </c>
    </row>
    <row r="402">
      <c r="A402" s="138"/>
      <c r="B402" s="134">
        <v>75000.0</v>
      </c>
      <c r="C402" s="134">
        <v>90000.0</v>
      </c>
      <c r="D402" s="134">
        <v>100000.0</v>
      </c>
      <c r="E402" s="134">
        <v>50000.0</v>
      </c>
      <c r="F402" s="134">
        <v>125000.0</v>
      </c>
      <c r="G402" s="134">
        <v>55000.0</v>
      </c>
      <c r="H402" s="134">
        <v>82000.0</v>
      </c>
      <c r="I402" s="134">
        <v>55000.0</v>
      </c>
      <c r="J402" s="134">
        <v>65000.0</v>
      </c>
      <c r="K402" s="136">
        <f t="shared" si="130"/>
        <v>697000</v>
      </c>
    </row>
    <row r="403">
      <c r="A403" s="140" t="s">
        <v>113</v>
      </c>
      <c r="B403" s="141">
        <f t="shared" ref="B403:K403" si="131">SUM(B399:B402)</f>
        <v>300000</v>
      </c>
      <c r="C403" s="141">
        <f t="shared" si="131"/>
        <v>360000</v>
      </c>
      <c r="D403" s="141">
        <f t="shared" si="131"/>
        <v>400000</v>
      </c>
      <c r="E403" s="141">
        <f t="shared" si="131"/>
        <v>200000</v>
      </c>
      <c r="F403" s="141">
        <f t="shared" si="131"/>
        <v>400000</v>
      </c>
      <c r="G403" s="141">
        <f t="shared" si="131"/>
        <v>220000</v>
      </c>
      <c r="H403" s="141">
        <f t="shared" si="131"/>
        <v>328000</v>
      </c>
      <c r="I403" s="141">
        <f t="shared" si="131"/>
        <v>220000</v>
      </c>
      <c r="J403" s="141">
        <f t="shared" si="131"/>
        <v>260000</v>
      </c>
      <c r="K403" s="141">
        <f t="shared" si="131"/>
        <v>2688000</v>
      </c>
    </row>
    <row r="404">
      <c r="A404" s="260" t="s">
        <v>138</v>
      </c>
      <c r="B404" s="261">
        <f>B400/6/8</f>
        <v>1562.5</v>
      </c>
      <c r="C404" s="261">
        <f>C399/8/6</f>
        <v>1875</v>
      </c>
      <c r="D404" s="261">
        <f t="shared" ref="D404:G404" si="132">D399/6/8</f>
        <v>2083.333333</v>
      </c>
      <c r="E404" s="261">
        <f t="shared" si="132"/>
        <v>1041.666667</v>
      </c>
      <c r="F404" s="261">
        <f t="shared" si="132"/>
        <v>1562.5</v>
      </c>
      <c r="G404" s="261">
        <f t="shared" si="132"/>
        <v>1145.833333</v>
      </c>
      <c r="H404" s="261">
        <f>H400/6/8</f>
        <v>1708.333333</v>
      </c>
      <c r="I404" s="261">
        <f>I399/8/6</f>
        <v>1145.833333</v>
      </c>
      <c r="J404" s="261">
        <f>J399/6/7</f>
        <v>1547.619048</v>
      </c>
      <c r="K404" s="262"/>
      <c r="L404" s="262"/>
      <c r="M404" s="263"/>
      <c r="N404" s="174"/>
      <c r="O404" s="174"/>
      <c r="P404" s="174"/>
    </row>
    <row r="407">
      <c r="A407" s="195" t="s">
        <v>359</v>
      </c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7"/>
    </row>
    <row r="408">
      <c r="A408" s="200" t="s">
        <v>288</v>
      </c>
      <c r="B408" s="222"/>
      <c r="C408" s="221"/>
      <c r="D408" s="199"/>
      <c r="E408" s="199"/>
      <c r="F408" s="221"/>
      <c r="G408" s="199"/>
      <c r="H408" s="221"/>
      <c r="I408" s="199"/>
      <c r="J408" s="221"/>
      <c r="K408" s="202"/>
    </row>
    <row r="409">
      <c r="A409" s="198" t="s">
        <v>40</v>
      </c>
      <c r="B409" s="221"/>
      <c r="C409" s="221">
        <f>2*C374</f>
        <v>0</v>
      </c>
      <c r="D409" s="221"/>
      <c r="E409" s="221"/>
      <c r="F409" s="199"/>
      <c r="G409" s="221"/>
      <c r="H409" s="199">
        <f>8*H374</f>
        <v>0</v>
      </c>
      <c r="I409" s="199">
        <f>4*I374</f>
        <v>0</v>
      </c>
      <c r="J409" s="199">
        <f>3*J415</f>
        <v>0</v>
      </c>
      <c r="K409" s="251"/>
      <c r="L409" s="125"/>
    </row>
    <row r="410">
      <c r="A410" s="200" t="s">
        <v>119</v>
      </c>
      <c r="B410" s="211"/>
      <c r="C410" s="222"/>
      <c r="D410" s="211"/>
      <c r="E410" s="222"/>
      <c r="F410" s="221"/>
      <c r="G410" s="221"/>
      <c r="H410" s="221"/>
      <c r="I410" s="221"/>
      <c r="J410" s="211"/>
      <c r="K410" s="252"/>
      <c r="L410" s="253"/>
    </row>
    <row r="411">
      <c r="A411" s="200" t="s">
        <v>200</v>
      </c>
      <c r="B411" s="255"/>
      <c r="C411" s="255"/>
      <c r="D411" s="255"/>
      <c r="E411" s="256"/>
      <c r="F411" s="255"/>
      <c r="G411" s="255"/>
      <c r="H411" s="255"/>
      <c r="I411" s="255"/>
      <c r="J411" s="255"/>
      <c r="K411" s="257"/>
      <c r="L411" s="125"/>
    </row>
    <row r="412">
      <c r="A412" s="200" t="s">
        <v>345</v>
      </c>
      <c r="B412" s="255"/>
      <c r="C412" s="255"/>
      <c r="D412" s="255"/>
      <c r="E412" s="255"/>
      <c r="F412" s="255"/>
      <c r="G412" s="255"/>
      <c r="H412" s="255"/>
      <c r="I412" s="255"/>
      <c r="J412" s="255"/>
      <c r="K412" s="257"/>
      <c r="L412" s="125"/>
    </row>
    <row r="413">
      <c r="A413" s="205" t="s">
        <v>118</v>
      </c>
      <c r="B413" s="226">
        <f t="shared" ref="B413:C413" si="133">B399</f>
        <v>75000</v>
      </c>
      <c r="C413" s="226">
        <f t="shared" si="133"/>
        <v>90000</v>
      </c>
      <c r="D413" s="226">
        <v>100000.0</v>
      </c>
      <c r="E413" s="226">
        <f t="shared" ref="E413:F413" si="134">E399</f>
        <v>50000</v>
      </c>
      <c r="F413" s="226">
        <f t="shared" si="134"/>
        <v>75000</v>
      </c>
      <c r="G413" s="226">
        <f>G372</f>
        <v>55000</v>
      </c>
      <c r="H413" s="226">
        <f t="shared" ref="H413:J413" si="135">H399</f>
        <v>82000</v>
      </c>
      <c r="I413" s="226">
        <f t="shared" si="135"/>
        <v>55000</v>
      </c>
      <c r="J413" s="226">
        <f t="shared" si="135"/>
        <v>65000</v>
      </c>
      <c r="K413" s="206">
        <f>SUM(B413:J413)</f>
        <v>647000</v>
      </c>
    </row>
    <row r="414">
      <c r="A414" s="126" t="s">
        <v>0</v>
      </c>
      <c r="B414" s="127" t="s">
        <v>90</v>
      </c>
      <c r="C414" s="127" t="s">
        <v>3</v>
      </c>
      <c r="D414" s="183" t="s">
        <v>109</v>
      </c>
      <c r="E414" s="183" t="s">
        <v>155</v>
      </c>
      <c r="F414" s="183" t="s">
        <v>195</v>
      </c>
      <c r="G414" s="129" t="s">
        <v>260</v>
      </c>
      <c r="H414" s="129" t="s">
        <v>305</v>
      </c>
      <c r="I414" s="129" t="s">
        <v>232</v>
      </c>
      <c r="J414" s="129" t="s">
        <v>244</v>
      </c>
      <c r="K414" s="128" t="s">
        <v>110</v>
      </c>
    </row>
    <row r="415">
      <c r="C415" s="72" t="s">
        <v>326</v>
      </c>
      <c r="D415" s="72" t="s">
        <v>326</v>
      </c>
      <c r="F415" s="72" t="s">
        <v>326</v>
      </c>
      <c r="H415" s="72" t="s">
        <v>360</v>
      </c>
    </row>
    <row r="416">
      <c r="H416" s="72" t="s">
        <v>361</v>
      </c>
    </row>
    <row r="418">
      <c r="A418" s="195" t="s">
        <v>362</v>
      </c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7"/>
    </row>
    <row r="419">
      <c r="A419" s="200" t="s">
        <v>288</v>
      </c>
      <c r="B419" s="222"/>
      <c r="C419" s="221">
        <v>10000.0</v>
      </c>
      <c r="D419" s="199"/>
      <c r="E419" s="199"/>
      <c r="F419" s="221"/>
      <c r="G419" s="199"/>
      <c r="H419" s="221"/>
      <c r="I419" s="199"/>
      <c r="J419" s="221"/>
      <c r="K419" s="202"/>
    </row>
    <row r="420">
      <c r="A420" s="198" t="s">
        <v>40</v>
      </c>
      <c r="B420" s="221"/>
      <c r="C420" s="221">
        <f>2*C385</f>
        <v>0</v>
      </c>
      <c r="D420" s="221"/>
      <c r="E420" s="221"/>
      <c r="F420" s="199"/>
      <c r="G420" s="221"/>
      <c r="H420" s="199">
        <f>8*H385</f>
        <v>0</v>
      </c>
      <c r="I420" s="199">
        <f>4*I385</f>
        <v>0</v>
      </c>
      <c r="J420" s="199" t="str">
        <f>3*J426</f>
        <v>#VALUE!</v>
      </c>
      <c r="K420" s="251"/>
      <c r="L420" s="125"/>
    </row>
    <row r="421">
      <c r="A421" s="200" t="s">
        <v>119</v>
      </c>
      <c r="B421" s="211"/>
      <c r="C421" s="222"/>
      <c r="D421" s="211"/>
      <c r="E421" s="222"/>
      <c r="F421" s="221"/>
      <c r="G421" s="221"/>
      <c r="H421" s="221"/>
      <c r="I421" s="221"/>
      <c r="J421" s="211">
        <v>65000.0</v>
      </c>
      <c r="K421" s="252"/>
      <c r="L421" s="253"/>
    </row>
    <row r="422">
      <c r="A422" s="200" t="s">
        <v>200</v>
      </c>
      <c r="B422" s="255"/>
      <c r="C422" s="255"/>
      <c r="D422" s="255"/>
      <c r="E422" s="256"/>
      <c r="F422" s="255"/>
      <c r="G422" s="255"/>
      <c r="H422" s="255"/>
      <c r="I422" s="255"/>
      <c r="J422" s="255"/>
      <c r="K422" s="257"/>
      <c r="L422" s="125"/>
    </row>
    <row r="423">
      <c r="A423" s="200" t="s">
        <v>345</v>
      </c>
      <c r="B423" s="255"/>
      <c r="C423" s="255"/>
      <c r="D423" s="255"/>
      <c r="E423" s="255"/>
      <c r="F423" s="255"/>
      <c r="G423" s="255"/>
      <c r="H423" s="255"/>
      <c r="I423" s="255"/>
      <c r="J423" s="255"/>
      <c r="K423" s="257"/>
      <c r="L423" s="125"/>
    </row>
    <row r="424">
      <c r="A424" s="205" t="s">
        <v>118</v>
      </c>
      <c r="B424" s="226">
        <f>B401</f>
        <v>75000</v>
      </c>
      <c r="C424" s="226">
        <f>C400-C419</f>
        <v>80000</v>
      </c>
      <c r="D424" s="226">
        <v>100000.0</v>
      </c>
      <c r="E424" s="226">
        <f t="shared" ref="E424:F424" si="136">E400</f>
        <v>50000</v>
      </c>
      <c r="F424" s="226">
        <f t="shared" si="136"/>
        <v>75000</v>
      </c>
      <c r="G424" s="226"/>
      <c r="H424" s="226">
        <f>H402</f>
        <v>82000</v>
      </c>
      <c r="I424" s="226">
        <f>I401</f>
        <v>55000</v>
      </c>
      <c r="J424" s="238">
        <f>J400+J421</f>
        <v>130000</v>
      </c>
      <c r="K424" s="206">
        <f>SUM(B424:J424)</f>
        <v>647000</v>
      </c>
    </row>
    <row r="425">
      <c r="A425" s="126" t="s">
        <v>0</v>
      </c>
      <c r="B425" s="127" t="s">
        <v>90</v>
      </c>
      <c r="C425" s="127" t="s">
        <v>3</v>
      </c>
      <c r="D425" s="183" t="s">
        <v>109</v>
      </c>
      <c r="E425" s="183" t="s">
        <v>155</v>
      </c>
      <c r="F425" s="183" t="s">
        <v>195</v>
      </c>
      <c r="G425" s="129" t="s">
        <v>260</v>
      </c>
      <c r="H425" s="129" t="s">
        <v>305</v>
      </c>
      <c r="I425" s="129" t="s">
        <v>232</v>
      </c>
      <c r="J425" s="129" t="s">
        <v>244</v>
      </c>
      <c r="K425" s="128" t="s">
        <v>110</v>
      </c>
    </row>
    <row r="426">
      <c r="D426" s="72" t="s">
        <v>363</v>
      </c>
      <c r="F426" s="72" t="s">
        <v>326</v>
      </c>
      <c r="G426" s="72" t="s">
        <v>364</v>
      </c>
      <c r="J426" s="72" t="s">
        <v>365</v>
      </c>
    </row>
    <row r="427">
      <c r="D427" s="72" t="s">
        <v>366</v>
      </c>
      <c r="G427" s="72" t="s">
        <v>367</v>
      </c>
      <c r="J427" s="72" t="s">
        <v>368</v>
      </c>
    </row>
    <row r="429">
      <c r="A429" s="195" t="s">
        <v>369</v>
      </c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7"/>
    </row>
    <row r="430">
      <c r="A430" s="200" t="s">
        <v>288</v>
      </c>
      <c r="B430" s="222"/>
      <c r="C430" s="221"/>
      <c r="D430" s="199"/>
      <c r="E430" s="199"/>
      <c r="F430" s="221"/>
      <c r="G430" s="199"/>
      <c r="H430" s="221"/>
      <c r="I430" s="199"/>
      <c r="J430" s="221"/>
      <c r="K430" s="202"/>
    </row>
    <row r="431">
      <c r="A431" s="198" t="s">
        <v>40</v>
      </c>
      <c r="B431" s="221"/>
      <c r="C431" s="221">
        <f>2*C396</f>
        <v>0</v>
      </c>
      <c r="D431" s="221"/>
      <c r="E431" s="221"/>
      <c r="F431" s="199"/>
      <c r="G431" s="221"/>
      <c r="H431" s="199">
        <f>4*H404</f>
        <v>6833.333333</v>
      </c>
      <c r="I431" s="199">
        <f>4*I396</f>
        <v>0</v>
      </c>
      <c r="J431" s="199">
        <f>3*J437</f>
        <v>0</v>
      </c>
      <c r="K431" s="251"/>
      <c r="L431" s="125"/>
    </row>
    <row r="432">
      <c r="A432" s="200" t="s">
        <v>119</v>
      </c>
      <c r="B432" s="211"/>
      <c r="C432" s="222"/>
      <c r="D432" s="211"/>
      <c r="E432" s="222"/>
      <c r="F432" s="221"/>
      <c r="G432" s="221"/>
      <c r="H432" s="221"/>
      <c r="I432" s="221">
        <v>55000.0</v>
      </c>
      <c r="J432" s="211"/>
      <c r="K432" s="252"/>
      <c r="L432" s="253"/>
    </row>
    <row r="433">
      <c r="A433" s="200" t="s">
        <v>200</v>
      </c>
      <c r="B433" s="255"/>
      <c r="C433" s="255"/>
      <c r="D433" s="255"/>
      <c r="E433" s="256"/>
      <c r="F433" s="255"/>
      <c r="G433" s="255"/>
      <c r="H433" s="255"/>
      <c r="I433" s="255"/>
      <c r="J433" s="255"/>
      <c r="K433" s="257"/>
      <c r="L433" s="125"/>
    </row>
    <row r="434">
      <c r="A434" s="200" t="s">
        <v>345</v>
      </c>
      <c r="B434" s="255"/>
      <c r="C434" s="255"/>
      <c r="D434" s="255"/>
      <c r="E434" s="255"/>
      <c r="F434" s="255"/>
      <c r="G434" s="255"/>
      <c r="H434" s="255"/>
      <c r="I434" s="255"/>
      <c r="J434" s="255"/>
      <c r="K434" s="257"/>
      <c r="L434" s="125"/>
    </row>
    <row r="435">
      <c r="A435" s="205" t="s">
        <v>118</v>
      </c>
      <c r="B435" s="226">
        <f t="shared" ref="B435:C435" si="137">B402</f>
        <v>75000</v>
      </c>
      <c r="C435" s="226">
        <f t="shared" si="137"/>
        <v>90000</v>
      </c>
      <c r="D435" s="226">
        <v>100000.0</v>
      </c>
      <c r="E435" s="226">
        <f>E402</f>
        <v>50000</v>
      </c>
      <c r="F435" s="226">
        <f>F401</f>
        <v>125000</v>
      </c>
      <c r="G435" s="226"/>
      <c r="H435" s="226">
        <f>H413+H431</f>
        <v>88833.33333</v>
      </c>
      <c r="I435" s="226">
        <f>I402+I432</f>
        <v>110000</v>
      </c>
      <c r="J435" s="238">
        <f>J411+J432</f>
        <v>0</v>
      </c>
      <c r="K435" s="206">
        <f>SUM(B435:J435)</f>
        <v>638833.3333</v>
      </c>
    </row>
    <row r="436">
      <c r="A436" s="126" t="s">
        <v>0</v>
      </c>
      <c r="B436" s="127" t="s">
        <v>90</v>
      </c>
      <c r="C436" s="127" t="s">
        <v>3</v>
      </c>
      <c r="D436" s="183" t="s">
        <v>109</v>
      </c>
      <c r="E436" s="183" t="s">
        <v>155</v>
      </c>
      <c r="F436" s="183" t="s">
        <v>195</v>
      </c>
      <c r="G436" s="129"/>
      <c r="H436" s="129" t="s">
        <v>305</v>
      </c>
      <c r="I436" s="129" t="s">
        <v>232</v>
      </c>
      <c r="J436" s="129" t="s">
        <v>244</v>
      </c>
      <c r="K436" s="128" t="s">
        <v>110</v>
      </c>
    </row>
    <row r="437">
      <c r="C437" s="72" t="s">
        <v>324</v>
      </c>
      <c r="D437" s="72" t="s">
        <v>324</v>
      </c>
      <c r="F437" s="72" t="s">
        <v>324</v>
      </c>
    </row>
    <row r="439">
      <c r="A439" s="195" t="s">
        <v>370</v>
      </c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7"/>
    </row>
    <row r="440">
      <c r="A440" s="200" t="s">
        <v>288</v>
      </c>
      <c r="B440" s="222"/>
      <c r="C440" s="221"/>
      <c r="D440" s="199"/>
      <c r="E440" s="199"/>
      <c r="F440" s="221"/>
      <c r="G440" s="199"/>
      <c r="H440" s="221"/>
      <c r="I440" s="199"/>
      <c r="J440" s="221"/>
      <c r="K440" s="202"/>
    </row>
    <row r="441">
      <c r="A441" s="198" t="s">
        <v>40</v>
      </c>
      <c r="B441" s="221"/>
      <c r="C441" s="221">
        <f>2*C406</f>
        <v>0</v>
      </c>
      <c r="D441" s="221"/>
      <c r="E441" s="221"/>
      <c r="F441" s="199"/>
      <c r="G441" s="221"/>
      <c r="H441" s="199"/>
      <c r="I441" s="199">
        <f>4*I406</f>
        <v>0</v>
      </c>
      <c r="J441" s="199" t="str">
        <f>3*J447</f>
        <v>#VALUE!</v>
      </c>
      <c r="K441" s="251"/>
      <c r="L441" s="125"/>
    </row>
    <row r="442">
      <c r="A442" s="200" t="s">
        <v>119</v>
      </c>
      <c r="B442" s="211"/>
      <c r="C442" s="222"/>
      <c r="D442" s="211"/>
      <c r="E442" s="222"/>
      <c r="F442" s="221"/>
      <c r="G442" s="221"/>
      <c r="H442" s="221"/>
      <c r="I442" s="221"/>
      <c r="J442" s="211"/>
      <c r="K442" s="252"/>
      <c r="L442" s="253"/>
    </row>
    <row r="443">
      <c r="A443" s="200" t="s">
        <v>141</v>
      </c>
      <c r="B443" s="255">
        <f t="shared" ref="B443:C443" si="138">8*B404</f>
        <v>12500</v>
      </c>
      <c r="C443" s="255">
        <f t="shared" si="138"/>
        <v>15000</v>
      </c>
      <c r="D443" s="255"/>
      <c r="E443" s="256">
        <f>8*E404</f>
        <v>8333.333333</v>
      </c>
      <c r="F443" s="255">
        <f>8*2604</f>
        <v>20832</v>
      </c>
      <c r="G443" s="255"/>
      <c r="H443" s="255">
        <f>8*H404</f>
        <v>13666.66667</v>
      </c>
      <c r="I443" s="255"/>
      <c r="J443" s="255">
        <f>8*J404</f>
        <v>12380.95238</v>
      </c>
      <c r="K443" s="257"/>
      <c r="L443" s="125"/>
    </row>
    <row r="444">
      <c r="A444" s="200" t="s">
        <v>345</v>
      </c>
      <c r="B444" s="255"/>
      <c r="C444" s="255"/>
      <c r="D444" s="255"/>
      <c r="E444" s="255"/>
      <c r="F444" s="255"/>
      <c r="G444" s="255"/>
      <c r="H444" s="255"/>
      <c r="I444" s="255"/>
      <c r="J444" s="255"/>
      <c r="K444" s="257"/>
      <c r="L444" s="125"/>
    </row>
    <row r="445">
      <c r="A445" s="205" t="s">
        <v>118</v>
      </c>
      <c r="B445" s="226">
        <f t="shared" ref="B445:C445" si="139">B402+B443</f>
        <v>87500</v>
      </c>
      <c r="C445" s="226">
        <f t="shared" si="139"/>
        <v>105000</v>
      </c>
      <c r="D445" s="226">
        <v>100000.0</v>
      </c>
      <c r="E445" s="226">
        <f>E401+E443</f>
        <v>58333.33333</v>
      </c>
      <c r="F445" s="226">
        <f>F435+F443</f>
        <v>145832</v>
      </c>
      <c r="G445" s="226"/>
      <c r="H445" s="226">
        <f>H402+H443</f>
        <v>95666.66667</v>
      </c>
      <c r="I445" s="226">
        <f>I412+I442</f>
        <v>0</v>
      </c>
      <c r="J445" s="238">
        <f>J421+J443</f>
        <v>77380.95238</v>
      </c>
      <c r="K445" s="206">
        <f>SUM(B445:J445)</f>
        <v>669712.9524</v>
      </c>
    </row>
    <row r="446">
      <c r="A446" s="126" t="s">
        <v>0</v>
      </c>
      <c r="B446" s="127" t="s">
        <v>90</v>
      </c>
      <c r="C446" s="127" t="s">
        <v>3</v>
      </c>
      <c r="D446" s="183" t="s">
        <v>109</v>
      </c>
      <c r="E446" s="183" t="s">
        <v>155</v>
      </c>
      <c r="F446" s="183" t="s">
        <v>195</v>
      </c>
      <c r="G446" s="129"/>
      <c r="H446" s="129" t="s">
        <v>305</v>
      </c>
      <c r="I446" s="129" t="s">
        <v>232</v>
      </c>
      <c r="J446" s="129" t="s">
        <v>244</v>
      </c>
      <c r="K446" s="128" t="s">
        <v>110</v>
      </c>
    </row>
    <row r="447">
      <c r="B447" s="72" t="s">
        <v>371</v>
      </c>
      <c r="D447" s="72" t="s">
        <v>324</v>
      </c>
      <c r="E447" s="72" t="s">
        <v>320</v>
      </c>
      <c r="F447" s="72" t="s">
        <v>324</v>
      </c>
      <c r="J447" s="72" t="s">
        <v>320</v>
      </c>
    </row>
    <row r="449">
      <c r="A449" s="130" t="s">
        <v>137</v>
      </c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2"/>
    </row>
    <row r="450">
      <c r="A450" s="126" t="s">
        <v>0</v>
      </c>
      <c r="B450" s="127" t="s">
        <v>90</v>
      </c>
      <c r="C450" s="127" t="s">
        <v>3</v>
      </c>
      <c r="D450" s="183" t="s">
        <v>109</v>
      </c>
      <c r="E450" s="183" t="s">
        <v>155</v>
      </c>
      <c r="F450" s="183" t="s">
        <v>195</v>
      </c>
      <c r="G450" s="129" t="s">
        <v>305</v>
      </c>
      <c r="H450" s="129" t="s">
        <v>372</v>
      </c>
      <c r="I450" s="129" t="s">
        <v>244</v>
      </c>
      <c r="J450" s="129"/>
      <c r="K450" s="128"/>
    </row>
    <row r="451">
      <c r="A451" s="133" t="s">
        <v>111</v>
      </c>
      <c r="B451" s="134">
        <v>75000.0</v>
      </c>
      <c r="C451" s="134">
        <v>90000.0</v>
      </c>
      <c r="D451" s="134">
        <v>100000.0</v>
      </c>
      <c r="E451" s="134">
        <v>60000.0</v>
      </c>
      <c r="F451" s="134">
        <v>125000.0</v>
      </c>
      <c r="G451" s="134">
        <v>82000.0</v>
      </c>
      <c r="H451" s="134">
        <v>55000.0</v>
      </c>
      <c r="I451" s="134">
        <v>65000.0</v>
      </c>
      <c r="J451" s="134"/>
    </row>
    <row r="452">
      <c r="A452" s="137"/>
      <c r="B452" s="134">
        <v>75000.0</v>
      </c>
      <c r="C452" s="134">
        <v>90000.0</v>
      </c>
      <c r="D452" s="134">
        <v>100000.0</v>
      </c>
      <c r="E452" s="134">
        <v>60000.0</v>
      </c>
      <c r="F452" s="134">
        <v>125000.0</v>
      </c>
      <c r="G452" s="134">
        <v>82000.0</v>
      </c>
      <c r="H452" s="134">
        <v>55000.0</v>
      </c>
      <c r="I452" s="134">
        <v>65000.0</v>
      </c>
      <c r="J452" s="134"/>
      <c r="M452" s="91"/>
    </row>
    <row r="453">
      <c r="A453" s="137"/>
      <c r="B453" s="134">
        <v>75000.0</v>
      </c>
      <c r="C453" s="134">
        <v>90000.0</v>
      </c>
      <c r="D453" s="134">
        <v>100000.0</v>
      </c>
      <c r="E453" s="134">
        <v>60000.0</v>
      </c>
      <c r="F453" s="134">
        <v>125000.0</v>
      </c>
      <c r="G453" s="134">
        <v>82000.0</v>
      </c>
      <c r="H453" s="134">
        <v>55000.0</v>
      </c>
      <c r="I453" s="134">
        <v>65000.0</v>
      </c>
      <c r="J453" s="134"/>
    </row>
    <row r="454">
      <c r="A454" s="138"/>
      <c r="B454" s="134">
        <v>75000.0</v>
      </c>
      <c r="C454" s="134">
        <v>90000.0</v>
      </c>
      <c r="D454" s="134">
        <v>100000.0</v>
      </c>
      <c r="E454" s="134">
        <v>60000.0</v>
      </c>
      <c r="F454" s="134">
        <v>125000.0</v>
      </c>
      <c r="G454" s="134">
        <v>82000.0</v>
      </c>
      <c r="H454" s="134">
        <v>55000.0</v>
      </c>
      <c r="I454" s="134">
        <v>65000.0</v>
      </c>
      <c r="J454" s="134"/>
    </row>
    <row r="455">
      <c r="A455" s="140" t="s">
        <v>113</v>
      </c>
      <c r="B455" s="141">
        <f t="shared" ref="B455:J455" si="140">SUM(B451:B454)</f>
        <v>300000</v>
      </c>
      <c r="C455" s="141">
        <f t="shared" si="140"/>
        <v>360000</v>
      </c>
      <c r="D455" s="141">
        <f t="shared" si="140"/>
        <v>400000</v>
      </c>
      <c r="E455" s="141">
        <f t="shared" si="140"/>
        <v>240000</v>
      </c>
      <c r="F455" s="141">
        <f t="shared" si="140"/>
        <v>500000</v>
      </c>
      <c r="G455" s="141">
        <f t="shared" si="140"/>
        <v>328000</v>
      </c>
      <c r="H455" s="141">
        <f t="shared" si="140"/>
        <v>220000</v>
      </c>
      <c r="I455" s="141">
        <f t="shared" si="140"/>
        <v>260000</v>
      </c>
      <c r="J455" s="141">
        <f t="shared" si="140"/>
        <v>0</v>
      </c>
    </row>
    <row r="456">
      <c r="A456" s="260" t="s">
        <v>138</v>
      </c>
      <c r="B456" s="261">
        <f>B452/6/8</f>
        <v>1562.5</v>
      </c>
      <c r="C456" s="261">
        <f>C451/8/6</f>
        <v>1875</v>
      </c>
      <c r="D456" s="261">
        <f t="shared" ref="D456:F456" si="141">D451/6/8</f>
        <v>2083.333333</v>
      </c>
      <c r="E456" s="261">
        <f t="shared" si="141"/>
        <v>1250</v>
      </c>
      <c r="F456" s="261">
        <f t="shared" si="141"/>
        <v>2604.166667</v>
      </c>
      <c r="G456" s="261">
        <f>G452/6/8</f>
        <v>1708.333333</v>
      </c>
      <c r="H456" s="261">
        <f>H451/8/6</f>
        <v>1145.833333</v>
      </c>
      <c r="I456" s="261">
        <f>I451/6/7</f>
        <v>1547.619048</v>
      </c>
      <c r="J456" s="262">
        <f>J451/6/8</f>
        <v>0</v>
      </c>
      <c r="K456" s="262"/>
      <c r="L456" s="263"/>
      <c r="M456" s="174"/>
      <c r="N456" s="174"/>
      <c r="O456" s="174"/>
    </row>
    <row r="458">
      <c r="A458" s="195" t="s">
        <v>373</v>
      </c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7"/>
    </row>
    <row r="459">
      <c r="A459" s="200" t="s">
        <v>288</v>
      </c>
      <c r="B459" s="222"/>
      <c r="C459" s="221"/>
      <c r="D459" s="199"/>
      <c r="E459" s="199"/>
      <c r="F459" s="221"/>
      <c r="G459" s="199"/>
      <c r="H459" s="221"/>
      <c r="I459" s="199"/>
      <c r="J459" s="221"/>
      <c r="K459" s="202"/>
    </row>
    <row r="460">
      <c r="A460" s="198" t="s">
        <v>40</v>
      </c>
      <c r="B460" s="221"/>
      <c r="C460" s="221"/>
      <c r="D460" s="221"/>
      <c r="E460" s="221"/>
      <c r="F460" s="199"/>
      <c r="G460" s="221"/>
      <c r="H460" s="199"/>
      <c r="I460" s="199"/>
      <c r="J460" s="199"/>
      <c r="K460" s="251"/>
      <c r="L460" s="125"/>
    </row>
    <row r="461">
      <c r="A461" s="200" t="s">
        <v>119</v>
      </c>
      <c r="B461" s="211"/>
      <c r="C461" s="222"/>
      <c r="D461" s="211"/>
      <c r="E461" s="222"/>
      <c r="F461" s="221"/>
      <c r="G461" s="221"/>
      <c r="H461" s="221"/>
      <c r="I461" s="221"/>
      <c r="J461" s="211"/>
      <c r="K461" s="252"/>
      <c r="L461" s="253"/>
    </row>
    <row r="462">
      <c r="A462" s="200" t="s">
        <v>141</v>
      </c>
      <c r="B462" s="255">
        <f t="shared" ref="B462:C462" si="142">8*B456</f>
        <v>12500</v>
      </c>
      <c r="C462" s="255">
        <f t="shared" si="142"/>
        <v>15000</v>
      </c>
      <c r="D462" s="255"/>
      <c r="E462" s="256">
        <f>8*E456</f>
        <v>10000</v>
      </c>
      <c r="F462" s="255"/>
      <c r="G462" s="255">
        <f>8*G456</f>
        <v>13666.66667</v>
      </c>
      <c r="H462" s="255">
        <f>6.5*H456</f>
        <v>7447.916667</v>
      </c>
      <c r="I462" s="255">
        <f>6*I456</f>
        <v>9285.714286</v>
      </c>
      <c r="J462" s="255"/>
      <c r="K462" s="257"/>
      <c r="L462" s="125"/>
    </row>
    <row r="463">
      <c r="A463" s="200" t="s">
        <v>345</v>
      </c>
      <c r="B463" s="255"/>
      <c r="C463" s="255"/>
      <c r="D463" s="255"/>
      <c r="E463" s="255"/>
      <c r="F463" s="255"/>
      <c r="G463" s="255"/>
      <c r="H463" s="255"/>
      <c r="I463" s="255"/>
      <c r="J463" s="255"/>
      <c r="K463" s="257"/>
      <c r="L463" s="125"/>
    </row>
    <row r="464">
      <c r="A464" s="205" t="s">
        <v>118</v>
      </c>
      <c r="B464" s="226">
        <f t="shared" ref="B464:J464" si="143">B451+B462</f>
        <v>87500</v>
      </c>
      <c r="C464" s="226">
        <f t="shared" si="143"/>
        <v>105000</v>
      </c>
      <c r="D464" s="226">
        <f t="shared" si="143"/>
        <v>100000</v>
      </c>
      <c r="E464" s="226">
        <f t="shared" si="143"/>
        <v>70000</v>
      </c>
      <c r="F464" s="226">
        <f t="shared" si="143"/>
        <v>125000</v>
      </c>
      <c r="G464" s="226">
        <f t="shared" si="143"/>
        <v>95666.66667</v>
      </c>
      <c r="H464" s="226">
        <f t="shared" si="143"/>
        <v>62447.91667</v>
      </c>
      <c r="I464" s="226">
        <f t="shared" si="143"/>
        <v>74285.71429</v>
      </c>
      <c r="J464" s="226">
        <f t="shared" si="143"/>
        <v>0</v>
      </c>
      <c r="K464" s="206">
        <f>SUM(B464:J464)</f>
        <v>719900.2976</v>
      </c>
    </row>
    <row r="465">
      <c r="A465" s="126" t="s">
        <v>0</v>
      </c>
      <c r="B465" s="127" t="s">
        <v>90</v>
      </c>
      <c r="C465" s="127" t="s">
        <v>3</v>
      </c>
      <c r="D465" s="183" t="s">
        <v>109</v>
      </c>
      <c r="E465" s="183" t="s">
        <v>155</v>
      </c>
      <c r="F465" s="183" t="s">
        <v>195</v>
      </c>
      <c r="G465" s="129" t="s">
        <v>305</v>
      </c>
      <c r="H465" s="129" t="s">
        <v>372</v>
      </c>
      <c r="I465" s="129" t="s">
        <v>244</v>
      </c>
      <c r="J465" s="129"/>
      <c r="K465" s="128" t="s">
        <v>110</v>
      </c>
    </row>
    <row r="466">
      <c r="B466" s="72" t="s">
        <v>326</v>
      </c>
      <c r="C466" s="72" t="s">
        <v>326</v>
      </c>
      <c r="D466" s="72" t="s">
        <v>326</v>
      </c>
      <c r="F466" s="72" t="s">
        <v>326</v>
      </c>
      <c r="G466" s="72" t="s">
        <v>326</v>
      </c>
      <c r="I466" s="72" t="s">
        <v>326</v>
      </c>
    </row>
    <row r="468">
      <c r="A468" s="195" t="s">
        <v>374</v>
      </c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7"/>
    </row>
    <row r="469">
      <c r="A469" s="200" t="s">
        <v>288</v>
      </c>
      <c r="B469" s="222"/>
      <c r="C469" s="221"/>
      <c r="D469" s="199"/>
      <c r="E469" s="199"/>
      <c r="F469" s="221"/>
      <c r="G469" s="199"/>
      <c r="H469" s="221"/>
      <c r="I469" s="199"/>
      <c r="J469" s="221"/>
      <c r="K469" s="202"/>
    </row>
    <row r="470">
      <c r="A470" s="198" t="s">
        <v>40</v>
      </c>
      <c r="B470" s="221"/>
      <c r="C470" s="221"/>
      <c r="D470" s="221"/>
      <c r="E470" s="221"/>
      <c r="F470" s="199"/>
      <c r="G470" s="221"/>
      <c r="H470" s="199"/>
      <c r="I470" s="199"/>
      <c r="J470" s="199"/>
      <c r="K470" s="251"/>
      <c r="L470" s="125"/>
    </row>
    <row r="471">
      <c r="A471" s="200" t="s">
        <v>119</v>
      </c>
      <c r="B471" s="211"/>
      <c r="C471" s="222"/>
      <c r="D471" s="211"/>
      <c r="E471" s="222"/>
      <c r="F471" s="221"/>
      <c r="G471" s="221"/>
      <c r="H471" s="221"/>
      <c r="I471" s="221"/>
      <c r="J471" s="211"/>
      <c r="K471" s="252"/>
      <c r="L471" s="253"/>
    </row>
    <row r="472">
      <c r="A472" s="200" t="s">
        <v>141</v>
      </c>
      <c r="B472" s="255"/>
      <c r="C472" s="255"/>
      <c r="D472" s="255"/>
      <c r="E472" s="256">
        <f>8*E466</f>
        <v>0</v>
      </c>
      <c r="F472" s="255"/>
      <c r="G472" s="255"/>
      <c r="H472" s="255">
        <f>6.5*H466</f>
        <v>0</v>
      </c>
      <c r="I472" s="255"/>
      <c r="J472" s="255"/>
      <c r="K472" s="257"/>
      <c r="L472" s="125"/>
    </row>
    <row r="473">
      <c r="A473" s="200"/>
      <c r="B473" s="255"/>
      <c r="C473" s="255"/>
      <c r="D473" s="255"/>
      <c r="E473" s="255"/>
      <c r="F473" s="255"/>
      <c r="G473" s="255"/>
      <c r="H473" s="255"/>
      <c r="I473" s="255"/>
      <c r="J473" s="255"/>
      <c r="K473" s="257"/>
      <c r="L473" s="125"/>
    </row>
    <row r="474">
      <c r="A474" s="200"/>
      <c r="B474" s="255"/>
      <c r="C474" s="255"/>
      <c r="D474" s="255"/>
      <c r="E474" s="255"/>
      <c r="F474" s="255"/>
      <c r="G474" s="255"/>
      <c r="H474" s="255"/>
      <c r="I474" s="255"/>
      <c r="J474" s="255"/>
      <c r="K474" s="257"/>
      <c r="L474" s="125"/>
    </row>
    <row r="475">
      <c r="A475" s="200" t="s">
        <v>345</v>
      </c>
      <c r="B475" s="255"/>
      <c r="C475" s="255"/>
      <c r="D475" s="255"/>
      <c r="E475" s="255"/>
      <c r="F475" s="255"/>
      <c r="G475" s="255"/>
      <c r="H475" s="255"/>
      <c r="I475" s="255"/>
      <c r="J475" s="255"/>
      <c r="K475" s="257"/>
      <c r="L475" s="125"/>
    </row>
    <row r="476">
      <c r="A476" s="205" t="s">
        <v>118</v>
      </c>
      <c r="B476" s="226">
        <f>B452</f>
        <v>75000</v>
      </c>
      <c r="C476" s="226">
        <f t="shared" ref="C476:E476" si="144">C451</f>
        <v>90000</v>
      </c>
      <c r="D476" s="226">
        <f t="shared" si="144"/>
        <v>100000</v>
      </c>
      <c r="E476" s="226">
        <f t="shared" si="144"/>
        <v>60000</v>
      </c>
      <c r="F476" s="226">
        <f>F453</f>
        <v>125000</v>
      </c>
      <c r="G476" s="226">
        <f t="shared" ref="G476:I476" si="145">G451</f>
        <v>82000</v>
      </c>
      <c r="H476" s="226">
        <f t="shared" si="145"/>
        <v>55000</v>
      </c>
      <c r="I476" s="226">
        <f t="shared" si="145"/>
        <v>65000</v>
      </c>
      <c r="J476" s="238">
        <f>J461+J472</f>
        <v>0</v>
      </c>
      <c r="K476" s="206">
        <f>SUM(B476:J476)</f>
        <v>652000</v>
      </c>
    </row>
    <row r="477">
      <c r="A477" s="126" t="s">
        <v>0</v>
      </c>
      <c r="B477" s="127" t="s">
        <v>90</v>
      </c>
      <c r="C477" s="127" t="s">
        <v>3</v>
      </c>
      <c r="D477" s="183" t="s">
        <v>109</v>
      </c>
      <c r="E477" s="183" t="s">
        <v>155</v>
      </c>
      <c r="F477" s="183" t="s">
        <v>195</v>
      </c>
      <c r="G477" s="129" t="s">
        <v>305</v>
      </c>
      <c r="H477" s="129" t="s">
        <v>372</v>
      </c>
      <c r="I477" s="129" t="s">
        <v>244</v>
      </c>
      <c r="J477" s="129"/>
      <c r="K477" s="128" t="s">
        <v>110</v>
      </c>
    </row>
    <row r="478">
      <c r="B478" s="72" t="s">
        <v>375</v>
      </c>
      <c r="C478" s="72" t="s">
        <v>375</v>
      </c>
      <c r="D478" s="72" t="s">
        <v>375</v>
      </c>
      <c r="E478" s="72" t="s">
        <v>375</v>
      </c>
      <c r="F478" s="72" t="s">
        <v>326</v>
      </c>
      <c r="G478" s="72" t="s">
        <v>326</v>
      </c>
      <c r="H478" s="72" t="s">
        <v>375</v>
      </c>
      <c r="I478" s="72" t="s">
        <v>375</v>
      </c>
    </row>
    <row r="480">
      <c r="A480" s="195" t="s">
        <v>376</v>
      </c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7"/>
    </row>
    <row r="481">
      <c r="A481" s="200" t="s">
        <v>288</v>
      </c>
      <c r="B481" s="222"/>
      <c r="C481" s="221"/>
      <c r="D481" s="199"/>
      <c r="E481" s="199"/>
      <c r="F481" s="221"/>
      <c r="G481" s="199"/>
      <c r="H481" s="221"/>
      <c r="I481" s="199"/>
      <c r="J481" s="221"/>
      <c r="K481" s="202"/>
    </row>
    <row r="482">
      <c r="A482" s="198" t="s">
        <v>40</v>
      </c>
      <c r="B482" s="221">
        <f>2*B456</f>
        <v>3125</v>
      </c>
      <c r="C482" s="221"/>
      <c r="D482" s="221"/>
      <c r="E482" s="221"/>
      <c r="F482" s="199"/>
      <c r="G482" s="221"/>
      <c r="H482" s="199"/>
      <c r="I482" s="199"/>
      <c r="J482" s="199"/>
      <c r="K482" s="251"/>
      <c r="L482" s="125"/>
    </row>
    <row r="483">
      <c r="A483" s="200" t="s">
        <v>119</v>
      </c>
      <c r="B483" s="211"/>
      <c r="C483" s="222"/>
      <c r="D483" s="211"/>
      <c r="E483" s="222"/>
      <c r="F483" s="221"/>
      <c r="G483" s="221"/>
      <c r="H483" s="221"/>
      <c r="I483" s="221"/>
      <c r="J483" s="211"/>
      <c r="K483" s="252"/>
      <c r="L483" s="253"/>
    </row>
    <row r="484">
      <c r="A484" s="200" t="s">
        <v>141</v>
      </c>
      <c r="B484" s="255"/>
      <c r="C484" s="255"/>
      <c r="D484" s="255"/>
      <c r="E484" s="256"/>
      <c r="F484" s="255"/>
      <c r="G484" s="255"/>
      <c r="H484" s="255"/>
      <c r="I484" s="255"/>
      <c r="J484" s="255"/>
      <c r="K484" s="257"/>
      <c r="L484" s="125"/>
    </row>
    <row r="485">
      <c r="A485" s="200" t="s">
        <v>345</v>
      </c>
      <c r="B485" s="255"/>
      <c r="C485" s="255"/>
      <c r="D485" s="255"/>
      <c r="E485" s="255"/>
      <c r="F485" s="255"/>
      <c r="G485" s="255"/>
      <c r="H485" s="255"/>
      <c r="I485" s="255"/>
      <c r="J485" s="255"/>
      <c r="K485" s="257"/>
      <c r="L485" s="125"/>
    </row>
    <row r="486">
      <c r="A486" s="205" t="s">
        <v>118</v>
      </c>
      <c r="B486" s="226">
        <f>B453+B482</f>
        <v>78125</v>
      </c>
      <c r="C486" s="226">
        <f t="shared" ref="C486:E486" si="146">C452</f>
        <v>90000</v>
      </c>
      <c r="D486" s="226">
        <f t="shared" si="146"/>
        <v>100000</v>
      </c>
      <c r="E486" s="226">
        <f t="shared" si="146"/>
        <v>60000</v>
      </c>
      <c r="F486" s="226">
        <f>F454</f>
        <v>125000</v>
      </c>
      <c r="G486" s="226">
        <f t="shared" ref="G486:I486" si="147">G452</f>
        <v>82000</v>
      </c>
      <c r="H486" s="226">
        <f t="shared" si="147"/>
        <v>55000</v>
      </c>
      <c r="I486" s="226">
        <f t="shared" si="147"/>
        <v>65000</v>
      </c>
      <c r="J486" s="238">
        <f>J471+J484</f>
        <v>0</v>
      </c>
      <c r="K486" s="206">
        <f>SUM(B486:J486)</f>
        <v>655125</v>
      </c>
    </row>
    <row r="487">
      <c r="A487" s="126" t="s">
        <v>0</v>
      </c>
      <c r="B487" s="127" t="s">
        <v>90</v>
      </c>
      <c r="C487" s="127" t="s">
        <v>3</v>
      </c>
      <c r="D487" s="183" t="s">
        <v>109</v>
      </c>
      <c r="E487" s="183" t="s">
        <v>155</v>
      </c>
      <c r="F487" s="183" t="s">
        <v>195</v>
      </c>
      <c r="G487" s="129" t="s">
        <v>305</v>
      </c>
      <c r="H487" s="129" t="s">
        <v>372</v>
      </c>
      <c r="I487" s="129" t="s">
        <v>244</v>
      </c>
      <c r="J487" s="129"/>
      <c r="K487" s="128" t="s">
        <v>110</v>
      </c>
    </row>
    <row r="488">
      <c r="B488" s="72" t="s">
        <v>326</v>
      </c>
      <c r="C488" s="72" t="s">
        <v>326</v>
      </c>
      <c r="D488" s="72" t="s">
        <v>326</v>
      </c>
      <c r="F488" s="72" t="s">
        <v>326</v>
      </c>
    </row>
    <row r="490">
      <c r="A490" s="195" t="s">
        <v>377</v>
      </c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7"/>
    </row>
    <row r="491">
      <c r="A491" s="200" t="s">
        <v>288</v>
      </c>
      <c r="B491" s="222"/>
      <c r="C491" s="221"/>
      <c r="D491" s="199"/>
      <c r="E491" s="199"/>
      <c r="F491" s="221"/>
      <c r="G491" s="199"/>
      <c r="H491" s="221"/>
      <c r="I491" s="199"/>
      <c r="J491" s="221"/>
      <c r="K491" s="202"/>
    </row>
    <row r="492">
      <c r="A492" s="198" t="s">
        <v>40</v>
      </c>
      <c r="B492" s="221"/>
      <c r="C492" s="221"/>
      <c r="D492" s="221"/>
      <c r="E492" s="221"/>
      <c r="F492" s="199"/>
      <c r="G492" s="221"/>
      <c r="H492" s="199"/>
      <c r="I492" s="199"/>
      <c r="J492" s="199"/>
      <c r="K492" s="251"/>
      <c r="L492" s="125"/>
    </row>
    <row r="493">
      <c r="A493" s="200" t="s">
        <v>119</v>
      </c>
      <c r="B493" s="211"/>
      <c r="C493" s="222"/>
      <c r="D493" s="211"/>
      <c r="E493" s="222"/>
      <c r="F493" s="221"/>
      <c r="G493" s="221"/>
      <c r="H493" s="221"/>
      <c r="I493" s="221"/>
      <c r="J493" s="211"/>
      <c r="K493" s="252"/>
      <c r="L493" s="253"/>
    </row>
    <row r="494">
      <c r="A494" s="200" t="s">
        <v>141</v>
      </c>
      <c r="B494" s="255"/>
      <c r="C494" s="255"/>
      <c r="D494" s="255"/>
      <c r="E494" s="256"/>
      <c r="F494" s="255"/>
      <c r="G494" s="255"/>
      <c r="H494" s="255"/>
      <c r="I494" s="255"/>
      <c r="J494" s="255"/>
      <c r="K494" s="257"/>
      <c r="L494" s="125"/>
    </row>
    <row r="495">
      <c r="A495" s="200" t="s">
        <v>345</v>
      </c>
      <c r="B495" s="255"/>
      <c r="C495" s="255"/>
      <c r="D495" s="255"/>
      <c r="E495" s="255"/>
      <c r="F495" s="255"/>
      <c r="G495" s="255"/>
      <c r="H495" s="255"/>
      <c r="I495" s="255"/>
      <c r="J495" s="255"/>
      <c r="K495" s="257"/>
      <c r="L495" s="125"/>
    </row>
    <row r="496">
      <c r="A496" s="205" t="s">
        <v>118</v>
      </c>
      <c r="B496" s="226">
        <f t="shared" ref="B496:D496" si="148">B454</f>
        <v>75000</v>
      </c>
      <c r="C496" s="226">
        <f t="shared" si="148"/>
        <v>90000</v>
      </c>
      <c r="D496" s="226">
        <f t="shared" si="148"/>
        <v>100000</v>
      </c>
      <c r="E496" s="226">
        <f>E452</f>
        <v>60000</v>
      </c>
      <c r="F496" s="226">
        <f>F464</f>
        <v>125000</v>
      </c>
      <c r="G496" s="226">
        <f>G451</f>
        <v>82000</v>
      </c>
      <c r="H496" s="226">
        <f>H453</f>
        <v>55000</v>
      </c>
      <c r="I496" s="226">
        <f>I452</f>
        <v>65000</v>
      </c>
      <c r="J496" s="226">
        <f>J481+J494</f>
        <v>0</v>
      </c>
      <c r="K496" s="206">
        <f>SUM(B496:J496)</f>
        <v>652000</v>
      </c>
    </row>
    <row r="497">
      <c r="A497" s="126" t="s">
        <v>0</v>
      </c>
      <c r="B497" s="127" t="s">
        <v>90</v>
      </c>
      <c r="C497" s="127" t="s">
        <v>3</v>
      </c>
      <c r="D497" s="183" t="s">
        <v>109</v>
      </c>
      <c r="E497" s="183" t="s">
        <v>155</v>
      </c>
      <c r="F497" s="183" t="s">
        <v>195</v>
      </c>
      <c r="G497" s="129" t="s">
        <v>305</v>
      </c>
      <c r="H497" s="129" t="s">
        <v>372</v>
      </c>
      <c r="I497" s="129" t="s">
        <v>244</v>
      </c>
      <c r="J497" s="129"/>
      <c r="K497" s="128" t="s">
        <v>110</v>
      </c>
    </row>
    <row r="498">
      <c r="D498" s="72" t="s">
        <v>326</v>
      </c>
      <c r="F498" s="72" t="s">
        <v>326</v>
      </c>
    </row>
    <row r="500">
      <c r="A500" s="130" t="s">
        <v>44</v>
      </c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2"/>
    </row>
    <row r="501">
      <c r="A501" s="126" t="s">
        <v>0</v>
      </c>
      <c r="B501" s="127" t="s">
        <v>90</v>
      </c>
      <c r="C501" s="127" t="s">
        <v>3</v>
      </c>
      <c r="D501" s="183" t="s">
        <v>109</v>
      </c>
      <c r="E501" s="183" t="s">
        <v>155</v>
      </c>
      <c r="F501" s="183" t="s">
        <v>195</v>
      </c>
      <c r="G501" s="129" t="s">
        <v>305</v>
      </c>
      <c r="H501" s="129" t="s">
        <v>372</v>
      </c>
      <c r="I501" s="129" t="s">
        <v>244</v>
      </c>
      <c r="J501" s="129"/>
      <c r="K501" s="128"/>
    </row>
    <row r="502">
      <c r="A502" s="133" t="s">
        <v>111</v>
      </c>
      <c r="B502" s="134">
        <v>85000.0</v>
      </c>
      <c r="C502" s="134">
        <v>100000.0</v>
      </c>
      <c r="D502" s="134">
        <v>130000.0</v>
      </c>
      <c r="E502" s="134">
        <v>70000.0</v>
      </c>
      <c r="F502" s="134">
        <v>125000.0</v>
      </c>
      <c r="G502" s="134">
        <v>82000.0</v>
      </c>
      <c r="H502" s="134">
        <v>55000.0</v>
      </c>
      <c r="I502" s="134">
        <v>75000.0</v>
      </c>
      <c r="J502" s="134"/>
    </row>
    <row r="503">
      <c r="A503" s="137"/>
      <c r="B503" s="134">
        <v>85000.0</v>
      </c>
      <c r="C503" s="134">
        <v>100000.0</v>
      </c>
      <c r="D503" s="134">
        <v>130000.0</v>
      </c>
      <c r="E503" s="134">
        <v>70000.0</v>
      </c>
      <c r="F503" s="134">
        <v>125000.0</v>
      </c>
      <c r="G503" s="134">
        <v>82000.0</v>
      </c>
      <c r="H503" s="134">
        <v>55000.0</v>
      </c>
      <c r="I503" s="134">
        <v>75000.0</v>
      </c>
      <c r="J503" s="134"/>
      <c r="M503" s="91"/>
    </row>
    <row r="504">
      <c r="A504" s="137"/>
      <c r="B504" s="134">
        <v>85000.0</v>
      </c>
      <c r="C504" s="134">
        <v>100000.0</v>
      </c>
      <c r="D504" s="134">
        <v>130000.0</v>
      </c>
      <c r="E504" s="134">
        <v>70000.0</v>
      </c>
      <c r="F504" s="134">
        <v>125000.0</v>
      </c>
      <c r="G504" s="134">
        <v>82000.0</v>
      </c>
      <c r="H504" s="134">
        <v>55000.0</v>
      </c>
      <c r="I504" s="134">
        <v>75000.0</v>
      </c>
      <c r="J504" s="134"/>
    </row>
    <row r="505">
      <c r="A505" s="138"/>
      <c r="B505" s="134">
        <v>85000.0</v>
      </c>
      <c r="C505" s="134">
        <v>100000.0</v>
      </c>
      <c r="D505" s="134">
        <v>130000.0</v>
      </c>
      <c r="E505" s="134">
        <v>70000.0</v>
      </c>
      <c r="F505" s="134">
        <v>125000.0</v>
      </c>
      <c r="G505" s="134">
        <v>82000.0</v>
      </c>
      <c r="H505" s="134">
        <v>55000.0</v>
      </c>
      <c r="I505" s="134">
        <v>75000.0</v>
      </c>
      <c r="J505" s="134"/>
    </row>
    <row r="506">
      <c r="A506" s="140" t="s">
        <v>113</v>
      </c>
      <c r="B506" s="141">
        <f t="shared" ref="B506:J506" si="149">SUM(B502:B505)</f>
        <v>340000</v>
      </c>
      <c r="C506" s="141">
        <f t="shared" si="149"/>
        <v>400000</v>
      </c>
      <c r="D506" s="141">
        <f t="shared" si="149"/>
        <v>520000</v>
      </c>
      <c r="E506" s="141">
        <f t="shared" si="149"/>
        <v>280000</v>
      </c>
      <c r="F506" s="141">
        <f t="shared" si="149"/>
        <v>500000</v>
      </c>
      <c r="G506" s="141">
        <f t="shared" si="149"/>
        <v>328000</v>
      </c>
      <c r="H506" s="141">
        <f t="shared" si="149"/>
        <v>220000</v>
      </c>
      <c r="I506" s="141">
        <f t="shared" si="149"/>
        <v>300000</v>
      </c>
      <c r="J506" s="141">
        <f t="shared" si="149"/>
        <v>0</v>
      </c>
    </row>
    <row r="507">
      <c r="A507" s="260" t="s">
        <v>138</v>
      </c>
      <c r="B507" s="261">
        <f>B503/6/8</f>
        <v>1770.833333</v>
      </c>
      <c r="C507" s="261">
        <f>C502/8/6</f>
        <v>2083.333333</v>
      </c>
      <c r="D507" s="261">
        <f t="shared" ref="D507:F507" si="150">D502/6/8</f>
        <v>2708.333333</v>
      </c>
      <c r="E507" s="261">
        <f t="shared" si="150"/>
        <v>1458.333333</v>
      </c>
      <c r="F507" s="261">
        <f t="shared" si="150"/>
        <v>2604.166667</v>
      </c>
      <c r="G507" s="261">
        <f>G503/6/8</f>
        <v>1708.333333</v>
      </c>
      <c r="H507" s="261">
        <f>H502/8/6</f>
        <v>1145.833333</v>
      </c>
      <c r="I507" s="261">
        <f>I502/6/7</f>
        <v>1785.714286</v>
      </c>
      <c r="J507" s="262">
        <f>J502/6/8</f>
        <v>0</v>
      </c>
      <c r="K507" s="262"/>
      <c r="L507" s="263"/>
      <c r="M507" s="174"/>
      <c r="N507" s="174"/>
      <c r="O507" s="174"/>
    </row>
    <row r="509">
      <c r="A509" s="195" t="s">
        <v>378</v>
      </c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7"/>
    </row>
    <row r="510">
      <c r="A510" s="200" t="s">
        <v>288</v>
      </c>
      <c r="B510" s="222"/>
      <c r="C510" s="221"/>
      <c r="D510" s="199"/>
      <c r="E510" s="199"/>
      <c r="F510" s="221"/>
      <c r="G510" s="199"/>
      <c r="H510" s="221"/>
      <c r="I510" s="199"/>
      <c r="J510" s="221"/>
      <c r="K510" s="202"/>
    </row>
    <row r="511">
      <c r="A511" s="198" t="s">
        <v>40</v>
      </c>
      <c r="B511" s="221">
        <f>1*B507</f>
        <v>1770.833333</v>
      </c>
      <c r="C511" s="221"/>
      <c r="D511" s="221"/>
      <c r="E511" s="221"/>
      <c r="F511" s="199"/>
      <c r="G511" s="221"/>
      <c r="H511" s="199"/>
      <c r="I511" s="199"/>
      <c r="J511" s="199"/>
      <c r="K511" s="251"/>
      <c r="L511" s="125"/>
    </row>
    <row r="512">
      <c r="A512" s="200" t="s">
        <v>119</v>
      </c>
      <c r="B512" s="211"/>
      <c r="C512" s="222"/>
      <c r="D512" s="211"/>
      <c r="E512" s="222"/>
      <c r="F512" s="221"/>
      <c r="G512" s="221"/>
      <c r="H512" s="221"/>
      <c r="I512" s="221"/>
      <c r="J512" s="211"/>
      <c r="K512" s="252"/>
      <c r="L512" s="253"/>
    </row>
    <row r="513">
      <c r="A513" s="200" t="s">
        <v>141</v>
      </c>
      <c r="B513" s="255"/>
      <c r="C513" s="255"/>
      <c r="D513" s="255"/>
      <c r="E513" s="256"/>
      <c r="F513" s="255"/>
      <c r="G513" s="255"/>
      <c r="H513" s="255"/>
      <c r="I513" s="255"/>
      <c r="J513" s="255"/>
      <c r="K513" s="257"/>
      <c r="L513" s="125"/>
    </row>
    <row r="514">
      <c r="A514" s="200" t="s">
        <v>345</v>
      </c>
      <c r="B514" s="255"/>
      <c r="C514" s="255"/>
      <c r="D514" s="255"/>
      <c r="E514" s="255"/>
      <c r="F514" s="255"/>
      <c r="G514" s="255"/>
      <c r="H514" s="255"/>
      <c r="I514" s="255"/>
      <c r="J514" s="255"/>
      <c r="K514" s="257"/>
      <c r="L514" s="125"/>
    </row>
    <row r="515">
      <c r="A515" s="205" t="s">
        <v>118</v>
      </c>
      <c r="B515" s="226">
        <f>B503+B511</f>
        <v>86770.83333</v>
      </c>
      <c r="C515" s="226">
        <f t="shared" ref="C515:G515" si="151">C502</f>
        <v>100000</v>
      </c>
      <c r="D515" s="226">
        <f t="shared" si="151"/>
        <v>130000</v>
      </c>
      <c r="E515" s="226">
        <f t="shared" si="151"/>
        <v>70000</v>
      </c>
      <c r="F515" s="226">
        <f t="shared" si="151"/>
        <v>125000</v>
      </c>
      <c r="G515" s="226">
        <f t="shared" si="151"/>
        <v>82000</v>
      </c>
      <c r="H515" s="226">
        <f>H505</f>
        <v>55000</v>
      </c>
      <c r="I515" s="226">
        <f>I502</f>
        <v>75000</v>
      </c>
      <c r="J515" s="226">
        <f>J500+J513</f>
        <v>0</v>
      </c>
      <c r="K515" s="206">
        <f>SUM(B515:J515)</f>
        <v>723770.8333</v>
      </c>
    </row>
    <row r="516">
      <c r="A516" s="126" t="s">
        <v>0</v>
      </c>
      <c r="B516" s="127" t="s">
        <v>90</v>
      </c>
      <c r="C516" s="127" t="s">
        <v>3</v>
      </c>
      <c r="D516" s="183" t="s">
        <v>109</v>
      </c>
      <c r="E516" s="183" t="s">
        <v>155</v>
      </c>
      <c r="F516" s="183" t="s">
        <v>195</v>
      </c>
      <c r="G516" s="129" t="s">
        <v>305</v>
      </c>
      <c r="H516" s="129" t="s">
        <v>372</v>
      </c>
      <c r="I516" s="129" t="s">
        <v>244</v>
      </c>
      <c r="J516" s="129"/>
      <c r="K516" s="128" t="s">
        <v>110</v>
      </c>
    </row>
    <row r="517">
      <c r="D517" s="72" t="s">
        <v>326</v>
      </c>
      <c r="F517" s="72" t="s">
        <v>326</v>
      </c>
    </row>
    <row r="519">
      <c r="A519" s="195" t="s">
        <v>379</v>
      </c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7"/>
    </row>
    <row r="520">
      <c r="A520" s="200" t="s">
        <v>288</v>
      </c>
      <c r="B520" s="222"/>
      <c r="C520" s="221"/>
      <c r="D520" s="199"/>
      <c r="E520" s="199"/>
      <c r="F520" s="221"/>
      <c r="G520" s="199"/>
      <c r="H520" s="221"/>
      <c r="I520" s="199"/>
      <c r="J520" s="221"/>
      <c r="K520" s="202"/>
    </row>
    <row r="521">
      <c r="A521" s="198" t="s">
        <v>40</v>
      </c>
      <c r="B521" s="221">
        <f>1*B517</f>
        <v>0</v>
      </c>
      <c r="C521" s="221"/>
      <c r="D521" s="221"/>
      <c r="E521" s="221"/>
      <c r="F521" s="199"/>
      <c r="G521" s="221">
        <f>16*G507</f>
        <v>27333.33333</v>
      </c>
      <c r="H521" s="199"/>
      <c r="I521" s="199"/>
      <c r="J521" s="199"/>
      <c r="K521" s="251"/>
      <c r="L521" s="125"/>
    </row>
    <row r="522">
      <c r="A522" s="200" t="s">
        <v>119</v>
      </c>
      <c r="B522" s="211"/>
      <c r="C522" s="222"/>
      <c r="D522" s="211"/>
      <c r="E522" s="222"/>
      <c r="F522" s="221"/>
      <c r="G522" s="221"/>
      <c r="H522" s="221"/>
      <c r="I522" s="221"/>
      <c r="J522" s="211"/>
      <c r="K522" s="252"/>
      <c r="L522" s="253"/>
    </row>
    <row r="523">
      <c r="A523" s="200" t="s">
        <v>141</v>
      </c>
      <c r="B523" s="255"/>
      <c r="C523" s="255"/>
      <c r="D523" s="255"/>
      <c r="E523" s="256"/>
      <c r="F523" s="255"/>
      <c r="G523" s="255"/>
      <c r="H523" s="255"/>
      <c r="I523" s="255"/>
      <c r="J523" s="255"/>
      <c r="K523" s="257"/>
      <c r="L523" s="125"/>
    </row>
    <row r="524">
      <c r="A524" s="200" t="s">
        <v>345</v>
      </c>
      <c r="B524" s="255"/>
      <c r="C524" s="255"/>
      <c r="D524" s="255"/>
      <c r="E524" s="255"/>
      <c r="F524" s="255"/>
      <c r="G524" s="255"/>
      <c r="H524" s="255"/>
      <c r="I524" s="255"/>
      <c r="J524" s="255"/>
      <c r="K524" s="257"/>
      <c r="L524" s="125"/>
    </row>
    <row r="525">
      <c r="A525" s="205" t="s">
        <v>118</v>
      </c>
      <c r="B525" s="226">
        <f>B502</f>
        <v>85000</v>
      </c>
      <c r="C525" s="226">
        <v>100000.0</v>
      </c>
      <c r="D525" s="226">
        <f t="shared" ref="D525:F525" si="152">D502</f>
        <v>130000</v>
      </c>
      <c r="E525" s="226">
        <f t="shared" si="152"/>
        <v>70000</v>
      </c>
      <c r="F525" s="226">
        <f t="shared" si="152"/>
        <v>125000</v>
      </c>
      <c r="G525" s="226">
        <f>G502+G521</f>
        <v>109333.3333</v>
      </c>
      <c r="H525" s="226" t="str">
        <f>H482</f>
        <v/>
      </c>
      <c r="I525" s="226">
        <f>I502</f>
        <v>75000</v>
      </c>
      <c r="J525" s="226">
        <f>J510+J523</f>
        <v>0</v>
      </c>
      <c r="K525" s="206">
        <f>SUM(B525:J525)</f>
        <v>694333.3333</v>
      </c>
    </row>
    <row r="526">
      <c r="A526" s="126" t="s">
        <v>0</v>
      </c>
      <c r="B526" s="127" t="s">
        <v>90</v>
      </c>
      <c r="C526" s="127" t="s">
        <v>3</v>
      </c>
      <c r="D526" s="183" t="s">
        <v>109</v>
      </c>
      <c r="E526" s="183" t="s">
        <v>155</v>
      </c>
      <c r="F526" s="183" t="s">
        <v>195</v>
      </c>
      <c r="G526" s="129" t="s">
        <v>305</v>
      </c>
      <c r="H526" s="129"/>
      <c r="I526" s="129" t="s">
        <v>244</v>
      </c>
      <c r="J526" s="129"/>
      <c r="K526" s="128" t="s">
        <v>110</v>
      </c>
    </row>
    <row r="527">
      <c r="A527" s="264"/>
      <c r="B527" s="265" t="s">
        <v>326</v>
      </c>
      <c r="C527" s="265" t="s">
        <v>326</v>
      </c>
      <c r="D527" s="265" t="s">
        <v>326</v>
      </c>
      <c r="E527" s="265" t="s">
        <v>375</v>
      </c>
      <c r="F527" s="265" t="s">
        <v>326</v>
      </c>
      <c r="G527" s="266" t="s">
        <v>380</v>
      </c>
      <c r="H527" s="267"/>
      <c r="I527" s="267" t="s">
        <v>375</v>
      </c>
      <c r="J527" s="267"/>
      <c r="K527" s="264"/>
    </row>
    <row r="528">
      <c r="A528" s="264"/>
      <c r="B528" s="268"/>
      <c r="C528" s="268"/>
      <c r="D528" s="265"/>
      <c r="E528" s="265"/>
      <c r="F528" s="265"/>
      <c r="G528" s="266" t="s">
        <v>381</v>
      </c>
      <c r="H528" s="267"/>
      <c r="I528" s="267"/>
      <c r="J528" s="267"/>
      <c r="K528" s="264"/>
    </row>
    <row r="529">
      <c r="A529" s="195" t="s">
        <v>382</v>
      </c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7"/>
    </row>
    <row r="530">
      <c r="A530" s="200" t="s">
        <v>288</v>
      </c>
      <c r="B530" s="222"/>
      <c r="C530" s="221"/>
      <c r="D530" s="199"/>
      <c r="E530" s="199"/>
      <c r="F530" s="221"/>
      <c r="G530" s="199"/>
      <c r="H530" s="221"/>
      <c r="I530" s="199"/>
      <c r="J530" s="221"/>
      <c r="K530" s="202"/>
    </row>
    <row r="531">
      <c r="A531" s="198" t="s">
        <v>40</v>
      </c>
      <c r="B531" s="221">
        <v>20000.0</v>
      </c>
      <c r="C531" s="221">
        <v>20000.0</v>
      </c>
      <c r="D531" s="221">
        <v>20000.0</v>
      </c>
      <c r="E531" s="221"/>
      <c r="F531" s="199"/>
      <c r="G531" s="221">
        <f>12*G507</f>
        <v>20500</v>
      </c>
      <c r="H531" s="199"/>
      <c r="I531" s="199">
        <f>2.5*I507</f>
        <v>4464.285714</v>
      </c>
      <c r="J531" s="199"/>
      <c r="K531" s="251"/>
      <c r="L531" s="125"/>
    </row>
    <row r="532">
      <c r="A532" s="200" t="s">
        <v>119</v>
      </c>
      <c r="B532" s="211"/>
      <c r="C532" s="222"/>
      <c r="D532" s="211"/>
      <c r="E532" s="222"/>
      <c r="F532" s="221"/>
      <c r="G532" s="221"/>
      <c r="H532" s="221"/>
      <c r="I532" s="221"/>
      <c r="J532" s="211"/>
      <c r="K532" s="252"/>
      <c r="L532" s="253"/>
    </row>
    <row r="533">
      <c r="A533" s="200" t="s">
        <v>141</v>
      </c>
      <c r="B533" s="255"/>
      <c r="C533" s="255"/>
      <c r="D533" s="255"/>
      <c r="E533" s="256"/>
      <c r="F533" s="255"/>
      <c r="G533" s="255"/>
      <c r="H533" s="255"/>
      <c r="I533" s="255"/>
      <c r="J533" s="255"/>
      <c r="K533" s="257"/>
      <c r="L533" s="125"/>
    </row>
    <row r="534">
      <c r="A534" s="200" t="s">
        <v>345</v>
      </c>
      <c r="B534" s="255"/>
      <c r="C534" s="255"/>
      <c r="D534" s="255"/>
      <c r="E534" s="255"/>
      <c r="F534" s="255"/>
      <c r="G534" s="255"/>
      <c r="H534" s="255"/>
      <c r="I534" s="255"/>
      <c r="J534" s="255"/>
      <c r="K534" s="257"/>
      <c r="L534" s="125"/>
    </row>
    <row r="535">
      <c r="A535" s="205" t="s">
        <v>118</v>
      </c>
      <c r="B535" s="226">
        <f>B505+B531</f>
        <v>105000</v>
      </c>
      <c r="C535" s="226">
        <f>C502+C531</f>
        <v>120000</v>
      </c>
      <c r="D535" s="226">
        <f>D505+D531</f>
        <v>150000</v>
      </c>
      <c r="E535" s="226">
        <f>E502</f>
        <v>70000</v>
      </c>
      <c r="F535" s="226">
        <f>F505</f>
        <v>125000</v>
      </c>
      <c r="G535" s="226">
        <f>G505+G531</f>
        <v>102500</v>
      </c>
      <c r="H535" s="226" t="str">
        <f>H492</f>
        <v/>
      </c>
      <c r="I535" s="226">
        <f>I502+I531</f>
        <v>79464.28571</v>
      </c>
      <c r="J535" s="226">
        <f>J520+J533</f>
        <v>0</v>
      </c>
      <c r="K535" s="206">
        <f>SUM(B535:J535)</f>
        <v>751964.2857</v>
      </c>
    </row>
    <row r="536">
      <c r="A536" s="126" t="s">
        <v>0</v>
      </c>
      <c r="B536" s="127" t="s">
        <v>90</v>
      </c>
      <c r="C536" s="127" t="s">
        <v>3</v>
      </c>
      <c r="D536" s="183" t="s">
        <v>109</v>
      </c>
      <c r="E536" s="183" t="s">
        <v>155</v>
      </c>
      <c r="F536" s="183" t="s">
        <v>195</v>
      </c>
      <c r="G536" s="129" t="s">
        <v>305</v>
      </c>
      <c r="H536" s="129"/>
      <c r="I536" s="129" t="s">
        <v>244</v>
      </c>
      <c r="J536" s="129"/>
      <c r="K536" s="128" t="s">
        <v>110</v>
      </c>
    </row>
    <row r="537">
      <c r="A537" s="269"/>
      <c r="B537" s="270" t="s">
        <v>383</v>
      </c>
      <c r="C537" s="270" t="s">
        <v>384</v>
      </c>
      <c r="D537" s="270" t="s">
        <v>326</v>
      </c>
      <c r="E537" s="270"/>
      <c r="F537" s="270" t="s">
        <v>326</v>
      </c>
      <c r="G537" s="271" t="s">
        <v>385</v>
      </c>
      <c r="H537" s="271"/>
      <c r="I537" s="271"/>
      <c r="J537" s="271"/>
      <c r="K537" s="272"/>
    </row>
    <row r="538">
      <c r="A538" s="269"/>
      <c r="B538" s="270" t="s">
        <v>386</v>
      </c>
      <c r="C538" s="270" t="s">
        <v>387</v>
      </c>
      <c r="D538" s="270"/>
      <c r="E538" s="270"/>
      <c r="F538" s="270"/>
      <c r="G538" s="271" t="s">
        <v>388</v>
      </c>
      <c r="H538" s="271"/>
      <c r="I538" s="271"/>
      <c r="J538" s="271"/>
      <c r="K538" s="272"/>
    </row>
    <row r="539">
      <c r="A539" s="272"/>
      <c r="B539" s="273"/>
      <c r="C539" s="273"/>
      <c r="D539" s="274"/>
      <c r="E539" s="274"/>
      <c r="F539" s="274"/>
      <c r="G539" s="247"/>
      <c r="H539" s="247"/>
      <c r="I539" s="247"/>
      <c r="J539" s="247"/>
      <c r="K539" s="272"/>
    </row>
    <row r="540">
      <c r="A540" s="195" t="s">
        <v>389</v>
      </c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7"/>
    </row>
    <row r="541">
      <c r="A541" s="200" t="s">
        <v>288</v>
      </c>
      <c r="B541" s="222"/>
      <c r="C541" s="221"/>
      <c r="D541" s="199"/>
      <c r="E541" s="199"/>
      <c r="F541" s="221"/>
      <c r="G541" s="199"/>
      <c r="H541" s="221"/>
      <c r="I541" s="199"/>
      <c r="J541" s="221"/>
      <c r="K541" s="202"/>
    </row>
    <row r="542">
      <c r="A542" s="198" t="s">
        <v>40</v>
      </c>
      <c r="B542" s="221">
        <v>10000.0</v>
      </c>
      <c r="C542" s="221">
        <v>10000.0</v>
      </c>
      <c r="D542" s="221">
        <v>10000.0</v>
      </c>
      <c r="E542" s="221">
        <f>2*E507</f>
        <v>2916.666667</v>
      </c>
      <c r="F542" s="199"/>
      <c r="G542" s="211">
        <f>G507</f>
        <v>1708.333333</v>
      </c>
      <c r="H542" s="199"/>
      <c r="I542" s="199">
        <f>2.5*I518</f>
        <v>0</v>
      </c>
      <c r="J542" s="199"/>
      <c r="K542" s="251"/>
      <c r="L542" s="125"/>
    </row>
    <row r="543">
      <c r="A543" s="200" t="s">
        <v>119</v>
      </c>
      <c r="B543" s="211"/>
      <c r="C543" s="222"/>
      <c r="D543" s="211"/>
      <c r="E543" s="222"/>
      <c r="F543" s="221"/>
      <c r="G543" s="221"/>
      <c r="H543" s="221"/>
      <c r="I543" s="221"/>
      <c r="J543" s="211"/>
      <c r="K543" s="252"/>
      <c r="L543" s="253"/>
    </row>
    <row r="544">
      <c r="A544" s="200" t="s">
        <v>141</v>
      </c>
      <c r="B544" s="255">
        <f t="shared" ref="B544:C544" si="153">8*B507</f>
        <v>14166.66667</v>
      </c>
      <c r="C544" s="255">
        <f t="shared" si="153"/>
        <v>16666.66667</v>
      </c>
      <c r="D544" s="255"/>
      <c r="E544" s="256">
        <f>8*E507</f>
        <v>11666.66667</v>
      </c>
      <c r="F544" s="255"/>
      <c r="G544" s="255">
        <f>8*G507</f>
        <v>13666.66667</v>
      </c>
      <c r="H544" s="255"/>
      <c r="I544" s="255">
        <f>I507*8</f>
        <v>14285.71429</v>
      </c>
      <c r="J544" s="255"/>
      <c r="K544" s="257"/>
      <c r="L544" s="125"/>
    </row>
    <row r="545">
      <c r="A545" s="200" t="s">
        <v>345</v>
      </c>
      <c r="B545" s="255"/>
      <c r="C545" s="255"/>
      <c r="D545" s="255"/>
      <c r="E545" s="255"/>
      <c r="F545" s="255"/>
      <c r="G545" s="255"/>
      <c r="H545" s="255"/>
      <c r="I545" s="255"/>
      <c r="J545" s="255"/>
      <c r="K545" s="257"/>
      <c r="L545" s="125"/>
    </row>
    <row r="546">
      <c r="A546" s="205" t="s">
        <v>118</v>
      </c>
      <c r="B546" s="226">
        <f>B505+B542+B544</f>
        <v>109166.6667</v>
      </c>
      <c r="C546" s="226">
        <f>C502+C542+C544</f>
        <v>126666.6667</v>
      </c>
      <c r="D546" s="226">
        <f>D502+D542</f>
        <v>140000</v>
      </c>
      <c r="E546" s="226">
        <f>E502+E544+E542</f>
        <v>84583.33333</v>
      </c>
      <c r="F546" s="226">
        <f>F503</f>
        <v>125000</v>
      </c>
      <c r="G546" s="238">
        <f>G503+G544+G542</f>
        <v>97375</v>
      </c>
      <c r="H546" s="226">
        <v>60000.0</v>
      </c>
      <c r="I546" s="226">
        <f>I504+I544</f>
        <v>89285.71429</v>
      </c>
      <c r="J546" s="226">
        <f>J531+J544</f>
        <v>0</v>
      </c>
      <c r="K546" s="206">
        <f>SUM(B546:J546)</f>
        <v>832077.381</v>
      </c>
    </row>
    <row r="547">
      <c r="A547" s="126" t="s">
        <v>0</v>
      </c>
      <c r="B547" s="127" t="s">
        <v>90</v>
      </c>
      <c r="C547" s="127" t="s">
        <v>3</v>
      </c>
      <c r="D547" s="183" t="s">
        <v>109</v>
      </c>
      <c r="E547" s="183" t="s">
        <v>155</v>
      </c>
      <c r="F547" s="183" t="s">
        <v>195</v>
      </c>
      <c r="G547" s="129" t="s">
        <v>305</v>
      </c>
      <c r="H547" s="129" t="s">
        <v>390</v>
      </c>
      <c r="I547" s="129" t="s">
        <v>244</v>
      </c>
      <c r="J547" s="129"/>
      <c r="K547" s="128" t="s">
        <v>110</v>
      </c>
    </row>
    <row r="548">
      <c r="A548" s="272"/>
      <c r="B548" s="274" t="s">
        <v>326</v>
      </c>
      <c r="C548" s="274" t="s">
        <v>326</v>
      </c>
      <c r="D548" s="274" t="s">
        <v>326</v>
      </c>
      <c r="E548" s="274"/>
      <c r="F548" s="274" t="s">
        <v>326</v>
      </c>
      <c r="G548" s="247" t="s">
        <v>326</v>
      </c>
      <c r="H548" s="247"/>
      <c r="I548" s="247"/>
      <c r="J548" s="247"/>
      <c r="K548" s="272"/>
    </row>
    <row r="549">
      <c r="A549" s="272"/>
      <c r="B549" s="273"/>
      <c r="C549" s="273"/>
      <c r="D549" s="274"/>
      <c r="E549" s="274"/>
      <c r="F549" s="274"/>
      <c r="G549" s="247"/>
      <c r="H549" s="247"/>
      <c r="I549" s="247"/>
      <c r="J549" s="247"/>
      <c r="K549" s="272"/>
    </row>
    <row r="550">
      <c r="A550" s="195" t="s">
        <v>391</v>
      </c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7"/>
    </row>
    <row r="551">
      <c r="A551" s="200" t="s">
        <v>288</v>
      </c>
      <c r="B551" s="222"/>
      <c r="C551" s="221"/>
      <c r="D551" s="199"/>
      <c r="E551" s="199"/>
      <c r="F551" s="221"/>
      <c r="G551" s="199"/>
      <c r="H551" s="221"/>
      <c r="I551" s="199"/>
      <c r="J551" s="221"/>
      <c r="K551" s="202"/>
    </row>
    <row r="552">
      <c r="A552" s="198" t="s">
        <v>40</v>
      </c>
      <c r="B552" s="221"/>
      <c r="C552" s="221"/>
      <c r="D552" s="221">
        <f>8*D507</f>
        <v>21666.66667</v>
      </c>
      <c r="E552" s="221"/>
      <c r="F552" s="199"/>
      <c r="G552" s="221"/>
      <c r="H552" s="199"/>
      <c r="I552" s="255">
        <f>I507*8</f>
        <v>14285.71429</v>
      </c>
      <c r="J552" s="199"/>
      <c r="K552" s="251"/>
      <c r="L552" s="125"/>
    </row>
    <row r="553">
      <c r="A553" s="200" t="s">
        <v>119</v>
      </c>
      <c r="B553" s="211"/>
      <c r="C553" s="222"/>
      <c r="D553" s="211"/>
      <c r="E553" s="222"/>
      <c r="F553" s="221"/>
      <c r="G553" s="221"/>
      <c r="H553" s="221"/>
      <c r="I553" s="221"/>
      <c r="J553" s="211"/>
      <c r="K553" s="252"/>
      <c r="L553" s="253"/>
    </row>
    <row r="554">
      <c r="A554" s="200" t="s">
        <v>141</v>
      </c>
      <c r="B554" s="255"/>
      <c r="C554" s="255"/>
      <c r="D554" s="255"/>
      <c r="E554" s="256"/>
      <c r="F554" s="255"/>
      <c r="G554" s="255"/>
      <c r="H554" s="255"/>
      <c r="I554" s="255"/>
      <c r="J554" s="255"/>
      <c r="K554" s="257"/>
      <c r="L554" s="125"/>
    </row>
    <row r="555">
      <c r="A555" s="200" t="s">
        <v>345</v>
      </c>
      <c r="B555" s="255"/>
      <c r="C555" s="255"/>
      <c r="D555" s="255"/>
      <c r="E555" s="255"/>
      <c r="F555" s="255"/>
      <c r="G555" s="255"/>
      <c r="H555" s="255"/>
      <c r="I555" s="255"/>
      <c r="J555" s="255"/>
      <c r="K555" s="257"/>
      <c r="L555" s="125"/>
    </row>
    <row r="556">
      <c r="A556" s="205" t="s">
        <v>118</v>
      </c>
      <c r="B556" s="226">
        <f t="shared" ref="B556:G556" si="154">B503</f>
        <v>85000</v>
      </c>
      <c r="C556" s="226">
        <f t="shared" si="154"/>
        <v>100000</v>
      </c>
      <c r="D556" s="226">
        <f t="shared" si="154"/>
        <v>130000</v>
      </c>
      <c r="E556" s="226">
        <f t="shared" si="154"/>
        <v>70000</v>
      </c>
      <c r="F556" s="226">
        <f t="shared" si="154"/>
        <v>125000</v>
      </c>
      <c r="G556" s="226">
        <f t="shared" si="154"/>
        <v>82000</v>
      </c>
      <c r="H556" s="226">
        <v>60000.0</v>
      </c>
      <c r="I556" s="226">
        <f>I503+I552</f>
        <v>89285.71429</v>
      </c>
      <c r="J556" s="226">
        <f>J541+J554</f>
        <v>0</v>
      </c>
      <c r="K556" s="206">
        <f>SUM(B556:J556)</f>
        <v>741285.7143</v>
      </c>
    </row>
    <row r="557">
      <c r="A557" s="126" t="s">
        <v>0</v>
      </c>
      <c r="B557" s="127" t="s">
        <v>90</v>
      </c>
      <c r="C557" s="127" t="s">
        <v>3</v>
      </c>
      <c r="D557" s="183" t="s">
        <v>109</v>
      </c>
      <c r="E557" s="183" t="s">
        <v>155</v>
      </c>
      <c r="F557" s="183" t="s">
        <v>195</v>
      </c>
      <c r="G557" s="129" t="s">
        <v>305</v>
      </c>
      <c r="H557" s="129" t="s">
        <v>390</v>
      </c>
      <c r="I557" s="129" t="s">
        <v>244</v>
      </c>
      <c r="J557" s="129"/>
      <c r="K557" s="128" t="s">
        <v>110</v>
      </c>
    </row>
    <row r="558">
      <c r="A558" s="272"/>
      <c r="B558" s="274" t="s">
        <v>351</v>
      </c>
      <c r="C558" s="274" t="s">
        <v>392</v>
      </c>
      <c r="D558" s="274" t="s">
        <v>392</v>
      </c>
      <c r="E558" s="274" t="s">
        <v>351</v>
      </c>
      <c r="F558" s="274" t="s">
        <v>392</v>
      </c>
      <c r="G558" s="247" t="s">
        <v>392</v>
      </c>
      <c r="H558" s="247" t="s">
        <v>351</v>
      </c>
      <c r="I558" s="247" t="s">
        <v>351</v>
      </c>
      <c r="J558" s="247"/>
      <c r="K558" s="272"/>
    </row>
    <row r="559">
      <c r="A559" s="272"/>
      <c r="B559" s="273"/>
      <c r="C559" s="273"/>
      <c r="D559" s="275" t="s">
        <v>393</v>
      </c>
      <c r="E559" s="274"/>
      <c r="F559" s="274"/>
      <c r="G559" s="247"/>
      <c r="H559" s="247"/>
      <c r="I559" s="247"/>
      <c r="J559" s="247"/>
      <c r="K559" s="272"/>
    </row>
    <row r="560">
      <c r="A560" s="272"/>
      <c r="B560" s="273"/>
      <c r="C560" s="273"/>
      <c r="D560" s="274"/>
      <c r="E560" s="274"/>
      <c r="F560" s="274"/>
      <c r="G560" s="247"/>
      <c r="H560" s="247"/>
      <c r="I560" s="247"/>
      <c r="J560" s="247"/>
      <c r="K560" s="272"/>
    </row>
    <row r="561">
      <c r="A561" s="130" t="s">
        <v>52</v>
      </c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2"/>
    </row>
    <row r="562">
      <c r="A562" s="126" t="s">
        <v>0</v>
      </c>
      <c r="B562" s="127" t="s">
        <v>90</v>
      </c>
      <c r="C562" s="127" t="s">
        <v>3</v>
      </c>
      <c r="D562" s="183" t="s">
        <v>109</v>
      </c>
      <c r="E562" s="183" t="s">
        <v>155</v>
      </c>
      <c r="F562" s="183" t="s">
        <v>195</v>
      </c>
      <c r="G562" s="129" t="s">
        <v>305</v>
      </c>
      <c r="H562" s="129" t="s">
        <v>394</v>
      </c>
      <c r="I562" s="129" t="s">
        <v>244</v>
      </c>
      <c r="J562" s="129"/>
      <c r="K562" s="128"/>
    </row>
    <row r="563">
      <c r="A563" s="133" t="s">
        <v>111</v>
      </c>
      <c r="B563" s="134">
        <v>85000.0</v>
      </c>
      <c r="C563" s="134">
        <v>100000.0</v>
      </c>
      <c r="D563" s="134">
        <v>130000.0</v>
      </c>
      <c r="E563" s="134">
        <v>70000.0</v>
      </c>
      <c r="F563" s="134">
        <v>175000.0</v>
      </c>
      <c r="G563" s="134">
        <v>82000.0</v>
      </c>
      <c r="H563" s="134">
        <v>60000.0</v>
      </c>
      <c r="I563" s="134">
        <v>75000.0</v>
      </c>
      <c r="J563" s="134"/>
    </row>
    <row r="564">
      <c r="A564" s="137"/>
      <c r="B564" s="134">
        <v>85000.0</v>
      </c>
      <c r="C564" s="134">
        <v>100000.0</v>
      </c>
      <c r="D564" s="134">
        <v>130000.0</v>
      </c>
      <c r="E564" s="134">
        <v>70000.0</v>
      </c>
      <c r="F564" s="134">
        <v>175000.0</v>
      </c>
      <c r="G564" s="134">
        <v>82000.0</v>
      </c>
      <c r="H564" s="134">
        <v>60000.0</v>
      </c>
      <c r="I564" s="134">
        <v>75000.0</v>
      </c>
      <c r="J564" s="134"/>
      <c r="M564" s="91"/>
    </row>
    <row r="565">
      <c r="A565" s="137"/>
      <c r="B565" s="134">
        <v>85000.0</v>
      </c>
      <c r="C565" s="134">
        <v>100000.0</v>
      </c>
      <c r="D565" s="134">
        <v>130000.0</v>
      </c>
      <c r="E565" s="134">
        <v>70000.0</v>
      </c>
      <c r="F565" s="134">
        <v>175000.0</v>
      </c>
      <c r="G565" s="134">
        <v>82000.0</v>
      </c>
      <c r="H565" s="134">
        <v>60000.0</v>
      </c>
      <c r="I565" s="134">
        <v>75000.0</v>
      </c>
      <c r="J565" s="134"/>
    </row>
    <row r="566">
      <c r="A566" s="138"/>
      <c r="B566" s="134">
        <v>85000.0</v>
      </c>
      <c r="C566" s="134">
        <v>100000.0</v>
      </c>
      <c r="D566" s="134">
        <v>130000.0</v>
      </c>
      <c r="E566" s="134">
        <v>70000.0</v>
      </c>
      <c r="F566" s="134">
        <v>175000.0</v>
      </c>
      <c r="G566" s="134">
        <v>82000.0</v>
      </c>
      <c r="H566" s="134">
        <v>60000.0</v>
      </c>
      <c r="I566" s="134">
        <v>75000.0</v>
      </c>
      <c r="J566" s="134"/>
    </row>
    <row r="567">
      <c r="A567" s="140" t="s">
        <v>113</v>
      </c>
      <c r="B567" s="141">
        <f t="shared" ref="B567:J567" si="155">SUM(B563:B566)</f>
        <v>340000</v>
      </c>
      <c r="C567" s="141">
        <f t="shared" si="155"/>
        <v>400000</v>
      </c>
      <c r="D567" s="141">
        <f t="shared" si="155"/>
        <v>520000</v>
      </c>
      <c r="E567" s="141">
        <f t="shared" si="155"/>
        <v>280000</v>
      </c>
      <c r="F567" s="141">
        <f t="shared" si="155"/>
        <v>700000</v>
      </c>
      <c r="G567" s="141">
        <f t="shared" si="155"/>
        <v>328000</v>
      </c>
      <c r="H567" s="141">
        <f t="shared" si="155"/>
        <v>240000</v>
      </c>
      <c r="I567" s="141">
        <f t="shared" si="155"/>
        <v>300000</v>
      </c>
      <c r="J567" s="141">
        <f t="shared" si="155"/>
        <v>0</v>
      </c>
    </row>
    <row r="568">
      <c r="A568" s="260" t="s">
        <v>138</v>
      </c>
      <c r="B568" s="261">
        <f>B564/6/8</f>
        <v>1770.833333</v>
      </c>
      <c r="C568" s="261">
        <f>C563/8/6</f>
        <v>2083.333333</v>
      </c>
      <c r="D568" s="261">
        <f t="shared" ref="D568:F568" si="156">D563/6/8</f>
        <v>2708.333333</v>
      </c>
      <c r="E568" s="261">
        <f t="shared" si="156"/>
        <v>1458.333333</v>
      </c>
      <c r="F568" s="261">
        <f t="shared" si="156"/>
        <v>3645.833333</v>
      </c>
      <c r="G568" s="261">
        <f>G564/6/8</f>
        <v>1708.333333</v>
      </c>
      <c r="H568" s="261">
        <f>H563/8/6</f>
        <v>1250</v>
      </c>
      <c r="I568" s="261">
        <f>I563/6/7</f>
        <v>1785.714286</v>
      </c>
      <c r="J568" s="262">
        <f>J563/6/8</f>
        <v>0</v>
      </c>
      <c r="K568" s="262"/>
      <c r="L568" s="263"/>
      <c r="M568" s="174"/>
      <c r="N568" s="174"/>
      <c r="O568" s="174"/>
    </row>
    <row r="569">
      <c r="A569" s="272"/>
      <c r="B569" s="273"/>
      <c r="C569" s="273"/>
      <c r="D569" s="274"/>
      <c r="E569" s="274"/>
      <c r="F569" s="274"/>
      <c r="G569" s="247"/>
      <c r="H569" s="247"/>
      <c r="I569" s="247"/>
      <c r="J569" s="247"/>
      <c r="K569" s="272"/>
    </row>
    <row r="570">
      <c r="A570" s="195" t="s">
        <v>395</v>
      </c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7"/>
    </row>
    <row r="571">
      <c r="A571" s="200" t="s">
        <v>288</v>
      </c>
      <c r="B571" s="222"/>
      <c r="C571" s="221"/>
      <c r="D571" s="199"/>
      <c r="E571" s="199"/>
      <c r="F571" s="221"/>
      <c r="G571" s="199"/>
      <c r="H571" s="221"/>
      <c r="I571" s="199"/>
      <c r="J571" s="221"/>
      <c r="K571" s="202"/>
    </row>
    <row r="572">
      <c r="A572" s="198" t="s">
        <v>40</v>
      </c>
      <c r="B572" s="221"/>
      <c r="C572" s="221"/>
      <c r="D572" s="221"/>
      <c r="E572" s="221"/>
      <c r="F572" s="199"/>
      <c r="G572" s="221">
        <f>3*G568</f>
        <v>5125</v>
      </c>
      <c r="H572" s="199"/>
      <c r="I572" s="255"/>
      <c r="J572" s="199"/>
      <c r="K572" s="251"/>
      <c r="L572" s="125"/>
    </row>
    <row r="573">
      <c r="A573" s="200" t="s">
        <v>119</v>
      </c>
      <c r="B573" s="211"/>
      <c r="C573" s="222"/>
      <c r="D573" s="211"/>
      <c r="E573" s="222"/>
      <c r="F573" s="221"/>
      <c r="G573" s="221"/>
      <c r="H573" s="221"/>
      <c r="I573" s="221"/>
      <c r="J573" s="211"/>
      <c r="K573" s="252"/>
      <c r="L573" s="253"/>
    </row>
    <row r="574">
      <c r="A574" s="200" t="s">
        <v>141</v>
      </c>
      <c r="B574" s="255"/>
      <c r="C574" s="255"/>
      <c r="D574" s="255"/>
      <c r="E574" s="256"/>
      <c r="F574" s="255"/>
      <c r="G574" s="255"/>
      <c r="H574" s="255"/>
      <c r="I574" s="255"/>
      <c r="J574" s="255"/>
      <c r="K574" s="257"/>
      <c r="L574" s="125"/>
    </row>
    <row r="575">
      <c r="A575" s="200" t="s">
        <v>345</v>
      </c>
      <c r="B575" s="255"/>
      <c r="C575" s="255"/>
      <c r="D575" s="255"/>
      <c r="E575" s="255"/>
      <c r="F575" s="255"/>
      <c r="G575" s="255"/>
      <c r="H575" s="255"/>
      <c r="I575" s="255"/>
      <c r="J575" s="255"/>
      <c r="K575" s="257"/>
      <c r="L575" s="125"/>
    </row>
    <row r="576">
      <c r="A576" s="205" t="s">
        <v>118</v>
      </c>
      <c r="B576" s="226">
        <f t="shared" ref="B576:F576" si="157">B563</f>
        <v>85000</v>
      </c>
      <c r="C576" s="226">
        <f t="shared" si="157"/>
        <v>100000</v>
      </c>
      <c r="D576" s="226">
        <f t="shared" si="157"/>
        <v>130000</v>
      </c>
      <c r="E576" s="226">
        <f t="shared" si="157"/>
        <v>70000</v>
      </c>
      <c r="F576" s="226">
        <f t="shared" si="157"/>
        <v>175000</v>
      </c>
      <c r="G576" s="226">
        <f>G563+G572</f>
        <v>87125</v>
      </c>
      <c r="H576" s="226">
        <f t="shared" ref="H576:I576" si="158">H563</f>
        <v>60000</v>
      </c>
      <c r="I576" s="226">
        <f t="shared" si="158"/>
        <v>75000</v>
      </c>
      <c r="J576" s="226">
        <f>J561+J574</f>
        <v>0</v>
      </c>
      <c r="K576" s="206">
        <f>SUM(B576:J576)</f>
        <v>782125</v>
      </c>
    </row>
    <row r="577">
      <c r="A577" s="126" t="s">
        <v>0</v>
      </c>
      <c r="B577" s="127" t="s">
        <v>90</v>
      </c>
      <c r="C577" s="127" t="s">
        <v>3</v>
      </c>
      <c r="D577" s="183" t="s">
        <v>109</v>
      </c>
      <c r="E577" s="183" t="s">
        <v>155</v>
      </c>
      <c r="F577" s="183" t="s">
        <v>195</v>
      </c>
      <c r="G577" s="129" t="s">
        <v>305</v>
      </c>
      <c r="H577" s="129" t="s">
        <v>394</v>
      </c>
      <c r="I577" s="129" t="s">
        <v>244</v>
      </c>
      <c r="J577" s="129"/>
      <c r="K577" s="128" t="s">
        <v>110</v>
      </c>
    </row>
    <row r="578">
      <c r="A578" s="276"/>
      <c r="B578" s="277"/>
      <c r="C578" s="277"/>
      <c r="D578" s="278" t="s">
        <v>21</v>
      </c>
      <c r="E578" s="278"/>
      <c r="F578" s="278" t="s">
        <v>21</v>
      </c>
      <c r="G578" s="279" t="s">
        <v>21</v>
      </c>
      <c r="H578" s="279"/>
      <c r="I578" s="279"/>
      <c r="J578" s="279"/>
      <c r="K578" s="276"/>
    </row>
    <row r="579">
      <c r="A579" s="272"/>
      <c r="B579" s="273"/>
      <c r="C579" s="273"/>
      <c r="D579" s="274"/>
      <c r="E579" s="274"/>
      <c r="F579" s="274"/>
      <c r="G579" s="247"/>
      <c r="H579" s="247"/>
      <c r="I579" s="247"/>
      <c r="J579" s="247"/>
      <c r="K579" s="272"/>
    </row>
    <row r="580">
      <c r="A580" s="195" t="s">
        <v>396</v>
      </c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7"/>
    </row>
    <row r="581">
      <c r="A581" s="200" t="s">
        <v>288</v>
      </c>
      <c r="B581" s="222"/>
      <c r="C581" s="221"/>
      <c r="D581" s="199"/>
      <c r="E581" s="199"/>
      <c r="F581" s="221"/>
      <c r="G581" s="199"/>
      <c r="H581" s="221"/>
      <c r="I581" s="199"/>
      <c r="J581" s="221"/>
      <c r="K581" s="202"/>
    </row>
    <row r="582">
      <c r="A582" s="198" t="s">
        <v>40</v>
      </c>
      <c r="B582" s="221"/>
      <c r="C582" s="221"/>
      <c r="D582" s="221"/>
      <c r="E582" s="221"/>
      <c r="F582" s="199"/>
      <c r="G582" s="221"/>
      <c r="H582" s="199"/>
      <c r="I582" s="255"/>
      <c r="J582" s="199"/>
      <c r="K582" s="251"/>
      <c r="L582" s="125"/>
    </row>
    <row r="583">
      <c r="A583" s="200" t="s">
        <v>119</v>
      </c>
      <c r="B583" s="211"/>
      <c r="C583" s="222"/>
      <c r="D583" s="211"/>
      <c r="E583" s="222"/>
      <c r="F583" s="221"/>
      <c r="G583" s="221"/>
      <c r="H583" s="221"/>
      <c r="I583" s="221"/>
      <c r="J583" s="211"/>
      <c r="K583" s="252"/>
      <c r="L583" s="253"/>
    </row>
    <row r="584">
      <c r="A584" s="200" t="s">
        <v>141</v>
      </c>
      <c r="B584" s="255"/>
      <c r="C584" s="255"/>
      <c r="D584" s="255"/>
      <c r="E584" s="256"/>
      <c r="F584" s="255"/>
      <c r="G584" s="255"/>
      <c r="H584" s="255"/>
      <c r="I584" s="255"/>
      <c r="J584" s="255"/>
      <c r="K584" s="257"/>
      <c r="L584" s="125"/>
    </row>
    <row r="585">
      <c r="A585" s="200" t="s">
        <v>345</v>
      </c>
      <c r="B585" s="255"/>
      <c r="C585" s="255"/>
      <c r="D585" s="255"/>
      <c r="E585" s="255"/>
      <c r="F585" s="255"/>
      <c r="G585" s="255"/>
      <c r="H585" s="255"/>
      <c r="I585" s="255"/>
      <c r="J585" s="255"/>
      <c r="K585" s="257"/>
      <c r="L585" s="125"/>
    </row>
    <row r="586">
      <c r="A586" s="205" t="s">
        <v>118</v>
      </c>
      <c r="B586" s="226">
        <f t="shared" ref="B586:I586" si="159">B566</f>
        <v>85000</v>
      </c>
      <c r="C586" s="226">
        <f t="shared" si="159"/>
        <v>100000</v>
      </c>
      <c r="D586" s="226">
        <f t="shared" si="159"/>
        <v>130000</v>
      </c>
      <c r="E586" s="226">
        <f t="shared" si="159"/>
        <v>70000</v>
      </c>
      <c r="F586" s="226">
        <f t="shared" si="159"/>
        <v>175000</v>
      </c>
      <c r="G586" s="226">
        <f t="shared" si="159"/>
        <v>82000</v>
      </c>
      <c r="H586" s="226">
        <f t="shared" si="159"/>
        <v>60000</v>
      </c>
      <c r="I586" s="226">
        <f t="shared" si="159"/>
        <v>75000</v>
      </c>
      <c r="J586" s="226">
        <f>J571+J584</f>
        <v>0</v>
      </c>
      <c r="K586" s="206">
        <f>SUM(B586:J586)</f>
        <v>777000</v>
      </c>
    </row>
    <row r="587">
      <c r="A587" s="126" t="s">
        <v>0</v>
      </c>
      <c r="B587" s="127" t="s">
        <v>90</v>
      </c>
      <c r="C587" s="127" t="s">
        <v>3</v>
      </c>
      <c r="D587" s="183" t="s">
        <v>109</v>
      </c>
      <c r="E587" s="183" t="s">
        <v>155</v>
      </c>
      <c r="F587" s="183" t="s">
        <v>195</v>
      </c>
      <c r="G587" s="129" t="s">
        <v>305</v>
      </c>
      <c r="H587" s="129" t="s">
        <v>394</v>
      </c>
      <c r="I587" s="129" t="s">
        <v>244</v>
      </c>
      <c r="J587" s="129"/>
      <c r="K587" s="128" t="s">
        <v>110</v>
      </c>
    </row>
    <row r="588">
      <c r="A588" s="243"/>
      <c r="B588" s="280" t="s">
        <v>326</v>
      </c>
      <c r="C588" s="280" t="s">
        <v>326</v>
      </c>
      <c r="D588" s="280" t="s">
        <v>326</v>
      </c>
      <c r="E588" s="280"/>
      <c r="F588" s="280" t="s">
        <v>326</v>
      </c>
      <c r="G588" s="248" t="s">
        <v>326</v>
      </c>
      <c r="H588" s="248"/>
      <c r="I588" s="248"/>
      <c r="J588" s="248"/>
      <c r="K588" s="272"/>
    </row>
    <row r="589">
      <c r="A589" s="272"/>
      <c r="B589" s="273"/>
      <c r="C589" s="273"/>
      <c r="D589" s="274"/>
      <c r="E589" s="274"/>
      <c r="F589" s="274"/>
      <c r="G589" s="247"/>
      <c r="H589" s="247"/>
      <c r="I589" s="247"/>
      <c r="J589" s="247"/>
      <c r="K589" s="272"/>
    </row>
    <row r="590">
      <c r="A590" s="195" t="s">
        <v>397</v>
      </c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7"/>
    </row>
    <row r="591">
      <c r="A591" s="200" t="s">
        <v>288</v>
      </c>
      <c r="B591" s="222"/>
      <c r="C591" s="221"/>
      <c r="D591" s="199"/>
      <c r="E591" s="199"/>
      <c r="F591" s="221"/>
      <c r="G591" s="199"/>
      <c r="H591" s="221"/>
      <c r="I591" s="199"/>
      <c r="J591" s="221"/>
      <c r="K591" s="202"/>
    </row>
    <row r="592">
      <c r="A592" s="198" t="s">
        <v>40</v>
      </c>
      <c r="B592" s="221"/>
      <c r="C592" s="221"/>
      <c r="D592" s="221"/>
      <c r="E592" s="221"/>
      <c r="F592" s="199"/>
      <c r="G592" s="221">
        <f>4*G568</f>
        <v>6833.333333</v>
      </c>
      <c r="H592" s="199"/>
      <c r="I592" s="255"/>
      <c r="J592" s="199"/>
      <c r="K592" s="251"/>
      <c r="L592" s="125"/>
    </row>
    <row r="593">
      <c r="A593" s="200" t="s">
        <v>119</v>
      </c>
      <c r="B593" s="211"/>
      <c r="C593" s="222"/>
      <c r="D593" s="211"/>
      <c r="E593" s="222"/>
      <c r="F593" s="221"/>
      <c r="G593" s="221"/>
      <c r="H593" s="221"/>
      <c r="I593" s="221"/>
      <c r="J593" s="211"/>
      <c r="K593" s="252"/>
      <c r="L593" s="253"/>
    </row>
    <row r="594">
      <c r="A594" s="200" t="s">
        <v>141</v>
      </c>
      <c r="B594" s="255">
        <f>8*B568</f>
        <v>14166.66667</v>
      </c>
      <c r="C594" s="255">
        <f>15*C568</f>
        <v>31250</v>
      </c>
      <c r="D594" s="255"/>
      <c r="E594" s="256">
        <f>16*E568</f>
        <v>23333.33333</v>
      </c>
      <c r="F594" s="255">
        <f>8*F568</f>
        <v>29166.66667</v>
      </c>
      <c r="G594" s="255">
        <f>16*G568</f>
        <v>27333.33333</v>
      </c>
      <c r="H594" s="255">
        <f>8*H568</f>
        <v>10000</v>
      </c>
      <c r="I594" s="255">
        <f>7*I568</f>
        <v>12500</v>
      </c>
      <c r="J594" s="255">
        <f>13*J599</f>
        <v>18958.33333</v>
      </c>
      <c r="K594" s="257"/>
      <c r="L594" s="125"/>
    </row>
    <row r="595">
      <c r="A595" s="200" t="s">
        <v>345</v>
      </c>
      <c r="B595" s="255"/>
      <c r="C595" s="255"/>
      <c r="D595" s="255"/>
      <c r="E595" s="255"/>
      <c r="F595" s="255"/>
      <c r="G595" s="255"/>
      <c r="H595" s="255"/>
      <c r="I595" s="255"/>
      <c r="J595" s="255"/>
      <c r="K595" s="257"/>
      <c r="L595" s="125"/>
    </row>
    <row r="596">
      <c r="A596" s="205" t="s">
        <v>118</v>
      </c>
      <c r="B596" s="226">
        <f t="shared" ref="B596:C596" si="160">B576+B594</f>
        <v>99166.66667</v>
      </c>
      <c r="C596" s="226">
        <f t="shared" si="160"/>
        <v>131250</v>
      </c>
      <c r="D596" s="226">
        <f>D576</f>
        <v>130000</v>
      </c>
      <c r="E596" s="226">
        <f t="shared" ref="E596:F596" si="161">E576+E594</f>
        <v>93333.33333</v>
      </c>
      <c r="F596" s="226">
        <f t="shared" si="161"/>
        <v>204166.6667</v>
      </c>
      <c r="G596" s="226">
        <f>G564+G594+G592</f>
        <v>116166.6667</v>
      </c>
      <c r="H596" s="226">
        <f t="shared" ref="H596:I596" si="162">H576+H594</f>
        <v>70000</v>
      </c>
      <c r="I596" s="226">
        <f t="shared" si="162"/>
        <v>87500</v>
      </c>
      <c r="J596" s="226">
        <f>J598+J594</f>
        <v>88958.33333</v>
      </c>
      <c r="K596" s="206">
        <f>SUM(B596:J596)</f>
        <v>1020541.667</v>
      </c>
    </row>
    <row r="597">
      <c r="A597" s="126" t="s">
        <v>0</v>
      </c>
      <c r="B597" s="127" t="s">
        <v>90</v>
      </c>
      <c r="C597" s="127" t="s">
        <v>3</v>
      </c>
      <c r="D597" s="183" t="s">
        <v>109</v>
      </c>
      <c r="E597" s="183" t="s">
        <v>155</v>
      </c>
      <c r="F597" s="183" t="s">
        <v>195</v>
      </c>
      <c r="G597" s="129" t="s">
        <v>305</v>
      </c>
      <c r="H597" s="129" t="s">
        <v>394</v>
      </c>
      <c r="I597" s="129" t="s">
        <v>244</v>
      </c>
      <c r="J597" s="129" t="s">
        <v>232</v>
      </c>
      <c r="K597" s="128" t="s">
        <v>110</v>
      </c>
    </row>
    <row r="598">
      <c r="A598" s="243"/>
      <c r="B598" s="280" t="s">
        <v>326</v>
      </c>
      <c r="C598" s="280" t="s">
        <v>326</v>
      </c>
      <c r="D598" s="280" t="s">
        <v>326</v>
      </c>
      <c r="E598" s="280"/>
      <c r="F598" s="280" t="s">
        <v>326</v>
      </c>
      <c r="G598" s="248" t="s">
        <v>326</v>
      </c>
      <c r="H598" s="248"/>
      <c r="I598" s="248"/>
      <c r="J598" s="248">
        <v>70000.0</v>
      </c>
      <c r="K598" s="272"/>
    </row>
    <row r="599">
      <c r="A599" s="272"/>
      <c r="B599" s="273"/>
      <c r="C599" s="273"/>
      <c r="D599" s="274"/>
      <c r="E599" s="274"/>
      <c r="F599" s="274"/>
      <c r="G599" s="247"/>
      <c r="H599" s="247"/>
      <c r="I599" s="247"/>
      <c r="J599" s="271">
        <f>J598/6/8</f>
        <v>1458.333333</v>
      </c>
      <c r="K599" s="272"/>
    </row>
    <row r="600">
      <c r="A600" s="195" t="s">
        <v>398</v>
      </c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7"/>
    </row>
    <row r="601">
      <c r="A601" s="200" t="s">
        <v>288</v>
      </c>
      <c r="B601" s="222"/>
      <c r="C601" s="221"/>
      <c r="D601" s="199"/>
      <c r="E601" s="199"/>
      <c r="F601" s="221"/>
      <c r="G601" s="199"/>
      <c r="H601" s="221"/>
      <c r="I601" s="199"/>
      <c r="J601" s="221"/>
      <c r="K601" s="202"/>
    </row>
    <row r="602">
      <c r="A602" s="198" t="s">
        <v>40</v>
      </c>
      <c r="B602" s="221"/>
      <c r="C602" s="221"/>
      <c r="D602" s="221"/>
      <c r="E602" s="221"/>
      <c r="F602" s="199"/>
      <c r="G602" s="221"/>
      <c r="H602" s="199"/>
      <c r="I602" s="255"/>
      <c r="J602" s="199"/>
      <c r="K602" s="251"/>
      <c r="L602" s="125"/>
    </row>
    <row r="603">
      <c r="A603" s="200" t="s">
        <v>119</v>
      </c>
      <c r="B603" s="211"/>
      <c r="C603" s="222"/>
      <c r="D603" s="211"/>
      <c r="E603" s="222"/>
      <c r="F603" s="221"/>
      <c r="G603" s="221"/>
      <c r="H603" s="221"/>
      <c r="I603" s="221"/>
      <c r="J603" s="211"/>
      <c r="K603" s="252"/>
      <c r="L603" s="253"/>
    </row>
    <row r="604">
      <c r="A604" s="200" t="s">
        <v>141</v>
      </c>
      <c r="B604" s="255"/>
      <c r="C604" s="255"/>
      <c r="D604" s="255"/>
      <c r="E604" s="256"/>
      <c r="F604" s="255"/>
      <c r="G604" s="255"/>
      <c r="H604" s="255"/>
      <c r="I604" s="255"/>
      <c r="J604" s="255"/>
      <c r="K604" s="257"/>
      <c r="L604" s="125"/>
    </row>
    <row r="605">
      <c r="A605" s="200" t="s">
        <v>345</v>
      </c>
      <c r="B605" s="255"/>
      <c r="C605" s="255"/>
      <c r="D605" s="255"/>
      <c r="E605" s="255"/>
      <c r="F605" s="255"/>
      <c r="G605" s="255"/>
      <c r="H605" s="255"/>
      <c r="I605" s="255"/>
      <c r="J605" s="255"/>
      <c r="K605" s="257"/>
      <c r="L605" s="125"/>
    </row>
    <row r="606">
      <c r="A606" s="205" t="s">
        <v>118</v>
      </c>
      <c r="B606" s="226">
        <f t="shared" ref="B606:C606" si="163">B586+B604</f>
        <v>85000</v>
      </c>
      <c r="C606" s="226">
        <f t="shared" si="163"/>
        <v>100000</v>
      </c>
      <c r="D606" s="226">
        <f>D586</f>
        <v>130000</v>
      </c>
      <c r="E606" s="226">
        <f t="shared" ref="E606:F606" si="164">E586+E604</f>
        <v>70000</v>
      </c>
      <c r="F606" s="226">
        <f t="shared" si="164"/>
        <v>175000</v>
      </c>
      <c r="G606" s="226">
        <f>G565</f>
        <v>82000</v>
      </c>
      <c r="H606" s="226">
        <f t="shared" ref="H606:I606" si="165">H586+H604</f>
        <v>60000</v>
      </c>
      <c r="I606" s="226">
        <f t="shared" si="165"/>
        <v>75000</v>
      </c>
      <c r="J606" s="226">
        <v>70000.0</v>
      </c>
      <c r="K606" s="206">
        <f>SUM(B606:J606)</f>
        <v>847000</v>
      </c>
    </row>
    <row r="607">
      <c r="A607" s="126" t="s">
        <v>0</v>
      </c>
      <c r="B607" s="127" t="s">
        <v>90</v>
      </c>
      <c r="C607" s="127" t="s">
        <v>3</v>
      </c>
      <c r="D607" s="183" t="s">
        <v>109</v>
      </c>
      <c r="E607" s="183" t="s">
        <v>155</v>
      </c>
      <c r="F607" s="183" t="s">
        <v>195</v>
      </c>
      <c r="G607" s="129" t="s">
        <v>305</v>
      </c>
      <c r="H607" s="129" t="s">
        <v>394</v>
      </c>
      <c r="I607" s="129" t="s">
        <v>244</v>
      </c>
      <c r="J607" s="129" t="s">
        <v>232</v>
      </c>
      <c r="K607" s="128" t="s">
        <v>110</v>
      </c>
    </row>
    <row r="608">
      <c r="A608" s="243"/>
      <c r="B608" s="280" t="s">
        <v>326</v>
      </c>
      <c r="C608" s="280" t="s">
        <v>326</v>
      </c>
      <c r="D608" s="280" t="s">
        <v>326</v>
      </c>
      <c r="E608" s="280"/>
      <c r="F608" s="280" t="s">
        <v>326</v>
      </c>
      <c r="G608" s="280" t="s">
        <v>326</v>
      </c>
      <c r="H608" s="248"/>
      <c r="I608" s="248"/>
      <c r="J608" s="248"/>
      <c r="K608" s="272"/>
    </row>
    <row r="609">
      <c r="A609" s="272"/>
      <c r="B609" s="273"/>
      <c r="C609" s="273"/>
      <c r="D609" s="274"/>
      <c r="E609" s="274"/>
      <c r="F609" s="274"/>
      <c r="G609" s="247"/>
      <c r="H609" s="247"/>
      <c r="I609" s="247"/>
      <c r="J609" s="247"/>
      <c r="K609" s="272"/>
    </row>
    <row r="610">
      <c r="A610" s="130" t="s">
        <v>59</v>
      </c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2"/>
    </row>
    <row r="611">
      <c r="A611" s="126" t="s">
        <v>0</v>
      </c>
      <c r="B611" s="127" t="s">
        <v>90</v>
      </c>
      <c r="C611" s="127" t="s">
        <v>3</v>
      </c>
      <c r="D611" s="183" t="s">
        <v>109</v>
      </c>
      <c r="E611" s="183" t="s">
        <v>155</v>
      </c>
      <c r="F611" s="183" t="s">
        <v>195</v>
      </c>
      <c r="G611" s="129" t="s">
        <v>305</v>
      </c>
      <c r="H611" s="129" t="s">
        <v>394</v>
      </c>
      <c r="I611" s="129" t="s">
        <v>244</v>
      </c>
      <c r="J611" s="129" t="s">
        <v>232</v>
      </c>
      <c r="K611" s="128"/>
    </row>
    <row r="612">
      <c r="A612" s="133" t="s">
        <v>111</v>
      </c>
      <c r="B612" s="134">
        <v>85000.0</v>
      </c>
      <c r="C612" s="134">
        <v>100000.0</v>
      </c>
      <c r="D612" s="134">
        <v>130000.0</v>
      </c>
      <c r="E612" s="134">
        <v>70000.0</v>
      </c>
      <c r="F612" s="134">
        <v>175000.0</v>
      </c>
      <c r="G612" s="134">
        <v>82000.0</v>
      </c>
      <c r="H612" s="134">
        <v>60000.0</v>
      </c>
      <c r="I612" s="134">
        <v>75000.0</v>
      </c>
      <c r="J612" s="134">
        <v>70000.0</v>
      </c>
    </row>
    <row r="613">
      <c r="A613" s="137"/>
      <c r="B613" s="134">
        <v>85000.0</v>
      </c>
      <c r="C613" s="134">
        <v>100000.0</v>
      </c>
      <c r="D613" s="134">
        <v>130000.0</v>
      </c>
      <c r="E613" s="134">
        <v>70000.0</v>
      </c>
      <c r="F613" s="134">
        <v>175000.0</v>
      </c>
      <c r="G613" s="134">
        <v>82000.0</v>
      </c>
      <c r="H613" s="134">
        <v>60000.0</v>
      </c>
      <c r="I613" s="134">
        <v>75000.0</v>
      </c>
      <c r="J613" s="134">
        <v>70000.0</v>
      </c>
      <c r="M613" s="91"/>
    </row>
    <row r="614">
      <c r="A614" s="137"/>
      <c r="B614" s="134">
        <v>85000.0</v>
      </c>
      <c r="C614" s="134">
        <v>100000.0</v>
      </c>
      <c r="D614" s="134">
        <v>130000.0</v>
      </c>
      <c r="E614" s="134">
        <v>70000.0</v>
      </c>
      <c r="F614" s="134">
        <v>175000.0</v>
      </c>
      <c r="G614" s="134">
        <v>82000.0</v>
      </c>
      <c r="H614" s="134">
        <v>60000.0</v>
      </c>
      <c r="I614" s="134">
        <v>75000.0</v>
      </c>
      <c r="J614" s="134">
        <v>70000.0</v>
      </c>
    </row>
    <row r="615">
      <c r="A615" s="138"/>
      <c r="B615" s="134">
        <v>85000.0</v>
      </c>
      <c r="C615" s="134">
        <v>100000.0</v>
      </c>
      <c r="D615" s="134">
        <v>130000.0</v>
      </c>
      <c r="E615" s="134">
        <v>70000.0</v>
      </c>
      <c r="F615" s="134">
        <v>175000.0</v>
      </c>
      <c r="G615" s="134">
        <v>82000.0</v>
      </c>
      <c r="H615" s="134">
        <v>60000.0</v>
      </c>
      <c r="I615" s="134">
        <v>75000.0</v>
      </c>
      <c r="J615" s="134">
        <v>70000.0</v>
      </c>
    </row>
    <row r="616">
      <c r="A616" s="140" t="s">
        <v>113</v>
      </c>
      <c r="B616" s="141">
        <f t="shared" ref="B616:J616" si="166">SUM(B612:B615)</f>
        <v>340000</v>
      </c>
      <c r="C616" s="141">
        <f t="shared" si="166"/>
        <v>400000</v>
      </c>
      <c r="D616" s="141">
        <f t="shared" si="166"/>
        <v>520000</v>
      </c>
      <c r="E616" s="141">
        <f t="shared" si="166"/>
        <v>280000</v>
      </c>
      <c r="F616" s="141">
        <f t="shared" si="166"/>
        <v>700000</v>
      </c>
      <c r="G616" s="141">
        <f t="shared" si="166"/>
        <v>328000</v>
      </c>
      <c r="H616" s="141">
        <f t="shared" si="166"/>
        <v>240000</v>
      </c>
      <c r="I616" s="141">
        <f t="shared" si="166"/>
        <v>300000</v>
      </c>
      <c r="J616" s="141">
        <f t="shared" si="166"/>
        <v>280000</v>
      </c>
    </row>
    <row r="617">
      <c r="A617" s="260" t="s">
        <v>138</v>
      </c>
      <c r="B617" s="261">
        <f>B613/6/8</f>
        <v>1770.833333</v>
      </c>
      <c r="C617" s="261">
        <f>C612/8/6</f>
        <v>2083.333333</v>
      </c>
      <c r="D617" s="261">
        <f t="shared" ref="D617:F617" si="167">D612/6/8</f>
        <v>2708.333333</v>
      </c>
      <c r="E617" s="261">
        <f t="shared" si="167"/>
        <v>1458.333333</v>
      </c>
      <c r="F617" s="261">
        <f t="shared" si="167"/>
        <v>3645.833333</v>
      </c>
      <c r="G617" s="261">
        <f>G613/6/8</f>
        <v>1708.333333</v>
      </c>
      <c r="H617" s="261">
        <f>H612/8/6</f>
        <v>1250</v>
      </c>
      <c r="I617" s="261">
        <f>I612/6/7</f>
        <v>1785.714286</v>
      </c>
      <c r="J617" s="262">
        <f>J612/6/8</f>
        <v>1458.333333</v>
      </c>
      <c r="K617" s="262"/>
      <c r="L617" s="263"/>
      <c r="M617" s="174"/>
      <c r="N617" s="174"/>
      <c r="O617" s="174"/>
    </row>
    <row r="618">
      <c r="A618" s="272"/>
      <c r="B618" s="274" t="s">
        <v>399</v>
      </c>
      <c r="C618" s="274" t="s">
        <v>399</v>
      </c>
      <c r="D618" s="274"/>
      <c r="E618" s="274" t="s">
        <v>399</v>
      </c>
      <c r="F618" s="274"/>
      <c r="G618" s="247" t="s">
        <v>399</v>
      </c>
      <c r="H618" s="247"/>
      <c r="I618" s="247" t="s">
        <v>399</v>
      </c>
      <c r="J618" s="247"/>
      <c r="K618" s="272"/>
    </row>
    <row r="619">
      <c r="A619" s="272"/>
      <c r="B619" s="273"/>
      <c r="C619" s="273"/>
      <c r="D619" s="274"/>
      <c r="E619" s="274"/>
      <c r="F619" s="274"/>
      <c r="G619" s="247"/>
      <c r="H619" s="247"/>
      <c r="I619" s="247"/>
      <c r="J619" s="247"/>
      <c r="K619" s="272"/>
    </row>
    <row r="620">
      <c r="A620" s="195" t="s">
        <v>400</v>
      </c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7"/>
    </row>
    <row r="621">
      <c r="A621" s="200" t="s">
        <v>288</v>
      </c>
      <c r="B621" s="222"/>
      <c r="C621" s="221"/>
      <c r="D621" s="199"/>
      <c r="E621" s="199"/>
      <c r="F621" s="221"/>
      <c r="G621" s="199"/>
      <c r="H621" s="221"/>
      <c r="I621" s="199"/>
      <c r="J621" s="221"/>
      <c r="K621" s="202"/>
    </row>
    <row r="622">
      <c r="A622" s="198" t="s">
        <v>40</v>
      </c>
      <c r="B622" s="221"/>
      <c r="C622" s="221"/>
      <c r="D622" s="221"/>
      <c r="E622" s="221"/>
      <c r="F622" s="199"/>
      <c r="G622" s="221"/>
      <c r="H622" s="199"/>
      <c r="I622" s="255"/>
      <c r="J622" s="199"/>
      <c r="K622" s="251"/>
      <c r="L622" s="125"/>
    </row>
    <row r="623">
      <c r="A623" s="200" t="s">
        <v>251</v>
      </c>
      <c r="B623" s="211">
        <v>85000.0</v>
      </c>
      <c r="C623" s="222">
        <v>100000.0</v>
      </c>
      <c r="D623" s="211">
        <f>(D616/12)*4/2</f>
        <v>86666.66667</v>
      </c>
      <c r="E623" s="222">
        <v>70000.0</v>
      </c>
      <c r="F623" s="221">
        <v>175000.0</v>
      </c>
      <c r="G623" s="221">
        <v>82000.0</v>
      </c>
      <c r="H623" s="221"/>
      <c r="I623" s="221">
        <v>75000.0</v>
      </c>
      <c r="J623" s="211"/>
      <c r="K623" s="252"/>
      <c r="L623" s="253"/>
    </row>
    <row r="624">
      <c r="A624" s="200" t="s">
        <v>141</v>
      </c>
      <c r="B624" s="255"/>
      <c r="C624" s="255"/>
      <c r="D624" s="255"/>
      <c r="E624" s="256"/>
      <c r="F624" s="255"/>
      <c r="G624" s="255"/>
      <c r="H624" s="255"/>
      <c r="I624" s="255"/>
      <c r="J624" s="255"/>
      <c r="K624" s="257"/>
      <c r="L624" s="125"/>
    </row>
    <row r="625">
      <c r="A625" s="200" t="s">
        <v>345</v>
      </c>
      <c r="B625" s="255"/>
      <c r="C625" s="255"/>
      <c r="D625" s="255"/>
      <c r="E625" s="255"/>
      <c r="F625" s="255"/>
      <c r="G625" s="255"/>
      <c r="H625" s="255"/>
      <c r="I625" s="255"/>
      <c r="J625" s="255"/>
      <c r="K625" s="257"/>
      <c r="L625" s="125"/>
    </row>
    <row r="626">
      <c r="A626" s="205" t="s">
        <v>118</v>
      </c>
      <c r="B626" s="238">
        <f>B612+B623</f>
        <v>170000</v>
      </c>
      <c r="C626" s="258">
        <f>C615+C623</f>
        <v>200000</v>
      </c>
      <c r="D626" s="238">
        <f>D614+D623</f>
        <v>216666.6667</v>
      </c>
      <c r="E626" s="258">
        <f t="shared" ref="E626:F626" si="168">E612+E623</f>
        <v>140000</v>
      </c>
      <c r="F626" s="226">
        <f t="shared" si="168"/>
        <v>350000</v>
      </c>
      <c r="G626" s="226">
        <f t="shared" ref="G626:H626" si="169">G612</f>
        <v>82000</v>
      </c>
      <c r="H626" s="226">
        <f t="shared" si="169"/>
        <v>60000</v>
      </c>
      <c r="I626" s="226">
        <f>I612+I623</f>
        <v>150000</v>
      </c>
      <c r="J626" s="226">
        <v>70000.0</v>
      </c>
      <c r="K626" s="208">
        <f>SUM(B626:J626)</f>
        <v>1438666.667</v>
      </c>
    </row>
    <row r="627">
      <c r="A627" s="126" t="s">
        <v>0</v>
      </c>
      <c r="B627" s="127" t="s">
        <v>90</v>
      </c>
      <c r="C627" s="127" t="s">
        <v>3</v>
      </c>
      <c r="D627" s="183" t="s">
        <v>109</v>
      </c>
      <c r="E627" s="183" t="s">
        <v>155</v>
      </c>
      <c r="F627" s="183" t="s">
        <v>195</v>
      </c>
      <c r="G627" s="129" t="s">
        <v>305</v>
      </c>
      <c r="H627" s="129" t="s">
        <v>394</v>
      </c>
      <c r="I627" s="129" t="s">
        <v>244</v>
      </c>
      <c r="J627" s="129" t="s">
        <v>232</v>
      </c>
      <c r="K627" s="128" t="s">
        <v>110</v>
      </c>
    </row>
    <row r="628">
      <c r="A628" s="243"/>
      <c r="B628" s="280" t="s">
        <v>326</v>
      </c>
      <c r="C628" s="280" t="s">
        <v>326</v>
      </c>
      <c r="D628" s="280" t="s">
        <v>326</v>
      </c>
      <c r="E628" s="280"/>
      <c r="F628" s="280" t="s">
        <v>326</v>
      </c>
      <c r="G628" s="280" t="s">
        <v>326</v>
      </c>
      <c r="H628" s="248"/>
      <c r="I628" s="248"/>
      <c r="J628" s="248"/>
      <c r="K628" s="272"/>
    </row>
    <row r="629">
      <c r="A629" s="272"/>
      <c r="B629" s="273"/>
      <c r="C629" s="273"/>
      <c r="D629" s="281" t="s">
        <v>401</v>
      </c>
      <c r="E629" s="274"/>
      <c r="F629" s="274"/>
      <c r="G629" s="247"/>
      <c r="H629" s="247"/>
      <c r="I629" s="247"/>
      <c r="J629" s="247"/>
      <c r="K629" s="272"/>
    </row>
    <row r="630">
      <c r="A630" s="195" t="s">
        <v>402</v>
      </c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7"/>
    </row>
    <row r="631">
      <c r="A631" s="200" t="s">
        <v>288</v>
      </c>
      <c r="B631" s="222"/>
      <c r="C631" s="221"/>
      <c r="D631" s="199"/>
      <c r="E631" s="199"/>
      <c r="F631" s="221"/>
      <c r="G631" s="199"/>
      <c r="H631" s="221"/>
      <c r="I631" s="199"/>
      <c r="J631" s="221"/>
      <c r="K631" s="202"/>
    </row>
    <row r="632">
      <c r="A632" s="198" t="s">
        <v>40</v>
      </c>
      <c r="B632" s="221"/>
      <c r="C632" s="221"/>
      <c r="D632" s="221"/>
      <c r="E632" s="221"/>
      <c r="F632" s="199"/>
      <c r="G632" s="221"/>
      <c r="H632" s="199"/>
      <c r="I632" s="255"/>
      <c r="J632" s="199">
        <f>2*J617</f>
        <v>2916.666667</v>
      </c>
      <c r="K632" s="251"/>
      <c r="L632" s="125"/>
    </row>
    <row r="633">
      <c r="A633" s="200" t="s">
        <v>251</v>
      </c>
      <c r="B633" s="211"/>
      <c r="C633" s="222"/>
      <c r="D633" s="211"/>
      <c r="E633" s="222"/>
      <c r="F633" s="221"/>
      <c r="G633" s="221"/>
      <c r="H633" s="221"/>
      <c r="I633" s="221"/>
      <c r="J633" s="211"/>
      <c r="K633" s="252"/>
      <c r="L633" s="253"/>
    </row>
    <row r="634">
      <c r="A634" s="200" t="s">
        <v>141</v>
      </c>
      <c r="B634" s="255">
        <f>8*B617</f>
        <v>14166.66667</v>
      </c>
      <c r="C634" s="255">
        <f>7*C617</f>
        <v>14583.33333</v>
      </c>
      <c r="D634" s="255"/>
      <c r="E634" s="256">
        <f t="shared" ref="E634:F634" si="170">8*E617</f>
        <v>11666.66667</v>
      </c>
      <c r="F634" s="255">
        <f t="shared" si="170"/>
        <v>29166.66667</v>
      </c>
      <c r="G634" s="255">
        <f>9*G617</f>
        <v>15375</v>
      </c>
      <c r="H634" s="255">
        <f>8*H617</f>
        <v>10000</v>
      </c>
      <c r="I634" s="255">
        <f>6*I617</f>
        <v>10714.28571</v>
      </c>
      <c r="J634" s="255"/>
      <c r="K634" s="257"/>
      <c r="L634" s="125"/>
    </row>
    <row r="635">
      <c r="A635" s="200" t="s">
        <v>345</v>
      </c>
      <c r="B635" s="255"/>
      <c r="C635" s="255"/>
      <c r="D635" s="255"/>
      <c r="E635" s="255"/>
      <c r="F635" s="255"/>
      <c r="G635" s="255"/>
      <c r="H635" s="255"/>
      <c r="I635" s="255"/>
      <c r="J635" s="255"/>
      <c r="K635" s="257"/>
      <c r="L635" s="125"/>
    </row>
    <row r="636">
      <c r="A636" s="205" t="s">
        <v>118</v>
      </c>
      <c r="B636" s="226">
        <f>B615+B634</f>
        <v>99166.66667</v>
      </c>
      <c r="C636" s="226">
        <f>C614+C634</f>
        <v>114583.3333</v>
      </c>
      <c r="D636" s="226">
        <f>D615</f>
        <v>130000</v>
      </c>
      <c r="E636" s="226">
        <f t="shared" ref="E636:I636" si="171">E615+E634</f>
        <v>81666.66667</v>
      </c>
      <c r="F636" s="226">
        <f t="shared" si="171"/>
        <v>204166.6667</v>
      </c>
      <c r="G636" s="226">
        <f t="shared" si="171"/>
        <v>97375</v>
      </c>
      <c r="H636" s="226">
        <f t="shared" si="171"/>
        <v>70000</v>
      </c>
      <c r="I636" s="226">
        <f t="shared" si="171"/>
        <v>85714.28571</v>
      </c>
      <c r="J636" s="226">
        <f>70000+J632</f>
        <v>72916.66667</v>
      </c>
      <c r="K636" s="206">
        <f>SUM(B636:J636)</f>
        <v>955589.2857</v>
      </c>
    </row>
    <row r="637">
      <c r="A637" s="126" t="s">
        <v>0</v>
      </c>
      <c r="B637" s="127" t="s">
        <v>90</v>
      </c>
      <c r="C637" s="127" t="s">
        <v>3</v>
      </c>
      <c r="D637" s="183" t="s">
        <v>109</v>
      </c>
      <c r="E637" s="183" t="s">
        <v>155</v>
      </c>
      <c r="F637" s="183" t="s">
        <v>195</v>
      </c>
      <c r="G637" s="129" t="s">
        <v>305</v>
      </c>
      <c r="H637" s="129" t="s">
        <v>394</v>
      </c>
      <c r="I637" s="129" t="s">
        <v>244</v>
      </c>
      <c r="J637" s="129" t="s">
        <v>232</v>
      </c>
      <c r="K637" s="128" t="s">
        <v>110</v>
      </c>
    </row>
    <row r="638">
      <c r="A638" s="243"/>
      <c r="B638" s="280" t="s">
        <v>326</v>
      </c>
      <c r="C638" s="280" t="s">
        <v>326</v>
      </c>
      <c r="D638" s="280" t="s">
        <v>326</v>
      </c>
      <c r="E638" s="280"/>
      <c r="F638" s="280" t="s">
        <v>326</v>
      </c>
      <c r="G638" s="248" t="s">
        <v>326</v>
      </c>
      <c r="H638" s="248"/>
      <c r="I638" s="248"/>
      <c r="J638" s="248"/>
      <c r="K638" s="272"/>
    </row>
    <row r="639">
      <c r="A639" s="272"/>
      <c r="B639" s="273"/>
      <c r="C639" s="273"/>
      <c r="D639" s="274"/>
      <c r="E639" s="274"/>
      <c r="F639" s="274"/>
      <c r="G639" s="247"/>
      <c r="H639" s="247"/>
      <c r="I639" s="247"/>
      <c r="J639" s="247"/>
      <c r="K639" s="272"/>
    </row>
    <row r="640">
      <c r="A640" s="195" t="s">
        <v>403</v>
      </c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7"/>
    </row>
    <row r="641">
      <c r="A641" s="200" t="s">
        <v>288</v>
      </c>
      <c r="B641" s="222"/>
      <c r="C641" s="221"/>
      <c r="D641" s="199"/>
      <c r="E641" s="199"/>
      <c r="F641" s="221"/>
      <c r="G641" s="199"/>
      <c r="H641" s="221"/>
      <c r="I641" s="199"/>
      <c r="J641" s="221"/>
      <c r="K641" s="202"/>
    </row>
    <row r="642">
      <c r="A642" s="198" t="s">
        <v>40</v>
      </c>
      <c r="B642" s="221"/>
      <c r="C642" s="221"/>
      <c r="D642" s="221"/>
      <c r="E642" s="221"/>
      <c r="F642" s="199"/>
      <c r="G642" s="221"/>
      <c r="H642" s="199">
        <f>24*H648</f>
        <v>67200</v>
      </c>
      <c r="I642" s="255"/>
      <c r="J642" s="199">
        <f>34*J617</f>
        <v>49583.33333</v>
      </c>
      <c r="K642" s="251"/>
      <c r="L642" s="125"/>
    </row>
    <row r="643">
      <c r="A643" s="200" t="s">
        <v>255</v>
      </c>
      <c r="B643" s="211">
        <f t="shared" ref="B643:G643" si="172">B623</f>
        <v>85000</v>
      </c>
      <c r="C643" s="222">
        <f t="shared" si="172"/>
        <v>100000</v>
      </c>
      <c r="D643" s="211">
        <f t="shared" si="172"/>
        <v>86666.66667</v>
      </c>
      <c r="E643" s="222">
        <f t="shared" si="172"/>
        <v>70000</v>
      </c>
      <c r="F643" s="221">
        <f t="shared" si="172"/>
        <v>175000</v>
      </c>
      <c r="G643" s="221">
        <f t="shared" si="172"/>
        <v>82000</v>
      </c>
      <c r="H643" s="221"/>
      <c r="I643" s="221">
        <v>75000.0</v>
      </c>
      <c r="J643" s="211"/>
      <c r="K643" s="252"/>
      <c r="L643" s="253"/>
    </row>
    <row r="644">
      <c r="A644" s="200" t="s">
        <v>141</v>
      </c>
      <c r="B644" s="255"/>
      <c r="C644" s="255"/>
      <c r="D644" s="255"/>
      <c r="E644" s="256"/>
      <c r="F644" s="255"/>
      <c r="G644" s="255"/>
      <c r="H644" s="255"/>
      <c r="I644" s="255"/>
      <c r="J644" s="255"/>
      <c r="K644" s="257"/>
      <c r="L644" s="125"/>
    </row>
    <row r="645">
      <c r="A645" s="200" t="s">
        <v>345</v>
      </c>
      <c r="B645" s="255"/>
      <c r="C645" s="255"/>
      <c r="D645" s="255"/>
      <c r="E645" s="255"/>
      <c r="F645" s="255"/>
      <c r="G645" s="255"/>
      <c r="H645" s="255"/>
      <c r="I645" s="255"/>
      <c r="J645" s="255"/>
      <c r="K645" s="257"/>
      <c r="L645" s="125"/>
    </row>
    <row r="646">
      <c r="A646" s="205" t="s">
        <v>118</v>
      </c>
      <c r="B646" s="238">
        <f t="shared" ref="B646:G646" si="173">B615+B643</f>
        <v>170000</v>
      </c>
      <c r="C646" s="258">
        <f t="shared" si="173"/>
        <v>200000</v>
      </c>
      <c r="D646" s="238">
        <f t="shared" si="173"/>
        <v>216666.6667</v>
      </c>
      <c r="E646" s="258">
        <f t="shared" si="173"/>
        <v>140000</v>
      </c>
      <c r="F646" s="226">
        <f t="shared" si="173"/>
        <v>350000</v>
      </c>
      <c r="G646" s="226">
        <f t="shared" si="173"/>
        <v>164000</v>
      </c>
      <c r="H646" s="226">
        <f>H642</f>
        <v>67200</v>
      </c>
      <c r="I646" s="226">
        <f>I615+I643</f>
        <v>150000</v>
      </c>
      <c r="J646" s="226">
        <f>70000+J642</f>
        <v>119583.3333</v>
      </c>
      <c r="K646" s="208">
        <f>SUM(B646:J646)</f>
        <v>1577450</v>
      </c>
    </row>
    <row r="647">
      <c r="A647" s="126" t="s">
        <v>0</v>
      </c>
      <c r="B647" s="127" t="s">
        <v>90</v>
      </c>
      <c r="C647" s="127" t="s">
        <v>3</v>
      </c>
      <c r="D647" s="183" t="s">
        <v>109</v>
      </c>
      <c r="E647" s="183" t="s">
        <v>155</v>
      </c>
      <c r="F647" s="183" t="s">
        <v>195</v>
      </c>
      <c r="G647" s="129" t="s">
        <v>305</v>
      </c>
      <c r="H647" s="129" t="s">
        <v>404</v>
      </c>
      <c r="I647" s="129" t="s">
        <v>244</v>
      </c>
      <c r="J647" s="129" t="s">
        <v>232</v>
      </c>
      <c r="K647" s="128" t="s">
        <v>110</v>
      </c>
    </row>
    <row r="648">
      <c r="A648" s="243"/>
      <c r="B648" s="280"/>
      <c r="C648" s="280" t="s">
        <v>326</v>
      </c>
      <c r="D648" s="280" t="s">
        <v>326</v>
      </c>
      <c r="E648" s="280"/>
      <c r="F648" s="280" t="s">
        <v>326</v>
      </c>
      <c r="G648" s="248"/>
      <c r="H648" s="248">
        <v>2800.0</v>
      </c>
      <c r="I648" s="248" t="s">
        <v>405</v>
      </c>
      <c r="J648" s="248"/>
      <c r="K648" s="272"/>
    </row>
    <row r="649">
      <c r="A649" s="272"/>
      <c r="B649" s="273"/>
      <c r="C649" s="273"/>
      <c r="D649" s="274"/>
      <c r="E649" s="274"/>
      <c r="F649" s="274"/>
      <c r="G649" s="247"/>
      <c r="H649" s="248" t="s">
        <v>406</v>
      </c>
      <c r="I649" s="247"/>
      <c r="J649" s="247"/>
      <c r="K649" s="272"/>
    </row>
    <row r="650">
      <c r="A650" s="195" t="s">
        <v>407</v>
      </c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7"/>
    </row>
    <row r="651">
      <c r="A651" s="200" t="s">
        <v>288</v>
      </c>
      <c r="B651" s="222"/>
      <c r="C651" s="221"/>
      <c r="D651" s="199"/>
      <c r="E651" s="199"/>
      <c r="F651" s="221"/>
      <c r="G651" s="199"/>
      <c r="H651" s="221"/>
      <c r="I651" s="199"/>
      <c r="J651" s="221"/>
      <c r="K651" s="202"/>
    </row>
    <row r="652">
      <c r="A652" s="198" t="s">
        <v>40</v>
      </c>
      <c r="B652" s="221"/>
      <c r="C652" s="221"/>
      <c r="D652" s="221"/>
      <c r="E652" s="221"/>
      <c r="F652" s="199"/>
      <c r="G652" s="221"/>
      <c r="H652" s="199"/>
      <c r="I652" s="255">
        <f>6*I617</f>
        <v>10714.28571</v>
      </c>
      <c r="J652" s="199">
        <f>16*J617</f>
        <v>23333.33333</v>
      </c>
      <c r="K652" s="251"/>
      <c r="L652" s="125"/>
    </row>
    <row r="653">
      <c r="A653" s="200" t="s">
        <v>255</v>
      </c>
      <c r="B653" s="211" t="str">
        <f t="shared" ref="B653:F653" si="174">B633</f>
        <v/>
      </c>
      <c r="C653" s="222" t="str">
        <f t="shared" si="174"/>
        <v/>
      </c>
      <c r="D653" s="211" t="str">
        <f t="shared" si="174"/>
        <v/>
      </c>
      <c r="E653" s="222" t="str">
        <f t="shared" si="174"/>
        <v/>
      </c>
      <c r="F653" s="221" t="str">
        <f t="shared" si="174"/>
        <v/>
      </c>
      <c r="G653" s="221"/>
      <c r="H653" s="221"/>
      <c r="I653" s="221"/>
      <c r="J653" s="211"/>
      <c r="K653" s="252"/>
      <c r="L653" s="253"/>
    </row>
    <row r="654">
      <c r="A654" s="200" t="s">
        <v>141</v>
      </c>
      <c r="B654" s="255"/>
      <c r="C654" s="255"/>
      <c r="D654" s="255"/>
      <c r="E654" s="256"/>
      <c r="F654" s="255"/>
      <c r="G654" s="255"/>
      <c r="H654" s="255"/>
      <c r="I654" s="255"/>
      <c r="J654" s="255"/>
      <c r="K654" s="257"/>
      <c r="L654" s="125"/>
    </row>
    <row r="655">
      <c r="A655" s="200" t="s">
        <v>345</v>
      </c>
      <c r="B655" s="255"/>
      <c r="C655" s="255"/>
      <c r="D655" s="255"/>
      <c r="E655" s="255"/>
      <c r="F655" s="255"/>
      <c r="G655" s="255"/>
      <c r="H655" s="255"/>
      <c r="I655" s="255"/>
      <c r="J655" s="255"/>
      <c r="K655" s="257"/>
      <c r="L655" s="125"/>
    </row>
    <row r="656">
      <c r="A656" s="205" t="s">
        <v>118</v>
      </c>
      <c r="B656" s="226">
        <f>B614</f>
        <v>85000</v>
      </c>
      <c r="C656" s="226">
        <f t="shared" ref="C656:D656" si="175">C615</f>
        <v>100000</v>
      </c>
      <c r="D656" s="226">
        <f t="shared" si="175"/>
        <v>130000</v>
      </c>
      <c r="E656" s="226">
        <f>E612</f>
        <v>70000</v>
      </c>
      <c r="F656" s="226">
        <f t="shared" ref="F656:G656" si="176">F615</f>
        <v>175000</v>
      </c>
      <c r="G656" s="226">
        <f t="shared" si="176"/>
        <v>82000</v>
      </c>
      <c r="H656" s="226" t="str">
        <f>H652</f>
        <v/>
      </c>
      <c r="I656" s="226">
        <f>I613+I652</f>
        <v>85714.28571</v>
      </c>
      <c r="J656" s="226">
        <f>70000+J652</f>
        <v>93333.33333</v>
      </c>
      <c r="K656" s="206">
        <f>SUM(B656:J656)</f>
        <v>821047.619</v>
      </c>
    </row>
    <row r="657">
      <c r="A657" s="126" t="s">
        <v>0</v>
      </c>
      <c r="B657" s="127" t="s">
        <v>90</v>
      </c>
      <c r="C657" s="127" t="s">
        <v>3</v>
      </c>
      <c r="D657" s="183" t="s">
        <v>109</v>
      </c>
      <c r="E657" s="183" t="s">
        <v>155</v>
      </c>
      <c r="F657" s="183" t="s">
        <v>195</v>
      </c>
      <c r="G657" s="129" t="s">
        <v>305</v>
      </c>
      <c r="H657" s="129" t="s">
        <v>404</v>
      </c>
      <c r="I657" s="129" t="s">
        <v>244</v>
      </c>
      <c r="J657" s="129" t="s">
        <v>232</v>
      </c>
      <c r="K657" s="128" t="s">
        <v>110</v>
      </c>
    </row>
    <row r="658">
      <c r="A658" s="243"/>
      <c r="B658" s="280" t="s">
        <v>326</v>
      </c>
      <c r="C658" s="280" t="s">
        <v>326</v>
      </c>
      <c r="D658" s="280" t="s">
        <v>326</v>
      </c>
      <c r="E658" s="280"/>
      <c r="F658" s="280" t="s">
        <v>326</v>
      </c>
      <c r="G658" s="248"/>
      <c r="H658" s="248"/>
      <c r="I658" s="248"/>
      <c r="J658" s="248"/>
      <c r="K658" s="272"/>
    </row>
    <row r="659">
      <c r="A659" s="272"/>
      <c r="B659" s="273"/>
      <c r="C659" s="273"/>
      <c r="D659" s="274"/>
      <c r="E659" s="274"/>
      <c r="F659" s="274"/>
      <c r="G659" s="247"/>
      <c r="H659" s="247"/>
      <c r="I659" s="247"/>
      <c r="J659" s="247"/>
      <c r="K659" s="272"/>
    </row>
    <row r="660">
      <c r="A660" s="272"/>
      <c r="B660" s="273"/>
      <c r="C660" s="273"/>
      <c r="D660" s="274"/>
      <c r="E660" s="274"/>
      <c r="F660" s="274"/>
      <c r="G660" s="247"/>
      <c r="H660" s="247"/>
      <c r="I660" s="247"/>
      <c r="J660" s="247"/>
      <c r="K660" s="272"/>
    </row>
    <row r="661">
      <c r="A661" s="272"/>
      <c r="B661" s="273"/>
      <c r="C661" s="273"/>
      <c r="D661" s="274"/>
      <c r="E661" s="274"/>
      <c r="F661" s="274"/>
      <c r="G661" s="247"/>
      <c r="H661" s="247"/>
      <c r="I661" s="247"/>
      <c r="J661" s="247"/>
      <c r="K661" s="272"/>
    </row>
    <row r="662">
      <c r="A662" s="272"/>
      <c r="B662" s="273"/>
      <c r="C662" s="273"/>
      <c r="D662" s="274"/>
      <c r="E662" s="274"/>
      <c r="F662" s="274"/>
      <c r="G662" s="247"/>
      <c r="H662" s="247"/>
      <c r="I662" s="247"/>
      <c r="J662" s="247"/>
      <c r="K662" s="272"/>
    </row>
    <row r="663">
      <c r="A663" s="130" t="s">
        <v>80</v>
      </c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2"/>
    </row>
    <row r="664">
      <c r="A664" s="126" t="s">
        <v>0</v>
      </c>
      <c r="B664" s="127" t="s">
        <v>90</v>
      </c>
      <c r="C664" s="127" t="s">
        <v>3</v>
      </c>
      <c r="D664" s="183" t="s">
        <v>109</v>
      </c>
      <c r="E664" s="183" t="s">
        <v>155</v>
      </c>
      <c r="F664" s="183" t="s">
        <v>195</v>
      </c>
      <c r="G664" s="129" t="s">
        <v>305</v>
      </c>
      <c r="H664" s="129"/>
      <c r="I664" s="129" t="s">
        <v>244</v>
      </c>
      <c r="J664" s="129" t="s">
        <v>232</v>
      </c>
      <c r="K664" s="129" t="s">
        <v>247</v>
      </c>
    </row>
    <row r="665">
      <c r="A665" s="133" t="s">
        <v>111</v>
      </c>
      <c r="B665" s="134">
        <v>130000.0</v>
      </c>
      <c r="C665" s="134">
        <v>140000.0</v>
      </c>
      <c r="D665" s="134">
        <v>150000.0</v>
      </c>
      <c r="E665" s="134">
        <v>90000.0</v>
      </c>
      <c r="F665" s="134">
        <v>175000.0</v>
      </c>
      <c r="G665" s="134">
        <v>110000.0</v>
      </c>
      <c r="H665" s="134"/>
      <c r="I665" s="134">
        <v>100000.0</v>
      </c>
      <c r="J665" s="134">
        <v>100000.0</v>
      </c>
    </row>
    <row r="666">
      <c r="A666" s="137"/>
      <c r="B666" s="134">
        <v>130000.0</v>
      </c>
      <c r="C666" s="134">
        <v>140000.0</v>
      </c>
      <c r="D666" s="134">
        <v>150000.0</v>
      </c>
      <c r="E666" s="134">
        <v>90000.0</v>
      </c>
      <c r="F666" s="134">
        <v>175000.0</v>
      </c>
      <c r="G666" s="134">
        <v>110000.0</v>
      </c>
      <c r="H666" s="134"/>
      <c r="I666" s="134">
        <v>100000.0</v>
      </c>
      <c r="J666" s="134">
        <v>100000.0</v>
      </c>
      <c r="M666" s="91"/>
    </row>
    <row r="667">
      <c r="A667" s="137"/>
      <c r="B667" s="134">
        <v>130000.0</v>
      </c>
      <c r="C667" s="134">
        <v>140000.0</v>
      </c>
      <c r="D667" s="134">
        <v>150000.0</v>
      </c>
      <c r="E667" s="134">
        <v>90000.0</v>
      </c>
      <c r="F667" s="134">
        <v>175000.0</v>
      </c>
      <c r="G667" s="134">
        <v>110000.0</v>
      </c>
      <c r="H667" s="134"/>
      <c r="I667" s="134">
        <v>100000.0</v>
      </c>
      <c r="J667" s="134">
        <v>100000.0</v>
      </c>
    </row>
    <row r="668">
      <c r="A668" s="138"/>
      <c r="B668" s="134">
        <v>130000.0</v>
      </c>
      <c r="C668" s="134">
        <v>140000.0</v>
      </c>
      <c r="D668" s="134">
        <v>150000.0</v>
      </c>
      <c r="E668" s="134">
        <v>90000.0</v>
      </c>
      <c r="F668" s="134">
        <v>175000.0</v>
      </c>
      <c r="G668" s="134">
        <v>110000.0</v>
      </c>
      <c r="H668" s="134"/>
      <c r="I668" s="134">
        <v>100000.0</v>
      </c>
      <c r="J668" s="134">
        <v>100000.0</v>
      </c>
    </row>
    <row r="669">
      <c r="A669" s="140" t="s">
        <v>113</v>
      </c>
      <c r="B669" s="141">
        <f t="shared" ref="B669:J669" si="177">SUM(B665:B668)</f>
        <v>520000</v>
      </c>
      <c r="C669" s="141">
        <f t="shared" si="177"/>
        <v>560000</v>
      </c>
      <c r="D669" s="141">
        <f t="shared" si="177"/>
        <v>600000</v>
      </c>
      <c r="E669" s="141">
        <f t="shared" si="177"/>
        <v>360000</v>
      </c>
      <c r="F669" s="141">
        <f t="shared" si="177"/>
        <v>700000</v>
      </c>
      <c r="G669" s="141">
        <f t="shared" si="177"/>
        <v>440000</v>
      </c>
      <c r="H669" s="141">
        <f t="shared" si="177"/>
        <v>0</v>
      </c>
      <c r="I669" s="141">
        <f t="shared" si="177"/>
        <v>400000</v>
      </c>
      <c r="J669" s="141">
        <f t="shared" si="177"/>
        <v>400000</v>
      </c>
    </row>
    <row r="670">
      <c r="A670" s="260" t="s">
        <v>138</v>
      </c>
      <c r="B670" s="261">
        <f>B666/6/8</f>
        <v>2708.333333</v>
      </c>
      <c r="C670" s="261">
        <f>C665/8/6</f>
        <v>2916.666667</v>
      </c>
      <c r="D670" s="261">
        <f t="shared" ref="D670:F670" si="178">D665/6/8</f>
        <v>3125</v>
      </c>
      <c r="E670" s="261">
        <f t="shared" si="178"/>
        <v>1875</v>
      </c>
      <c r="F670" s="261">
        <f t="shared" si="178"/>
        <v>3645.833333</v>
      </c>
      <c r="G670" s="261">
        <f>G666/6/8</f>
        <v>2291.666667</v>
      </c>
      <c r="H670" s="261">
        <f>H665/8/6</f>
        <v>0</v>
      </c>
      <c r="I670" s="261">
        <f>I665/6/7</f>
        <v>2380.952381</v>
      </c>
      <c r="J670" s="262">
        <f>J665/6/8</f>
        <v>2083.333333</v>
      </c>
      <c r="K670" s="262"/>
      <c r="L670" s="263"/>
      <c r="M670" s="174"/>
      <c r="N670" s="174"/>
      <c r="O670" s="174"/>
    </row>
    <row r="671">
      <c r="A671" s="272"/>
      <c r="B671" s="273"/>
      <c r="C671" s="273"/>
      <c r="D671" s="274"/>
      <c r="E671" s="274"/>
      <c r="F671" s="274"/>
      <c r="G671" s="247"/>
      <c r="H671" s="247"/>
      <c r="I671" s="247"/>
      <c r="J671" s="247"/>
      <c r="K671" s="272"/>
    </row>
    <row r="672">
      <c r="A672" s="272"/>
      <c r="B672" s="273"/>
      <c r="C672" s="273"/>
      <c r="D672" s="274"/>
      <c r="E672" s="274"/>
      <c r="F672" s="274"/>
      <c r="G672" s="247"/>
      <c r="H672" s="247"/>
      <c r="I672" s="247"/>
      <c r="J672" s="247"/>
      <c r="K672" s="272"/>
    </row>
    <row r="673">
      <c r="A673" s="195" t="s">
        <v>408</v>
      </c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7"/>
    </row>
    <row r="674">
      <c r="A674" s="200" t="s">
        <v>288</v>
      </c>
      <c r="B674" s="222"/>
      <c r="C674" s="221"/>
      <c r="D674" s="199"/>
      <c r="E674" s="199"/>
      <c r="F674" s="221"/>
      <c r="G674" s="199"/>
      <c r="H674" s="221"/>
      <c r="I674" s="199"/>
      <c r="J674" s="221"/>
      <c r="K674" s="202"/>
    </row>
    <row r="675">
      <c r="A675" s="198" t="s">
        <v>40</v>
      </c>
      <c r="B675" s="221"/>
      <c r="C675" s="221"/>
      <c r="D675" s="221"/>
      <c r="E675" s="221"/>
      <c r="F675" s="199"/>
      <c r="G675" s="221"/>
      <c r="H675" s="199"/>
      <c r="I675" s="255">
        <f>6*I640</f>
        <v>0</v>
      </c>
      <c r="J675" s="199">
        <f>16*J640</f>
        <v>0</v>
      </c>
      <c r="K675" s="251"/>
      <c r="L675" s="125"/>
    </row>
    <row r="676">
      <c r="A676" s="200"/>
      <c r="B676" s="211"/>
      <c r="C676" s="222"/>
      <c r="D676" s="211"/>
      <c r="E676" s="222"/>
      <c r="F676" s="221"/>
      <c r="G676" s="221"/>
      <c r="H676" s="221"/>
      <c r="I676" s="221"/>
      <c r="J676" s="211"/>
      <c r="K676" s="252"/>
      <c r="L676" s="253"/>
    </row>
    <row r="677">
      <c r="A677" s="200" t="s">
        <v>141</v>
      </c>
      <c r="B677" s="255"/>
      <c r="C677" s="255"/>
      <c r="D677" s="255"/>
      <c r="E677" s="256"/>
      <c r="F677" s="255"/>
      <c r="G677" s="255"/>
      <c r="H677" s="255"/>
      <c r="I677" s="255"/>
      <c r="J677" s="255"/>
      <c r="K677" s="257"/>
      <c r="L677" s="125"/>
    </row>
    <row r="678">
      <c r="A678" s="200" t="s">
        <v>345</v>
      </c>
      <c r="B678" s="255"/>
      <c r="C678" s="255"/>
      <c r="D678" s="255"/>
      <c r="E678" s="255"/>
      <c r="F678" s="255"/>
      <c r="G678" s="255"/>
      <c r="H678" s="255"/>
      <c r="I678" s="255"/>
      <c r="J678" s="255"/>
      <c r="K678" s="257"/>
      <c r="L678" s="125"/>
    </row>
    <row r="679">
      <c r="A679" s="205" t="s">
        <v>118</v>
      </c>
      <c r="B679" s="226">
        <f t="shared" ref="B679:C679" si="179">B665+B675</f>
        <v>130000</v>
      </c>
      <c r="C679" s="226">
        <f t="shared" si="179"/>
        <v>140000</v>
      </c>
      <c r="D679" s="226">
        <f>D667+D675</f>
        <v>150000</v>
      </c>
      <c r="E679" s="226">
        <f t="shared" ref="E679:G679" si="180">E665+E675</f>
        <v>90000</v>
      </c>
      <c r="F679" s="226">
        <f t="shared" si="180"/>
        <v>175000</v>
      </c>
      <c r="G679" s="226">
        <f t="shared" si="180"/>
        <v>110000</v>
      </c>
      <c r="H679" s="226" t="str">
        <f>H675</f>
        <v/>
      </c>
      <c r="I679" s="226">
        <f>I665+I675</f>
        <v>100000</v>
      </c>
      <c r="J679" s="226">
        <f>J665</f>
        <v>100000</v>
      </c>
      <c r="K679" s="206">
        <f>SUM(B679:J679)</f>
        <v>995000</v>
      </c>
    </row>
    <row r="680">
      <c r="A680" s="126" t="s">
        <v>0</v>
      </c>
      <c r="B680" s="127" t="s">
        <v>90</v>
      </c>
      <c r="C680" s="127" t="s">
        <v>3</v>
      </c>
      <c r="D680" s="183" t="s">
        <v>109</v>
      </c>
      <c r="E680" s="183" t="s">
        <v>155</v>
      </c>
      <c r="F680" s="183" t="s">
        <v>195</v>
      </c>
      <c r="G680" s="129" t="s">
        <v>305</v>
      </c>
      <c r="H680" s="129" t="s">
        <v>409</v>
      </c>
      <c r="I680" s="129" t="s">
        <v>244</v>
      </c>
      <c r="J680" s="129" t="s">
        <v>232</v>
      </c>
      <c r="K680" s="128" t="s">
        <v>110</v>
      </c>
    </row>
    <row r="681">
      <c r="A681" s="276"/>
      <c r="B681" s="278" t="s">
        <v>21</v>
      </c>
      <c r="C681" s="278" t="s">
        <v>21</v>
      </c>
      <c r="D681" s="278" t="s">
        <v>21</v>
      </c>
      <c r="E681" s="278" t="s">
        <v>375</v>
      </c>
      <c r="F681" s="278" t="s">
        <v>21</v>
      </c>
      <c r="G681" s="278" t="s">
        <v>21</v>
      </c>
      <c r="H681" s="279">
        <f>70000/6/8</f>
        <v>1458.333333</v>
      </c>
      <c r="I681" s="278" t="s">
        <v>21</v>
      </c>
      <c r="J681" s="278" t="s">
        <v>21</v>
      </c>
      <c r="K681" s="276"/>
      <c r="L681" s="282"/>
      <c r="M681" s="282"/>
      <c r="N681" s="282"/>
      <c r="O681" s="282"/>
      <c r="P681" s="282"/>
      <c r="Q681" s="282"/>
      <c r="R681" s="282"/>
      <c r="S681" s="282"/>
      <c r="T681" s="282"/>
      <c r="U681" s="282"/>
      <c r="V681" s="282"/>
      <c r="W681" s="282"/>
      <c r="X681" s="282"/>
      <c r="Y681" s="282"/>
      <c r="Z681" s="282"/>
      <c r="AA681" s="282"/>
      <c r="AB681" s="282"/>
      <c r="AC681" s="282"/>
    </row>
    <row r="682">
      <c r="A682" s="272"/>
      <c r="B682" s="273"/>
      <c r="C682" s="273"/>
      <c r="D682" s="274"/>
      <c r="E682" s="274"/>
      <c r="F682" s="274"/>
      <c r="G682" s="247"/>
      <c r="H682" s="283" t="s">
        <v>410</v>
      </c>
      <c r="I682" s="247"/>
      <c r="J682" s="247"/>
      <c r="K682" s="272"/>
    </row>
    <row r="683">
      <c r="A683" s="195" t="s">
        <v>411</v>
      </c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7"/>
    </row>
    <row r="684">
      <c r="A684" s="200" t="s">
        <v>288</v>
      </c>
      <c r="B684" s="222"/>
      <c r="C684" s="221"/>
      <c r="D684" s="199"/>
      <c r="E684" s="199"/>
      <c r="F684" s="221"/>
      <c r="G684" s="199"/>
      <c r="H684" s="221"/>
      <c r="I684" s="199"/>
      <c r="J684" s="221"/>
      <c r="K684" s="202"/>
    </row>
    <row r="685">
      <c r="A685" s="198" t="s">
        <v>40</v>
      </c>
      <c r="B685" s="221"/>
      <c r="C685" s="221"/>
      <c r="D685" s="221"/>
      <c r="E685" s="221"/>
      <c r="F685" s="199"/>
      <c r="G685" s="221"/>
      <c r="H685" s="199">
        <f>17*H681</f>
        <v>24791.66667</v>
      </c>
      <c r="I685" s="255">
        <f>6*I650</f>
        <v>0</v>
      </c>
      <c r="J685" s="199">
        <f>16*J650</f>
        <v>0</v>
      </c>
      <c r="K685" s="251"/>
      <c r="L685" s="125"/>
    </row>
    <row r="686">
      <c r="A686" s="200"/>
      <c r="B686" s="211"/>
      <c r="C686" s="222"/>
      <c r="D686" s="211"/>
      <c r="E686" s="222"/>
      <c r="F686" s="221"/>
      <c r="G686" s="221"/>
      <c r="H686" s="221"/>
      <c r="I686" s="221"/>
      <c r="J686" s="211"/>
      <c r="K686" s="252"/>
      <c r="L686" s="253"/>
    </row>
    <row r="687">
      <c r="A687" s="200" t="s">
        <v>141</v>
      </c>
      <c r="B687" s="255"/>
      <c r="C687" s="255"/>
      <c r="D687" s="255"/>
      <c r="E687" s="256"/>
      <c r="F687" s="255"/>
      <c r="G687" s="255"/>
      <c r="H687" s="255"/>
      <c r="I687" s="255"/>
      <c r="J687" s="255"/>
      <c r="K687" s="257"/>
      <c r="L687" s="125"/>
    </row>
    <row r="688">
      <c r="A688" s="200" t="s">
        <v>345</v>
      </c>
      <c r="B688" s="255"/>
      <c r="C688" s="255"/>
      <c r="D688" s="255"/>
      <c r="E688" s="255"/>
      <c r="F688" s="255"/>
      <c r="G688" s="255"/>
      <c r="H688" s="255"/>
      <c r="I688" s="255"/>
      <c r="J688" s="255"/>
      <c r="K688" s="257"/>
      <c r="L688" s="125"/>
    </row>
    <row r="689">
      <c r="A689" s="205" t="s">
        <v>118</v>
      </c>
      <c r="B689" s="226">
        <f t="shared" ref="B689:G689" si="181">B666</f>
        <v>130000</v>
      </c>
      <c r="C689" s="226">
        <f t="shared" si="181"/>
        <v>140000</v>
      </c>
      <c r="D689" s="226">
        <f t="shared" si="181"/>
        <v>150000</v>
      </c>
      <c r="E689" s="226">
        <f t="shared" si="181"/>
        <v>90000</v>
      </c>
      <c r="F689" s="226">
        <f t="shared" si="181"/>
        <v>175000</v>
      </c>
      <c r="G689" s="226">
        <f t="shared" si="181"/>
        <v>110000</v>
      </c>
      <c r="H689" s="226">
        <f>H685</f>
        <v>24791.66667</v>
      </c>
      <c r="I689" s="226">
        <f>I666</f>
        <v>100000</v>
      </c>
      <c r="J689" s="226">
        <f>J668</f>
        <v>100000</v>
      </c>
      <c r="K689" s="206">
        <f>SUM(B689:J689)</f>
        <v>1019791.667</v>
      </c>
    </row>
    <row r="690">
      <c r="A690" s="126" t="s">
        <v>0</v>
      </c>
      <c r="B690" s="127" t="s">
        <v>90</v>
      </c>
      <c r="C690" s="127" t="s">
        <v>3</v>
      </c>
      <c r="D690" s="183" t="s">
        <v>109</v>
      </c>
      <c r="E690" s="183" t="s">
        <v>155</v>
      </c>
      <c r="F690" s="183" t="s">
        <v>195</v>
      </c>
      <c r="G690" s="129" t="s">
        <v>305</v>
      </c>
      <c r="H690" s="129" t="s">
        <v>409</v>
      </c>
      <c r="I690" s="129" t="s">
        <v>244</v>
      </c>
      <c r="J690" s="129" t="s">
        <v>232</v>
      </c>
      <c r="K690" s="128" t="s">
        <v>110</v>
      </c>
    </row>
    <row r="691">
      <c r="A691" s="272"/>
      <c r="B691" s="278" t="s">
        <v>21</v>
      </c>
      <c r="C691" s="278" t="s">
        <v>21</v>
      </c>
      <c r="D691" s="278" t="s">
        <v>21</v>
      </c>
      <c r="E691" s="274"/>
      <c r="F691" s="278" t="s">
        <v>21</v>
      </c>
      <c r="G691" s="278" t="s">
        <v>21</v>
      </c>
      <c r="H691" s="247"/>
      <c r="I691" s="278" t="s">
        <v>21</v>
      </c>
      <c r="J691" s="247"/>
      <c r="K691" s="272"/>
    </row>
    <row r="692">
      <c r="A692" s="272"/>
      <c r="B692" s="273"/>
      <c r="C692" s="273"/>
      <c r="D692" s="274"/>
      <c r="E692" s="274"/>
      <c r="F692" s="274"/>
      <c r="G692" s="247"/>
      <c r="H692" s="247"/>
      <c r="I692" s="247"/>
      <c r="J692" s="247"/>
      <c r="K692" s="272"/>
    </row>
    <row r="693">
      <c r="A693" s="195" t="s">
        <v>412</v>
      </c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7"/>
    </row>
    <row r="694">
      <c r="A694" s="200" t="s">
        <v>288</v>
      </c>
      <c r="B694" s="222"/>
      <c r="C694" s="221"/>
      <c r="D694" s="199"/>
      <c r="E694" s="199"/>
      <c r="F694" s="221"/>
      <c r="G694" s="199"/>
      <c r="H694" s="221"/>
      <c r="I694" s="199"/>
      <c r="J694" s="221"/>
      <c r="K694" s="202"/>
    </row>
    <row r="695">
      <c r="A695" s="198" t="s">
        <v>40</v>
      </c>
      <c r="B695" s="221"/>
      <c r="C695" s="221"/>
      <c r="D695" s="221"/>
      <c r="E695" s="221"/>
      <c r="F695" s="199"/>
      <c r="G695" s="221"/>
      <c r="H695" s="199">
        <f>38*H681</f>
        <v>55416.66667</v>
      </c>
      <c r="I695" s="255">
        <f>6*I660</f>
        <v>0</v>
      </c>
      <c r="J695" s="199">
        <f>8*J670</f>
        <v>16666.66667</v>
      </c>
      <c r="K695" s="251"/>
      <c r="L695" s="125"/>
    </row>
    <row r="696">
      <c r="A696" s="200" t="s">
        <v>413</v>
      </c>
      <c r="B696" s="211"/>
      <c r="C696" s="222"/>
      <c r="D696" s="211"/>
      <c r="E696" s="222">
        <f>(8*E670)*1.25</f>
        <v>18750</v>
      </c>
      <c r="F696" s="221"/>
      <c r="G696" s="221"/>
      <c r="H696" s="221">
        <v>3000.0</v>
      </c>
      <c r="I696" s="221"/>
      <c r="J696" s="211"/>
      <c r="K696" s="252"/>
      <c r="L696" s="253"/>
    </row>
    <row r="697">
      <c r="A697" s="200" t="s">
        <v>141</v>
      </c>
      <c r="B697" s="255">
        <f>B670*8</f>
        <v>21666.66667</v>
      </c>
      <c r="C697" s="255">
        <f>8*C670</f>
        <v>23333.33333</v>
      </c>
      <c r="D697" s="255"/>
      <c r="E697" s="256">
        <f>8*E670</f>
        <v>15000</v>
      </c>
      <c r="F697" s="255"/>
      <c r="G697" s="255">
        <f t="shared" ref="G697:H697" si="182">8*G670</f>
        <v>18333.33333</v>
      </c>
      <c r="H697" s="255">
        <f t="shared" si="182"/>
        <v>0</v>
      </c>
      <c r="I697" s="255"/>
      <c r="J697" s="255">
        <f>8*J670</f>
        <v>16666.66667</v>
      </c>
      <c r="K697" s="257"/>
      <c r="L697" s="125"/>
    </row>
    <row r="698">
      <c r="A698" s="200" t="s">
        <v>345</v>
      </c>
      <c r="B698" s="255"/>
      <c r="C698" s="255"/>
      <c r="D698" s="255"/>
      <c r="E698" s="255"/>
      <c r="F698" s="255"/>
      <c r="G698" s="255"/>
      <c r="H698" s="255"/>
      <c r="I698" s="255"/>
      <c r="J698" s="255"/>
      <c r="K698" s="257"/>
      <c r="L698" s="125"/>
    </row>
    <row r="699">
      <c r="A699" s="205" t="s">
        <v>118</v>
      </c>
      <c r="B699" s="226">
        <f>B666+B697</f>
        <v>151666.6667</v>
      </c>
      <c r="C699" s="226">
        <f>C668+C697</f>
        <v>163333.3333</v>
      </c>
      <c r="D699" s="226">
        <v>150000.0</v>
      </c>
      <c r="E699" s="226">
        <f>E668+E697</f>
        <v>105000</v>
      </c>
      <c r="F699" s="226">
        <f>F668</f>
        <v>175000</v>
      </c>
      <c r="G699" s="226">
        <f>G668+G697</f>
        <v>128333.3333</v>
      </c>
      <c r="H699" s="226">
        <f>H695+H696</f>
        <v>58416.66667</v>
      </c>
      <c r="I699" s="226">
        <f>I668+I697</f>
        <v>100000</v>
      </c>
      <c r="J699" s="226">
        <f>J668+J697+J695</f>
        <v>133333.3333</v>
      </c>
      <c r="K699" s="206">
        <f>SUM(B699:J699)</f>
        <v>1165083.333</v>
      </c>
    </row>
    <row r="700">
      <c r="A700" s="126" t="s">
        <v>0</v>
      </c>
      <c r="B700" s="127" t="s">
        <v>90</v>
      </c>
      <c r="C700" s="127" t="s">
        <v>3</v>
      </c>
      <c r="D700" s="183" t="s">
        <v>109</v>
      </c>
      <c r="E700" s="183" t="s">
        <v>155</v>
      </c>
      <c r="F700" s="183" t="s">
        <v>195</v>
      </c>
      <c r="G700" s="129" t="s">
        <v>305</v>
      </c>
      <c r="H700" s="129" t="s">
        <v>409</v>
      </c>
      <c r="I700" s="129" t="s">
        <v>244</v>
      </c>
      <c r="J700" s="129" t="s">
        <v>232</v>
      </c>
      <c r="K700" s="128" t="s">
        <v>110</v>
      </c>
    </row>
    <row r="701">
      <c r="A701" s="272"/>
      <c r="B701" s="278" t="s">
        <v>21</v>
      </c>
      <c r="C701" s="278" t="s">
        <v>21</v>
      </c>
      <c r="D701" s="278" t="s">
        <v>414</v>
      </c>
      <c r="E701" s="274"/>
      <c r="F701" s="278" t="s">
        <v>21</v>
      </c>
      <c r="G701" s="278"/>
      <c r="H701" s="247"/>
      <c r="I701" s="278"/>
      <c r="J701" s="247"/>
      <c r="K701" s="272"/>
    </row>
    <row r="702">
      <c r="A702" s="272"/>
      <c r="B702" s="273"/>
      <c r="C702" s="273"/>
      <c r="D702" s="274"/>
      <c r="E702" s="274"/>
      <c r="F702" s="274"/>
      <c r="G702" s="247"/>
      <c r="H702" s="247"/>
      <c r="I702" s="247"/>
      <c r="J702" s="247"/>
      <c r="K702" s="272"/>
    </row>
    <row r="703">
      <c r="A703" s="195" t="s">
        <v>415</v>
      </c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7"/>
    </row>
    <row r="704">
      <c r="A704" s="200" t="s">
        <v>288</v>
      </c>
      <c r="B704" s="222"/>
      <c r="C704" s="221"/>
      <c r="D704" s="199"/>
      <c r="E704" s="199"/>
      <c r="F704" s="221"/>
      <c r="G704" s="199"/>
      <c r="H704" s="221"/>
      <c r="I704" s="199"/>
      <c r="J704" s="221"/>
      <c r="K704" s="202"/>
    </row>
    <row r="705">
      <c r="A705" s="198" t="s">
        <v>40</v>
      </c>
      <c r="B705" s="221"/>
      <c r="C705" s="221"/>
      <c r="D705" s="221"/>
      <c r="E705" s="211">
        <f>E670</f>
        <v>1875</v>
      </c>
      <c r="F705" s="199"/>
      <c r="G705" s="221">
        <f>9*G670</f>
        <v>20625</v>
      </c>
      <c r="H705" s="199">
        <f>1*H681</f>
        <v>1458.333333</v>
      </c>
      <c r="I705" s="255"/>
      <c r="J705" s="199">
        <f>4*J670</f>
        <v>8333.333333</v>
      </c>
      <c r="K705" s="251"/>
      <c r="L705" s="125"/>
    </row>
    <row r="706">
      <c r="A706" s="200" t="s">
        <v>413</v>
      </c>
      <c r="B706" s="211"/>
      <c r="C706" s="222"/>
      <c r="D706" s="211"/>
      <c r="E706" s="222">
        <f>3750</f>
        <v>3750</v>
      </c>
      <c r="F706" s="221"/>
      <c r="G706" s="221">
        <f>G705*1.25-G705</f>
        <v>5156.25</v>
      </c>
      <c r="H706" s="221">
        <v>2916.0</v>
      </c>
      <c r="I706" s="221"/>
      <c r="J706" s="211"/>
      <c r="K706" s="252"/>
      <c r="L706" s="253"/>
    </row>
    <row r="707">
      <c r="A707" s="200" t="s">
        <v>141</v>
      </c>
      <c r="B707" s="255"/>
      <c r="C707" s="255"/>
      <c r="D707" s="255"/>
      <c r="E707" s="256"/>
      <c r="F707" s="255"/>
      <c r="G707" s="255"/>
      <c r="H707" s="255"/>
      <c r="I707" s="255"/>
      <c r="J707" s="255"/>
      <c r="K707" s="257"/>
      <c r="L707" s="125"/>
    </row>
    <row r="708">
      <c r="A708" s="200" t="s">
        <v>345</v>
      </c>
      <c r="B708" s="255"/>
      <c r="C708" s="255"/>
      <c r="D708" s="255"/>
      <c r="E708" s="255"/>
      <c r="F708" s="255"/>
      <c r="G708" s="255"/>
      <c r="H708" s="255"/>
      <c r="I708" s="255"/>
      <c r="J708" s="255"/>
      <c r="K708" s="257"/>
      <c r="L708" s="125"/>
    </row>
    <row r="709">
      <c r="A709" s="205" t="s">
        <v>118</v>
      </c>
      <c r="B709" s="226">
        <f t="shared" ref="B709:C709" si="183">B665</f>
        <v>130000</v>
      </c>
      <c r="C709" s="226">
        <f t="shared" si="183"/>
        <v>140000</v>
      </c>
      <c r="D709" s="226">
        <v>150000.0</v>
      </c>
      <c r="E709" s="258">
        <f>E668+E706+E705</f>
        <v>95625</v>
      </c>
      <c r="F709" s="226">
        <f>F665</f>
        <v>175000</v>
      </c>
      <c r="G709" s="226">
        <f>G668+G706+G705</f>
        <v>135781.25</v>
      </c>
      <c r="H709" s="226">
        <f>70000+H706+H705</f>
        <v>74374.33333</v>
      </c>
      <c r="I709" s="226">
        <v>100000.0</v>
      </c>
      <c r="J709" s="226">
        <f>J668+J705</f>
        <v>108333.3333</v>
      </c>
      <c r="K709" s="206">
        <f>SUM(B709:J709)</f>
        <v>1109113.917</v>
      </c>
    </row>
    <row r="710">
      <c r="A710" s="126" t="s">
        <v>0</v>
      </c>
      <c r="B710" s="127" t="s">
        <v>90</v>
      </c>
      <c r="C710" s="127" t="s">
        <v>3</v>
      </c>
      <c r="D710" s="183" t="s">
        <v>109</v>
      </c>
      <c r="E710" s="183" t="s">
        <v>155</v>
      </c>
      <c r="F710" s="183" t="s">
        <v>195</v>
      </c>
      <c r="G710" s="129" t="s">
        <v>305</v>
      </c>
      <c r="H710" s="129" t="s">
        <v>409</v>
      </c>
      <c r="I710" s="129" t="s">
        <v>244</v>
      </c>
      <c r="J710" s="129" t="s">
        <v>232</v>
      </c>
      <c r="K710" s="128" t="s">
        <v>110</v>
      </c>
    </row>
    <row r="711">
      <c r="A711" s="272"/>
      <c r="B711" s="278" t="s">
        <v>21</v>
      </c>
      <c r="C711" s="278" t="s">
        <v>21</v>
      </c>
      <c r="D711" s="278" t="s">
        <v>21</v>
      </c>
      <c r="E711" s="274"/>
      <c r="F711" s="278" t="s">
        <v>21</v>
      </c>
      <c r="G711" s="278" t="s">
        <v>21</v>
      </c>
      <c r="H711" s="247"/>
      <c r="I711" s="278" t="s">
        <v>414</v>
      </c>
      <c r="J711" s="247"/>
      <c r="K711" s="272"/>
    </row>
    <row r="712">
      <c r="A712" s="272"/>
      <c r="B712" s="273"/>
      <c r="C712" s="273"/>
      <c r="D712" s="274"/>
      <c r="E712" s="274"/>
      <c r="F712" s="274"/>
      <c r="G712" s="247"/>
      <c r="H712" s="247"/>
      <c r="I712" s="247"/>
      <c r="J712" s="247"/>
      <c r="K712" s="272"/>
    </row>
    <row r="713">
      <c r="A713" s="195" t="s">
        <v>416</v>
      </c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7"/>
    </row>
    <row r="714">
      <c r="A714" s="284" t="s">
        <v>417</v>
      </c>
      <c r="B714" s="285"/>
      <c r="C714" s="286"/>
      <c r="D714" s="286">
        <v>1.0</v>
      </c>
      <c r="E714" s="287"/>
      <c r="F714" s="286"/>
      <c r="G714" s="287"/>
      <c r="H714" s="286"/>
      <c r="I714" s="286">
        <v>6.0</v>
      </c>
      <c r="J714" s="286"/>
      <c r="K714" s="288"/>
      <c r="L714" s="288"/>
    </row>
    <row r="715">
      <c r="A715" s="198" t="s">
        <v>40</v>
      </c>
      <c r="B715" s="221">
        <v>20000.0</v>
      </c>
      <c r="C715" s="221">
        <v>25000.0</v>
      </c>
      <c r="D715" s="221">
        <v>20000.0</v>
      </c>
      <c r="E715" s="221">
        <f>1*E731</f>
        <v>2291.666667</v>
      </c>
      <c r="F715" s="199"/>
      <c r="G715" s="221"/>
      <c r="H715" s="199">
        <f>1*H691</f>
        <v>0</v>
      </c>
      <c r="I715" s="255"/>
      <c r="J715" s="199"/>
      <c r="K715" s="251">
        <f>24*K721</f>
        <v>50400</v>
      </c>
      <c r="L715" s="251"/>
    </row>
    <row r="716">
      <c r="A716" s="200" t="s">
        <v>413</v>
      </c>
      <c r="B716" s="211"/>
      <c r="C716" s="222"/>
      <c r="D716" s="211"/>
      <c r="E716" s="222">
        <v>4220.0</v>
      </c>
      <c r="F716" s="221"/>
      <c r="G716" s="221">
        <f>G715*1.25-G715</f>
        <v>0</v>
      </c>
      <c r="H716" s="221"/>
      <c r="I716" s="221"/>
      <c r="J716" s="211"/>
      <c r="K716" s="289">
        <v>4725.0</v>
      </c>
      <c r="L716" s="252"/>
    </row>
    <row r="717">
      <c r="A717" s="200" t="s">
        <v>141</v>
      </c>
      <c r="B717" s="255"/>
      <c r="C717" s="255"/>
      <c r="D717" s="255"/>
      <c r="E717" s="256"/>
      <c r="F717" s="255"/>
      <c r="G717" s="255"/>
      <c r="H717" s="255"/>
      <c r="I717" s="255"/>
      <c r="J717" s="255"/>
      <c r="K717" s="257"/>
      <c r="L717" s="257"/>
    </row>
    <row r="718">
      <c r="A718" s="200" t="s">
        <v>345</v>
      </c>
      <c r="B718" s="255"/>
      <c r="C718" s="255"/>
      <c r="D718" s="255"/>
      <c r="E718" s="255"/>
      <c r="F718" s="255"/>
      <c r="G718" s="255"/>
      <c r="H718" s="255"/>
      <c r="I718" s="255"/>
      <c r="J718" s="255"/>
      <c r="K718" s="257"/>
      <c r="L718" s="257"/>
    </row>
    <row r="719">
      <c r="A719" s="205" t="s">
        <v>118</v>
      </c>
      <c r="B719" s="226">
        <f>B667+B715</f>
        <v>150000</v>
      </c>
      <c r="C719" s="226">
        <f>C668+C715</f>
        <v>165000</v>
      </c>
      <c r="D719" s="226">
        <f>150000+D715</f>
        <v>170000</v>
      </c>
      <c r="E719" s="258">
        <f>E668+E716+E715</f>
        <v>96511.66667</v>
      </c>
      <c r="F719" s="226">
        <v>175000.0</v>
      </c>
      <c r="G719" s="226">
        <f>G666</f>
        <v>110000</v>
      </c>
      <c r="H719" s="226">
        <f>70000+H716+H715</f>
        <v>70000</v>
      </c>
      <c r="I719" s="226">
        <f>I688+I717</f>
        <v>0</v>
      </c>
      <c r="J719" s="226">
        <f>J678+J715</f>
        <v>0</v>
      </c>
      <c r="K719" s="208">
        <f>K715+K716</f>
        <v>55125</v>
      </c>
      <c r="L719" s="206">
        <f>SUM(C719:K719)</f>
        <v>841636.6667</v>
      </c>
    </row>
    <row r="720">
      <c r="A720" s="126" t="s">
        <v>0</v>
      </c>
      <c r="B720" s="127" t="s">
        <v>90</v>
      </c>
      <c r="C720" s="127" t="s">
        <v>3</v>
      </c>
      <c r="D720" s="183" t="s">
        <v>109</v>
      </c>
      <c r="E720" s="183" t="s">
        <v>155</v>
      </c>
      <c r="F720" s="183" t="s">
        <v>195</v>
      </c>
      <c r="G720" s="129" t="s">
        <v>305</v>
      </c>
      <c r="H720" s="129" t="s">
        <v>409</v>
      </c>
      <c r="I720" s="129" t="s">
        <v>244</v>
      </c>
      <c r="J720" s="129" t="s">
        <v>232</v>
      </c>
      <c r="K720" s="129" t="s">
        <v>418</v>
      </c>
      <c r="L720" s="128" t="s">
        <v>110</v>
      </c>
    </row>
    <row r="721">
      <c r="A721" s="272"/>
      <c r="B721" s="278"/>
      <c r="C721" s="278"/>
      <c r="D721" s="278" t="s">
        <v>21</v>
      </c>
      <c r="E721" s="274"/>
      <c r="F721" s="278" t="s">
        <v>21</v>
      </c>
      <c r="G721" s="278" t="s">
        <v>21</v>
      </c>
      <c r="H721" s="247"/>
      <c r="I721" s="278"/>
      <c r="J721" s="247"/>
      <c r="K721" s="279">
        <v>2100.0</v>
      </c>
    </row>
    <row r="722">
      <c r="A722" s="272"/>
      <c r="B722" s="273"/>
      <c r="C722" s="273"/>
      <c r="D722" s="274"/>
      <c r="E722" s="274"/>
      <c r="F722" s="274"/>
      <c r="G722" s="247"/>
      <c r="H722" s="247"/>
      <c r="I722" s="247"/>
      <c r="J722" s="247"/>
      <c r="K722" s="279" t="s">
        <v>406</v>
      </c>
    </row>
    <row r="723">
      <c r="A723" s="272"/>
      <c r="B723" s="273"/>
      <c r="C723" s="273"/>
      <c r="D723" s="274"/>
      <c r="E723" s="274"/>
      <c r="F723" s="274"/>
      <c r="G723" s="247"/>
      <c r="H723" s="247"/>
      <c r="I723" s="247"/>
      <c r="J723" s="247"/>
      <c r="K723" s="272"/>
    </row>
    <row r="724">
      <c r="A724" s="130" t="s">
        <v>94</v>
      </c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2"/>
    </row>
    <row r="725">
      <c r="A725" s="126" t="s">
        <v>0</v>
      </c>
      <c r="B725" s="127" t="s">
        <v>90</v>
      </c>
      <c r="C725" s="127" t="s">
        <v>3</v>
      </c>
      <c r="D725" s="183" t="s">
        <v>109</v>
      </c>
      <c r="E725" s="183" t="s">
        <v>155</v>
      </c>
      <c r="F725" s="183" t="s">
        <v>195</v>
      </c>
      <c r="G725" s="129" t="s">
        <v>305</v>
      </c>
      <c r="H725" s="129" t="s">
        <v>409</v>
      </c>
      <c r="I725" s="129" t="s">
        <v>244</v>
      </c>
      <c r="J725" s="129" t="s">
        <v>232</v>
      </c>
      <c r="K725" s="129" t="s">
        <v>418</v>
      </c>
      <c r="L725" s="129" t="s">
        <v>341</v>
      </c>
    </row>
    <row r="726">
      <c r="A726" s="133" t="s">
        <v>111</v>
      </c>
      <c r="B726" s="134">
        <v>130000.0</v>
      </c>
      <c r="C726" s="134">
        <v>140000.0</v>
      </c>
      <c r="D726" s="134">
        <v>150000.0</v>
      </c>
      <c r="E726" s="134">
        <v>110000.0</v>
      </c>
      <c r="F726" s="134">
        <v>225000.0</v>
      </c>
      <c r="G726" s="134">
        <v>110000.0</v>
      </c>
      <c r="H726" s="134">
        <v>70000.0</v>
      </c>
      <c r="I726" s="134">
        <v>100000.0</v>
      </c>
      <c r="J726" s="134">
        <v>100000.0</v>
      </c>
      <c r="K726" s="134">
        <v>100000.0</v>
      </c>
      <c r="L726" s="134">
        <f t="shared" ref="L726:L729" si="184">SUM(B726:K726)</f>
        <v>1235000</v>
      </c>
    </row>
    <row r="727">
      <c r="A727" s="137"/>
      <c r="B727" s="134">
        <v>130000.0</v>
      </c>
      <c r="C727" s="134">
        <v>140000.0</v>
      </c>
      <c r="D727" s="134">
        <v>150000.0</v>
      </c>
      <c r="E727" s="134">
        <v>110000.0</v>
      </c>
      <c r="F727" s="134">
        <v>225000.0</v>
      </c>
      <c r="G727" s="134">
        <v>110000.0</v>
      </c>
      <c r="H727" s="134">
        <v>70000.0</v>
      </c>
      <c r="I727" s="134">
        <v>100000.0</v>
      </c>
      <c r="J727" s="134">
        <v>100000.0</v>
      </c>
      <c r="K727" s="134">
        <v>100000.0</v>
      </c>
      <c r="L727" s="134">
        <f t="shared" si="184"/>
        <v>1235000</v>
      </c>
      <c r="M727" s="91"/>
    </row>
    <row r="728">
      <c r="A728" s="137"/>
      <c r="B728" s="134">
        <v>130000.0</v>
      </c>
      <c r="C728" s="134">
        <v>140000.0</v>
      </c>
      <c r="D728" s="134">
        <v>150000.0</v>
      </c>
      <c r="E728" s="134">
        <v>110000.0</v>
      </c>
      <c r="F728" s="134">
        <v>225000.0</v>
      </c>
      <c r="G728" s="134">
        <v>110000.0</v>
      </c>
      <c r="H728" s="134">
        <v>70000.0</v>
      </c>
      <c r="I728" s="134">
        <v>100000.0</v>
      </c>
      <c r="J728" s="134">
        <v>100000.0</v>
      </c>
      <c r="K728" s="134">
        <v>100000.0</v>
      </c>
      <c r="L728" s="134">
        <f t="shared" si="184"/>
        <v>1235000</v>
      </c>
    </row>
    <row r="729">
      <c r="A729" s="138"/>
      <c r="B729" s="134">
        <v>130000.0</v>
      </c>
      <c r="C729" s="134">
        <v>140000.0</v>
      </c>
      <c r="D729" s="134">
        <v>150000.0</v>
      </c>
      <c r="E729" s="134">
        <v>110000.0</v>
      </c>
      <c r="F729" s="134">
        <v>225000.0</v>
      </c>
      <c r="G729" s="134">
        <v>110000.0</v>
      </c>
      <c r="H729" s="134">
        <v>70000.0</v>
      </c>
      <c r="I729" s="134">
        <v>100000.0</v>
      </c>
      <c r="J729" s="134">
        <v>100000.0</v>
      </c>
      <c r="K729" s="134">
        <v>100000.0</v>
      </c>
      <c r="L729" s="134">
        <f t="shared" si="184"/>
        <v>1235000</v>
      </c>
    </row>
    <row r="730">
      <c r="A730" s="140" t="s">
        <v>113</v>
      </c>
      <c r="B730" s="141">
        <f t="shared" ref="B730:L730" si="185">SUM(B726:B729)</f>
        <v>520000</v>
      </c>
      <c r="C730" s="141">
        <f t="shared" si="185"/>
        <v>560000</v>
      </c>
      <c r="D730" s="141">
        <f t="shared" si="185"/>
        <v>600000</v>
      </c>
      <c r="E730" s="141">
        <f t="shared" si="185"/>
        <v>440000</v>
      </c>
      <c r="F730" s="141">
        <f t="shared" si="185"/>
        <v>900000</v>
      </c>
      <c r="G730" s="141">
        <f t="shared" si="185"/>
        <v>440000</v>
      </c>
      <c r="H730" s="141">
        <f t="shared" si="185"/>
        <v>280000</v>
      </c>
      <c r="I730" s="141">
        <f t="shared" si="185"/>
        <v>400000</v>
      </c>
      <c r="J730" s="141">
        <f t="shared" si="185"/>
        <v>400000</v>
      </c>
      <c r="K730" s="141">
        <f t="shared" si="185"/>
        <v>400000</v>
      </c>
      <c r="L730" s="141">
        <f t="shared" si="185"/>
        <v>4940000</v>
      </c>
    </row>
    <row r="731">
      <c r="A731" s="260" t="s">
        <v>138</v>
      </c>
      <c r="B731" s="261">
        <f>B727/6/8</f>
        <v>2708.333333</v>
      </c>
      <c r="C731" s="261">
        <f>C726/8/6</f>
        <v>2916.666667</v>
      </c>
      <c r="D731" s="261">
        <f t="shared" ref="D731:F731" si="186">D726/6/8</f>
        <v>3125</v>
      </c>
      <c r="E731" s="261">
        <f t="shared" si="186"/>
        <v>2291.666667</v>
      </c>
      <c r="F731" s="261">
        <f t="shared" si="186"/>
        <v>4687.5</v>
      </c>
      <c r="G731" s="261">
        <f>G727/6/8</f>
        <v>2291.666667</v>
      </c>
      <c r="H731" s="261">
        <f>H726/8/6</f>
        <v>1458.333333</v>
      </c>
      <c r="I731" s="261">
        <f>I726/6/7</f>
        <v>2380.952381</v>
      </c>
      <c r="J731" s="262">
        <f>J726/6/8</f>
        <v>2083.333333</v>
      </c>
      <c r="K731" s="290">
        <v>2100.0</v>
      </c>
      <c r="L731" s="263"/>
      <c r="M731" s="174"/>
      <c r="N731" s="174"/>
      <c r="O731" s="174"/>
    </row>
    <row r="732">
      <c r="A732" s="272"/>
      <c r="B732" s="273"/>
      <c r="C732" s="273"/>
      <c r="D732" s="274"/>
      <c r="E732" s="274"/>
      <c r="F732" s="274" t="s">
        <v>121</v>
      </c>
      <c r="G732" s="247"/>
      <c r="H732" s="247"/>
      <c r="I732" s="247"/>
      <c r="J732" s="247"/>
      <c r="K732" s="247" t="s">
        <v>121</v>
      </c>
    </row>
    <row r="733">
      <c r="A733" s="195" t="s">
        <v>419</v>
      </c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7"/>
    </row>
    <row r="734">
      <c r="A734" s="284" t="s">
        <v>417</v>
      </c>
      <c r="B734" s="285"/>
      <c r="C734" s="286"/>
      <c r="D734" s="286">
        <v>1.0</v>
      </c>
      <c r="E734" s="287"/>
      <c r="F734" s="286"/>
      <c r="G734" s="287"/>
      <c r="H734" s="286"/>
      <c r="I734" s="286">
        <v>6.0</v>
      </c>
      <c r="J734" s="286"/>
      <c r="K734" s="288"/>
      <c r="L734" s="288"/>
    </row>
    <row r="735">
      <c r="A735" s="198" t="s">
        <v>40</v>
      </c>
      <c r="B735" s="221"/>
      <c r="C735" s="221"/>
      <c r="D735" s="221"/>
      <c r="E735" s="221" t="str">
        <f>1*E751</f>
        <v>#VALUE!</v>
      </c>
      <c r="F735" s="199"/>
      <c r="G735" s="221"/>
      <c r="H735" s="199">
        <f>1*H711</f>
        <v>0</v>
      </c>
      <c r="I735" s="255"/>
      <c r="J735" s="199"/>
      <c r="K735" s="251">
        <f>24*K731</f>
        <v>50400</v>
      </c>
      <c r="L735" s="251"/>
    </row>
    <row r="736">
      <c r="A736" s="200" t="s">
        <v>413</v>
      </c>
      <c r="B736" s="211"/>
      <c r="C736" s="222"/>
      <c r="D736" s="211"/>
      <c r="E736" s="222">
        <v>4220.0</v>
      </c>
      <c r="F736" s="221"/>
      <c r="G736" s="221">
        <f>(9*G731)*1.25</f>
        <v>25781.25</v>
      </c>
      <c r="H736" s="221"/>
      <c r="I736" s="221"/>
      <c r="J736" s="211"/>
      <c r="K736" s="289">
        <v>2100.0</v>
      </c>
      <c r="L736" s="252"/>
    </row>
    <row r="737">
      <c r="A737" s="200" t="s">
        <v>141</v>
      </c>
      <c r="B737" s="255"/>
      <c r="C737" s="255"/>
      <c r="D737" s="255"/>
      <c r="E737" s="256"/>
      <c r="F737" s="255"/>
      <c r="G737" s="255"/>
      <c r="H737" s="255"/>
      <c r="I737" s="255"/>
      <c r="J737" s="255"/>
      <c r="K737" s="257"/>
      <c r="L737" s="257"/>
    </row>
    <row r="738">
      <c r="A738" s="200" t="s">
        <v>345</v>
      </c>
      <c r="B738" s="255"/>
      <c r="C738" s="255"/>
      <c r="D738" s="255"/>
      <c r="E738" s="255"/>
      <c r="F738" s="255"/>
      <c r="G738" s="255"/>
      <c r="H738" s="255"/>
      <c r="I738" s="255"/>
      <c r="J738" s="255"/>
      <c r="K738" s="257"/>
      <c r="L738" s="257"/>
    </row>
    <row r="739">
      <c r="A739" s="205" t="s">
        <v>118</v>
      </c>
      <c r="B739" s="226">
        <f t="shared" ref="B739:C739" si="187">B729</f>
        <v>130000</v>
      </c>
      <c r="C739" s="226">
        <f t="shared" si="187"/>
        <v>140000</v>
      </c>
      <c r="D739" s="226">
        <f>150000+D735</f>
        <v>150000</v>
      </c>
      <c r="E739" s="258">
        <f>E729+E736</f>
        <v>114220</v>
      </c>
      <c r="F739" s="226">
        <v>175000.0</v>
      </c>
      <c r="G739" s="226">
        <f>G726+G736</f>
        <v>135781.25</v>
      </c>
      <c r="H739" s="226">
        <f>70000+H736+H735</f>
        <v>70000</v>
      </c>
      <c r="I739" s="226">
        <f t="shared" ref="I739:J739" si="188">I729</f>
        <v>100000</v>
      </c>
      <c r="J739" s="226">
        <f t="shared" si="188"/>
        <v>100000</v>
      </c>
      <c r="K739" s="208">
        <f>K735+K736</f>
        <v>52500</v>
      </c>
      <c r="L739" s="206">
        <f>SUM(C739:K739)</f>
        <v>1037501.25</v>
      </c>
    </row>
    <row r="740">
      <c r="A740" s="126" t="s">
        <v>0</v>
      </c>
      <c r="B740" s="127" t="s">
        <v>90</v>
      </c>
      <c r="C740" s="127" t="s">
        <v>3</v>
      </c>
      <c r="D740" s="183" t="s">
        <v>109</v>
      </c>
      <c r="E740" s="183" t="s">
        <v>155</v>
      </c>
      <c r="F740" s="183" t="s">
        <v>195</v>
      </c>
      <c r="G740" s="129" t="s">
        <v>305</v>
      </c>
      <c r="H740" s="129" t="s">
        <v>409</v>
      </c>
      <c r="I740" s="129" t="s">
        <v>244</v>
      </c>
      <c r="J740" s="129" t="s">
        <v>232</v>
      </c>
      <c r="K740" s="129" t="s">
        <v>418</v>
      </c>
      <c r="L740" s="128" t="s">
        <v>110</v>
      </c>
    </row>
    <row r="741">
      <c r="A741" s="272"/>
      <c r="B741" s="278" t="s">
        <v>21</v>
      </c>
      <c r="C741" s="278" t="s">
        <v>21</v>
      </c>
      <c r="D741" s="278" t="s">
        <v>21</v>
      </c>
      <c r="E741" s="274"/>
      <c r="F741" s="278" t="s">
        <v>21</v>
      </c>
      <c r="G741" s="278" t="s">
        <v>21</v>
      </c>
      <c r="H741" s="247"/>
      <c r="I741" s="278" t="s">
        <v>21</v>
      </c>
      <c r="J741" s="278" t="s">
        <v>21</v>
      </c>
      <c r="K741" s="279">
        <v>2100.0</v>
      </c>
    </row>
    <row r="742">
      <c r="A742" s="272"/>
      <c r="B742" s="273"/>
      <c r="C742" s="273"/>
      <c r="D742" s="274"/>
      <c r="E742" s="274"/>
      <c r="F742" s="274"/>
      <c r="G742" s="247"/>
      <c r="H742" s="247"/>
      <c r="I742" s="247"/>
      <c r="J742" s="248" t="s">
        <v>420</v>
      </c>
      <c r="K742" s="279" t="s">
        <v>406</v>
      </c>
    </row>
    <row r="743">
      <c r="A743" s="272"/>
      <c r="B743" s="273"/>
      <c r="C743" s="273"/>
      <c r="D743" s="274"/>
      <c r="E743" s="274"/>
      <c r="F743" s="274"/>
      <c r="G743" s="247"/>
      <c r="H743" s="247"/>
      <c r="I743" s="247"/>
      <c r="J743" s="247"/>
      <c r="K743" s="272"/>
    </row>
    <row r="744">
      <c r="A744" s="195" t="s">
        <v>421</v>
      </c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7"/>
    </row>
    <row r="745">
      <c r="A745" s="284" t="s">
        <v>417</v>
      </c>
      <c r="B745" s="285"/>
      <c r="C745" s="286"/>
      <c r="D745" s="286">
        <v>2.0</v>
      </c>
      <c r="E745" s="287"/>
      <c r="F745" s="286"/>
      <c r="G745" s="287"/>
      <c r="H745" s="286"/>
      <c r="I745" s="286">
        <v>6.0</v>
      </c>
      <c r="J745" s="286">
        <v>6.0</v>
      </c>
      <c r="K745" s="288"/>
      <c r="L745" s="288"/>
    </row>
    <row r="746">
      <c r="A746" s="198" t="s">
        <v>40</v>
      </c>
      <c r="B746" s="221"/>
      <c r="C746" s="221"/>
      <c r="D746" s="221"/>
      <c r="E746" s="211">
        <f>E731</f>
        <v>2291.666667</v>
      </c>
      <c r="F746" s="199"/>
      <c r="G746" s="211">
        <f>G731</f>
        <v>2291.666667</v>
      </c>
      <c r="H746" s="199">
        <f>1*H722</f>
        <v>0</v>
      </c>
      <c r="I746" s="255"/>
      <c r="J746" s="199"/>
      <c r="K746" s="251">
        <f>35*K741</f>
        <v>73500</v>
      </c>
      <c r="L746" s="251"/>
    </row>
    <row r="747">
      <c r="A747" s="200" t="s">
        <v>413</v>
      </c>
      <c r="B747" s="211"/>
      <c r="C747" s="222"/>
      <c r="D747" s="211"/>
      <c r="E747" s="222">
        <v>5157.0</v>
      </c>
      <c r="F747" s="221"/>
      <c r="G747" s="221">
        <v>5157.0</v>
      </c>
      <c r="H747" s="221"/>
      <c r="I747" s="221"/>
      <c r="J747" s="211"/>
      <c r="K747" s="289">
        <v>4725.0</v>
      </c>
      <c r="L747" s="252"/>
    </row>
    <row r="748">
      <c r="A748" s="200" t="s">
        <v>141</v>
      </c>
      <c r="B748" s="255"/>
      <c r="C748" s="255"/>
      <c r="D748" s="255"/>
      <c r="E748" s="256"/>
      <c r="F748" s="255"/>
      <c r="G748" s="255"/>
      <c r="H748" s="255"/>
      <c r="I748" s="255"/>
      <c r="J748" s="255"/>
      <c r="K748" s="257"/>
      <c r="L748" s="257"/>
    </row>
    <row r="749">
      <c r="A749" s="200" t="s">
        <v>345</v>
      </c>
      <c r="B749" s="255"/>
      <c r="C749" s="255"/>
      <c r="D749" s="255"/>
      <c r="E749" s="255"/>
      <c r="F749" s="255"/>
      <c r="G749" s="255"/>
      <c r="H749" s="255"/>
      <c r="I749" s="255"/>
      <c r="J749" s="255"/>
      <c r="K749" s="257"/>
      <c r="L749" s="257"/>
    </row>
    <row r="750">
      <c r="A750" s="205" t="s">
        <v>118</v>
      </c>
      <c r="B750" s="226">
        <f t="shared" ref="B750:C750" si="189">B729</f>
        <v>130000</v>
      </c>
      <c r="C750" s="226">
        <f t="shared" si="189"/>
        <v>140000</v>
      </c>
      <c r="D750" s="226">
        <f>150000+D746</f>
        <v>150000</v>
      </c>
      <c r="E750" s="258">
        <f>E729+E747+E746</f>
        <v>117448.6667</v>
      </c>
      <c r="F750" s="226">
        <v>175000.0</v>
      </c>
      <c r="G750" s="238">
        <f>G729+G746+G747</f>
        <v>117448.6667</v>
      </c>
      <c r="H750" s="226">
        <f>70000+H747+H746</f>
        <v>70000</v>
      </c>
      <c r="I750" s="226">
        <f>I728</f>
        <v>100000</v>
      </c>
      <c r="J750" s="226" t="str">
        <f>J740</f>
        <v>KAREN</v>
      </c>
      <c r="K750" s="208">
        <f>K746+K747</f>
        <v>78225</v>
      </c>
      <c r="L750" s="206">
        <f>SUM(C750:K750)</f>
        <v>948122.3333</v>
      </c>
    </row>
    <row r="751">
      <c r="A751" s="126" t="s">
        <v>0</v>
      </c>
      <c r="B751" s="127" t="s">
        <v>90</v>
      </c>
      <c r="C751" s="127" t="s">
        <v>3</v>
      </c>
      <c r="D751" s="183" t="s">
        <v>109</v>
      </c>
      <c r="E751" s="183" t="s">
        <v>155</v>
      </c>
      <c r="F751" s="183" t="s">
        <v>195</v>
      </c>
      <c r="G751" s="129" t="s">
        <v>305</v>
      </c>
      <c r="H751" s="129" t="s">
        <v>409</v>
      </c>
      <c r="I751" s="129" t="s">
        <v>244</v>
      </c>
      <c r="J751" s="129" t="s">
        <v>232</v>
      </c>
      <c r="K751" s="129" t="s">
        <v>418</v>
      </c>
      <c r="L751" s="128" t="s">
        <v>110</v>
      </c>
    </row>
    <row r="752">
      <c r="A752" s="272"/>
      <c r="B752" s="278" t="s">
        <v>21</v>
      </c>
      <c r="C752" s="278" t="s">
        <v>21</v>
      </c>
      <c r="D752" s="278" t="s">
        <v>21</v>
      </c>
      <c r="E752" s="274"/>
      <c r="F752" s="278" t="s">
        <v>21</v>
      </c>
      <c r="G752" s="278" t="s">
        <v>21</v>
      </c>
      <c r="H752" s="247"/>
      <c r="I752" s="278" t="s">
        <v>21</v>
      </c>
      <c r="J752" s="278" t="s">
        <v>21</v>
      </c>
      <c r="K752" s="279">
        <v>2100.0</v>
      </c>
    </row>
    <row r="753">
      <c r="A753" s="272"/>
      <c r="B753" s="273"/>
      <c r="C753" s="273"/>
      <c r="D753" s="291" t="s">
        <v>422</v>
      </c>
      <c r="E753" s="274"/>
      <c r="F753" s="274"/>
      <c r="G753" s="247"/>
      <c r="H753" s="247"/>
      <c r="I753" s="248" t="s">
        <v>423</v>
      </c>
      <c r="J753" s="292" t="s">
        <v>424</v>
      </c>
      <c r="K753" s="279" t="s">
        <v>406</v>
      </c>
    </row>
    <row r="754">
      <c r="A754" s="272"/>
      <c r="B754" s="273"/>
      <c r="C754" s="273"/>
      <c r="D754" s="274"/>
      <c r="E754" s="274"/>
      <c r="F754" s="274"/>
      <c r="G754" s="247"/>
      <c r="H754" s="247"/>
      <c r="I754" s="247"/>
      <c r="J754" s="247"/>
      <c r="K754" s="272"/>
    </row>
    <row r="755">
      <c r="A755" s="195" t="s">
        <v>425</v>
      </c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7"/>
    </row>
    <row r="756">
      <c r="A756" s="284" t="s">
        <v>417</v>
      </c>
      <c r="B756" s="285"/>
      <c r="C756" s="286"/>
      <c r="D756" s="286">
        <v>1.0</v>
      </c>
      <c r="E756" s="287"/>
      <c r="F756" s="286"/>
      <c r="G756" s="287"/>
      <c r="H756" s="286"/>
      <c r="I756" s="286">
        <v>6.0</v>
      </c>
      <c r="J756" s="286">
        <v>6.0</v>
      </c>
      <c r="K756" s="288"/>
      <c r="L756" s="288"/>
      <c r="M756" s="288"/>
    </row>
    <row r="757">
      <c r="A757" s="198" t="s">
        <v>40</v>
      </c>
      <c r="B757" s="221"/>
      <c r="C757" s="221"/>
      <c r="D757" s="221"/>
      <c r="E757" s="211">
        <f>E746</f>
        <v>2291.666667</v>
      </c>
      <c r="F757" s="199"/>
      <c r="G757" s="221">
        <v>2292.0</v>
      </c>
      <c r="H757" s="199">
        <f>1*H733</f>
        <v>0</v>
      </c>
      <c r="I757" s="255"/>
      <c r="J757" s="199"/>
      <c r="K757" s="251"/>
      <c r="L757" s="251"/>
      <c r="M757" s="251"/>
    </row>
    <row r="758">
      <c r="A758" s="200" t="s">
        <v>413</v>
      </c>
      <c r="B758" s="211"/>
      <c r="C758" s="222"/>
      <c r="D758" s="211"/>
      <c r="E758" s="222">
        <v>5157.0</v>
      </c>
      <c r="F758" s="221"/>
      <c r="G758" s="221">
        <v>5157.0</v>
      </c>
      <c r="H758" s="221"/>
      <c r="I758" s="221"/>
      <c r="J758" s="211"/>
      <c r="K758" s="289"/>
      <c r="L758" s="252"/>
      <c r="M758" s="252"/>
    </row>
    <row r="759">
      <c r="A759" s="200" t="s">
        <v>141</v>
      </c>
      <c r="B759" s="255"/>
      <c r="C759" s="255"/>
      <c r="D759" s="255"/>
      <c r="E759" s="256"/>
      <c r="F759" s="255"/>
      <c r="G759" s="255"/>
      <c r="H759" s="255"/>
      <c r="I759" s="255"/>
      <c r="J759" s="255"/>
      <c r="K759" s="257"/>
      <c r="L759" s="257"/>
      <c r="M759" s="257"/>
    </row>
    <row r="760">
      <c r="A760" s="200" t="s">
        <v>345</v>
      </c>
      <c r="B760" s="255"/>
      <c r="C760" s="255"/>
      <c r="D760" s="255"/>
      <c r="E760" s="255"/>
      <c r="F760" s="255"/>
      <c r="G760" s="255"/>
      <c r="H760" s="255"/>
      <c r="I760" s="255"/>
      <c r="J760" s="255"/>
      <c r="K760" s="257"/>
      <c r="L760" s="257"/>
      <c r="M760" s="257"/>
    </row>
    <row r="761">
      <c r="A761" s="205" t="s">
        <v>118</v>
      </c>
      <c r="B761" s="226">
        <f>B727</f>
        <v>130000</v>
      </c>
      <c r="C761" s="226">
        <f>C729</f>
        <v>140000</v>
      </c>
      <c r="D761" s="226">
        <f>150000+D757</f>
        <v>150000</v>
      </c>
      <c r="E761" s="258">
        <f>E729+E758+E757</f>
        <v>117448.6667</v>
      </c>
      <c r="F761" s="226">
        <v>175000.0</v>
      </c>
      <c r="G761" s="226">
        <f>G728+G758+G757</f>
        <v>117449</v>
      </c>
      <c r="H761" s="226">
        <f>70000+H758+H757</f>
        <v>70000</v>
      </c>
      <c r="I761" s="226">
        <f>I739</f>
        <v>100000</v>
      </c>
      <c r="J761" s="226" t="str">
        <f>J751</f>
        <v>KAREN</v>
      </c>
      <c r="K761" s="226">
        <v>84000.0</v>
      </c>
      <c r="L761" s="206">
        <f>L763</f>
        <v>130000</v>
      </c>
      <c r="M761" s="206">
        <f>SUM(D761:L761)</f>
        <v>943897.6667</v>
      </c>
    </row>
    <row r="762">
      <c r="A762" s="126" t="s">
        <v>0</v>
      </c>
      <c r="B762" s="127" t="s">
        <v>90</v>
      </c>
      <c r="C762" s="127" t="s">
        <v>3</v>
      </c>
      <c r="D762" s="183" t="s">
        <v>109</v>
      </c>
      <c r="E762" s="183" t="s">
        <v>155</v>
      </c>
      <c r="F762" s="183" t="s">
        <v>195</v>
      </c>
      <c r="G762" s="129" t="s">
        <v>305</v>
      </c>
      <c r="H762" s="129" t="s">
        <v>409</v>
      </c>
      <c r="I762" s="129" t="s">
        <v>244</v>
      </c>
      <c r="J762" s="129" t="s">
        <v>232</v>
      </c>
      <c r="K762" s="129" t="s">
        <v>418</v>
      </c>
      <c r="L762" s="129" t="s">
        <v>426</v>
      </c>
      <c r="M762" s="128" t="s">
        <v>110</v>
      </c>
    </row>
    <row r="763">
      <c r="A763" s="272"/>
      <c r="B763" s="278" t="s">
        <v>21</v>
      </c>
      <c r="C763" s="278" t="s">
        <v>21</v>
      </c>
      <c r="D763" s="278" t="s">
        <v>21</v>
      </c>
      <c r="E763" s="274"/>
      <c r="F763" s="278" t="s">
        <v>21</v>
      </c>
      <c r="G763" s="278" t="s">
        <v>21</v>
      </c>
      <c r="H763" s="247"/>
      <c r="I763" s="278" t="s">
        <v>21</v>
      </c>
      <c r="J763" s="278" t="s">
        <v>21</v>
      </c>
      <c r="K763" s="279">
        <v>2100.0</v>
      </c>
      <c r="L763" s="72">
        <v>130000.0</v>
      </c>
    </row>
    <row r="764">
      <c r="A764" s="272"/>
      <c r="B764" s="273"/>
      <c r="C764" s="273"/>
      <c r="D764" s="291" t="s">
        <v>427</v>
      </c>
      <c r="E764" s="274"/>
      <c r="F764" s="274"/>
      <c r="G764" s="247"/>
      <c r="H764" s="247"/>
      <c r="I764" s="248"/>
      <c r="J764" s="292" t="s">
        <v>424</v>
      </c>
      <c r="K764" s="279" t="s">
        <v>406</v>
      </c>
    </row>
    <row r="765">
      <c r="A765" s="272"/>
      <c r="B765" s="273"/>
      <c r="C765" s="273"/>
      <c r="D765" s="274"/>
      <c r="E765" s="274"/>
      <c r="F765" s="274"/>
      <c r="G765" s="247"/>
      <c r="H765" s="247"/>
      <c r="I765" s="247"/>
      <c r="J765" s="247"/>
      <c r="K765" s="272"/>
    </row>
    <row r="766">
      <c r="A766" s="195" t="s">
        <v>428</v>
      </c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7"/>
    </row>
    <row r="767">
      <c r="A767" s="284" t="s">
        <v>417</v>
      </c>
      <c r="B767" s="285"/>
      <c r="C767" s="286"/>
      <c r="D767" s="286"/>
      <c r="E767" s="287"/>
      <c r="F767" s="286"/>
      <c r="G767" s="287"/>
      <c r="H767" s="286"/>
      <c r="I767" s="286">
        <v>6.0</v>
      </c>
      <c r="J767" s="286"/>
      <c r="K767" s="288"/>
      <c r="L767" s="288"/>
      <c r="M767" s="288"/>
    </row>
    <row r="768">
      <c r="A768" s="198" t="s">
        <v>40</v>
      </c>
      <c r="B768" s="221"/>
      <c r="C768" s="221"/>
      <c r="D768" s="221"/>
      <c r="E768" s="211">
        <f>E757</f>
        <v>2291.666667</v>
      </c>
      <c r="F768" s="199"/>
      <c r="G768" s="221">
        <v>2292.0</v>
      </c>
      <c r="H768" s="199">
        <f>1*H744</f>
        <v>0</v>
      </c>
      <c r="I768" s="255"/>
      <c r="J768" s="221">
        <v>2100.0</v>
      </c>
      <c r="K768" s="293">
        <v>50000.0</v>
      </c>
      <c r="L768" s="251"/>
      <c r="M768" s="251"/>
    </row>
    <row r="769">
      <c r="A769" s="200" t="s">
        <v>413</v>
      </c>
      <c r="B769" s="211"/>
      <c r="C769" s="222"/>
      <c r="D769" s="211"/>
      <c r="E769" s="222">
        <v>5157.0</v>
      </c>
      <c r="F769" s="221"/>
      <c r="G769" s="221">
        <v>5157.0</v>
      </c>
      <c r="H769" s="221"/>
      <c r="I769" s="221"/>
      <c r="J769" s="211">
        <v>4725.0</v>
      </c>
      <c r="K769" s="289"/>
      <c r="L769" s="252"/>
      <c r="M769" s="252"/>
    </row>
    <row r="770">
      <c r="A770" s="200" t="s">
        <v>141</v>
      </c>
      <c r="B770" s="255"/>
      <c r="C770" s="255"/>
      <c r="D770" s="255"/>
      <c r="E770" s="256"/>
      <c r="F770" s="255"/>
      <c r="G770" s="255"/>
      <c r="H770" s="255"/>
      <c r="I770" s="255"/>
      <c r="J770" s="255"/>
      <c r="K770" s="257"/>
      <c r="L770" s="257"/>
      <c r="M770" s="257"/>
    </row>
    <row r="771">
      <c r="A771" s="200" t="s">
        <v>345</v>
      </c>
      <c r="B771" s="255"/>
      <c r="C771" s="255"/>
      <c r="D771" s="255"/>
      <c r="E771" s="255"/>
      <c r="F771" s="255"/>
      <c r="G771" s="255"/>
      <c r="H771" s="255"/>
      <c r="I771" s="255"/>
      <c r="J771" s="255"/>
      <c r="K771" s="257"/>
      <c r="L771" s="257"/>
      <c r="M771" s="257"/>
    </row>
    <row r="772">
      <c r="A772" s="205" t="s">
        <v>118</v>
      </c>
      <c r="B772" s="226">
        <f t="shared" ref="B772:C772" si="190">B729</f>
        <v>130000</v>
      </c>
      <c r="C772" s="226">
        <f t="shared" si="190"/>
        <v>140000</v>
      </c>
      <c r="D772" s="226">
        <f>150000+D768</f>
        <v>150000</v>
      </c>
      <c r="E772" s="258">
        <f>E727+E769+E768</f>
        <v>117448.6667</v>
      </c>
      <c r="F772" s="226">
        <v>175000.0</v>
      </c>
      <c r="G772" s="226">
        <f>G728+G769+G768</f>
        <v>117449</v>
      </c>
      <c r="H772" s="226">
        <f>70000+H769+H768</f>
        <v>70000</v>
      </c>
      <c r="I772" s="226">
        <f>100000</f>
        <v>100000</v>
      </c>
      <c r="J772" s="238">
        <f>100000-16800+J768+J769</f>
        <v>90025</v>
      </c>
      <c r="K772" s="226">
        <v>63000.0</v>
      </c>
      <c r="L772" s="226">
        <v>130000.0</v>
      </c>
      <c r="M772" s="206">
        <f>SUM(B772:L772)</f>
        <v>1282922.667</v>
      </c>
    </row>
    <row r="773">
      <c r="A773" s="126" t="s">
        <v>0</v>
      </c>
      <c r="B773" s="127" t="s">
        <v>90</v>
      </c>
      <c r="C773" s="127" t="s">
        <v>3</v>
      </c>
      <c r="D773" s="183" t="s">
        <v>109</v>
      </c>
      <c r="E773" s="183" t="s">
        <v>155</v>
      </c>
      <c r="F773" s="183" t="s">
        <v>195</v>
      </c>
      <c r="G773" s="129" t="s">
        <v>305</v>
      </c>
      <c r="H773" s="129" t="s">
        <v>409</v>
      </c>
      <c r="I773" s="129" t="s">
        <v>244</v>
      </c>
      <c r="J773" s="129" t="s">
        <v>232</v>
      </c>
      <c r="K773" s="129" t="s">
        <v>418</v>
      </c>
      <c r="L773" s="129" t="s">
        <v>426</v>
      </c>
      <c r="M773" s="128" t="s">
        <v>110</v>
      </c>
    </row>
    <row r="774">
      <c r="A774" s="272"/>
      <c r="B774" s="278" t="s">
        <v>21</v>
      </c>
      <c r="C774" s="278" t="s">
        <v>21</v>
      </c>
      <c r="D774" s="278" t="s">
        <v>21</v>
      </c>
      <c r="E774" s="274"/>
      <c r="F774" s="278" t="s">
        <v>21</v>
      </c>
      <c r="G774" s="278" t="s">
        <v>21</v>
      </c>
      <c r="H774" s="278" t="s">
        <v>21</v>
      </c>
      <c r="I774" s="278" t="s">
        <v>21</v>
      </c>
      <c r="J774" s="278" t="s">
        <v>429</v>
      </c>
      <c r="K774" s="279">
        <v>2100.0</v>
      </c>
      <c r="L774" s="278" t="s">
        <v>21</v>
      </c>
    </row>
    <row r="775">
      <c r="A775" s="272"/>
      <c r="B775" s="273"/>
      <c r="C775" s="273"/>
      <c r="D775" s="291"/>
      <c r="E775" s="274"/>
      <c r="F775" s="274"/>
      <c r="G775" s="247"/>
      <c r="H775" s="247"/>
      <c r="I775" s="248"/>
      <c r="J775" s="292"/>
      <c r="K775" s="279" t="s">
        <v>430</v>
      </c>
    </row>
    <row r="776">
      <c r="A776" s="272"/>
      <c r="B776" s="273"/>
      <c r="C776" s="273"/>
      <c r="D776" s="274"/>
      <c r="E776" s="274"/>
      <c r="F776" s="274"/>
      <c r="G776" s="247"/>
      <c r="H776" s="247"/>
      <c r="I776" s="247"/>
      <c r="J776" s="247"/>
      <c r="K776" s="272"/>
    </row>
    <row r="777">
      <c r="A777" s="130" t="s">
        <v>102</v>
      </c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2"/>
    </row>
    <row r="778">
      <c r="A778" s="126" t="s">
        <v>0</v>
      </c>
      <c r="B778" s="294" t="s">
        <v>431</v>
      </c>
      <c r="C778" s="294" t="s">
        <v>432</v>
      </c>
      <c r="D778" s="294" t="s">
        <v>433</v>
      </c>
      <c r="E778" s="294" t="s">
        <v>434</v>
      </c>
      <c r="F778" s="294" t="s">
        <v>435</v>
      </c>
      <c r="G778" s="295" t="s">
        <v>436</v>
      </c>
      <c r="H778" s="295" t="s">
        <v>437</v>
      </c>
      <c r="I778" s="295" t="s">
        <v>438</v>
      </c>
      <c r="J778" s="295" t="s">
        <v>439</v>
      </c>
      <c r="K778" s="295" t="s">
        <v>440</v>
      </c>
      <c r="L778" s="295" t="s">
        <v>441</v>
      </c>
      <c r="M778" s="129" t="s">
        <v>341</v>
      </c>
    </row>
    <row r="779">
      <c r="A779" s="133" t="s">
        <v>111</v>
      </c>
      <c r="B779" s="134">
        <v>130000.0</v>
      </c>
      <c r="C779" s="134">
        <v>140000.0</v>
      </c>
      <c r="D779" s="134">
        <v>150000.0</v>
      </c>
      <c r="E779" s="134">
        <v>110000.0</v>
      </c>
      <c r="F779" s="134">
        <v>225000.0</v>
      </c>
      <c r="G779" s="134">
        <v>110000.0</v>
      </c>
      <c r="H779" s="134">
        <v>70000.0</v>
      </c>
      <c r="I779" s="134">
        <v>100000.0</v>
      </c>
      <c r="J779" s="134">
        <v>100000.0</v>
      </c>
      <c r="K779" s="134">
        <v>100000.0</v>
      </c>
      <c r="L779" s="134">
        <v>130000.0</v>
      </c>
      <c r="M779" s="134">
        <f t="shared" ref="M779:M782" si="191">SUM(B779:L779)</f>
        <v>1365000</v>
      </c>
    </row>
    <row r="780">
      <c r="A780" s="137"/>
      <c r="B780" s="134">
        <v>130000.0</v>
      </c>
      <c r="C780" s="134">
        <v>140000.0</v>
      </c>
      <c r="D780" s="134">
        <v>150000.0</v>
      </c>
      <c r="E780" s="134">
        <v>110000.0</v>
      </c>
      <c r="F780" s="134">
        <v>225000.0</v>
      </c>
      <c r="G780" s="134">
        <v>110000.0</v>
      </c>
      <c r="H780" s="134">
        <v>70000.0</v>
      </c>
      <c r="I780" s="134">
        <v>100000.0</v>
      </c>
      <c r="J780" s="134">
        <v>100000.0</v>
      </c>
      <c r="K780" s="134">
        <v>100000.0</v>
      </c>
      <c r="L780" s="134">
        <v>130000.0</v>
      </c>
      <c r="M780" s="134">
        <f t="shared" si="191"/>
        <v>1365000</v>
      </c>
    </row>
    <row r="781">
      <c r="A781" s="137"/>
      <c r="B781" s="134">
        <v>130000.0</v>
      </c>
      <c r="C781" s="134">
        <v>140000.0</v>
      </c>
      <c r="D781" s="134">
        <v>150000.0</v>
      </c>
      <c r="E781" s="134">
        <v>110000.0</v>
      </c>
      <c r="F781" s="134">
        <v>225000.0</v>
      </c>
      <c r="G781" s="134">
        <v>110000.0</v>
      </c>
      <c r="H781" s="134">
        <v>70000.0</v>
      </c>
      <c r="I781" s="134">
        <v>100000.0</v>
      </c>
      <c r="J781" s="134">
        <v>100000.0</v>
      </c>
      <c r="K781" s="134">
        <v>100000.0</v>
      </c>
      <c r="L781" s="134">
        <v>130000.0</v>
      </c>
      <c r="M781" s="134">
        <f t="shared" si="191"/>
        <v>1365000</v>
      </c>
    </row>
    <row r="782">
      <c r="A782" s="138"/>
      <c r="B782" s="134">
        <v>130000.0</v>
      </c>
      <c r="C782" s="134">
        <v>140000.0</v>
      </c>
      <c r="D782" s="134">
        <v>150000.0</v>
      </c>
      <c r="E782" s="134">
        <v>110000.0</v>
      </c>
      <c r="F782" s="134">
        <v>225000.0</v>
      </c>
      <c r="G782" s="134">
        <v>110000.0</v>
      </c>
      <c r="H782" s="134">
        <v>70000.0</v>
      </c>
      <c r="I782" s="134">
        <v>100000.0</v>
      </c>
      <c r="J782" s="134">
        <v>100000.0</v>
      </c>
      <c r="K782" s="134">
        <v>100000.0</v>
      </c>
      <c r="L782" s="134">
        <v>130000.0</v>
      </c>
      <c r="M782" s="134">
        <f t="shared" si="191"/>
        <v>1365000</v>
      </c>
    </row>
    <row r="783">
      <c r="A783" s="140" t="s">
        <v>113</v>
      </c>
      <c r="B783" s="141">
        <f t="shared" ref="B783:M783" si="192">SUM(B779:B782)</f>
        <v>520000</v>
      </c>
      <c r="C783" s="141">
        <f t="shared" si="192"/>
        <v>560000</v>
      </c>
      <c r="D783" s="141">
        <f t="shared" si="192"/>
        <v>600000</v>
      </c>
      <c r="E783" s="141">
        <f t="shared" si="192"/>
        <v>440000</v>
      </c>
      <c r="F783" s="141">
        <f t="shared" si="192"/>
        <v>900000</v>
      </c>
      <c r="G783" s="141">
        <f t="shared" si="192"/>
        <v>440000</v>
      </c>
      <c r="H783" s="141">
        <f t="shared" si="192"/>
        <v>280000</v>
      </c>
      <c r="I783" s="141">
        <f t="shared" si="192"/>
        <v>400000</v>
      </c>
      <c r="J783" s="141">
        <f t="shared" si="192"/>
        <v>400000</v>
      </c>
      <c r="K783" s="141">
        <f t="shared" si="192"/>
        <v>400000</v>
      </c>
      <c r="L783" s="141">
        <f t="shared" si="192"/>
        <v>520000</v>
      </c>
      <c r="M783" s="141">
        <f t="shared" si="192"/>
        <v>5460000</v>
      </c>
    </row>
    <row r="784">
      <c r="A784" s="260" t="s">
        <v>138</v>
      </c>
      <c r="B784" s="261">
        <f>B780/6/8</f>
        <v>2708.333333</v>
      </c>
      <c r="C784" s="261">
        <f>C779/8/6</f>
        <v>2916.666667</v>
      </c>
      <c r="D784" s="261">
        <f t="shared" ref="D784:F784" si="193">D779/6/8</f>
        <v>3125</v>
      </c>
      <c r="E784" s="261">
        <f t="shared" si="193"/>
        <v>2291.666667</v>
      </c>
      <c r="F784" s="261">
        <f t="shared" si="193"/>
        <v>4687.5</v>
      </c>
      <c r="G784" s="261">
        <f>G780/6/8</f>
        <v>2291.666667</v>
      </c>
      <c r="H784" s="261">
        <f>H779/8/6</f>
        <v>1458.333333</v>
      </c>
      <c r="I784" s="261">
        <f>I779/6/7</f>
        <v>2380.952381</v>
      </c>
      <c r="J784" s="262">
        <f>J779/6/8</f>
        <v>2083.333333</v>
      </c>
      <c r="K784" s="290">
        <v>2100.0</v>
      </c>
      <c r="L784" s="290">
        <f>L779/6/8</f>
        <v>2708.333333</v>
      </c>
      <c r="M784" s="296" t="s">
        <v>442</v>
      </c>
      <c r="N784" s="174"/>
      <c r="O784" s="174"/>
    </row>
    <row r="785">
      <c r="A785" s="272"/>
      <c r="B785" s="274"/>
      <c r="C785" s="274"/>
      <c r="D785" s="274"/>
      <c r="E785" s="274"/>
      <c r="F785" s="274"/>
      <c r="G785" s="247"/>
      <c r="H785" s="247"/>
      <c r="I785" s="247"/>
      <c r="J785" s="247"/>
      <c r="K785" s="272"/>
    </row>
    <row r="786">
      <c r="A786" s="200" t="s">
        <v>119</v>
      </c>
      <c r="B786" s="255">
        <f>B779*2</f>
        <v>260000</v>
      </c>
      <c r="C786" s="255">
        <v>280000.0</v>
      </c>
      <c r="D786" s="255">
        <v>300000.0</v>
      </c>
      <c r="E786" s="256">
        <v>220000.0</v>
      </c>
      <c r="F786" s="255">
        <v>450000.0</v>
      </c>
      <c r="G786" s="255">
        <v>220000.0</v>
      </c>
      <c r="H786" s="255"/>
      <c r="I786" s="255">
        <v>200000.0</v>
      </c>
      <c r="J786" s="255"/>
      <c r="K786" s="257"/>
      <c r="L786" s="257"/>
      <c r="M786" s="297">
        <v>1930000.0</v>
      </c>
    </row>
    <row r="787">
      <c r="A787" s="200" t="s">
        <v>62</v>
      </c>
      <c r="B787" s="255">
        <v>260000.0</v>
      </c>
      <c r="C787" s="255">
        <v>280000.0</v>
      </c>
      <c r="D787" s="255">
        <v>300000.0</v>
      </c>
      <c r="E787" s="255">
        <v>220000.0</v>
      </c>
      <c r="F787" s="255">
        <v>450000.0</v>
      </c>
      <c r="G787" s="255">
        <v>220000.0</v>
      </c>
      <c r="H787" s="255">
        <v>140000.0</v>
      </c>
      <c r="I787" s="255">
        <v>200000.0</v>
      </c>
      <c r="J787" s="255">
        <v>200000.0</v>
      </c>
      <c r="K787" s="255">
        <v>100000.0</v>
      </c>
      <c r="L787" s="255">
        <v>130000.0</v>
      </c>
      <c r="M787" s="297">
        <v>2500000.0</v>
      </c>
    </row>
    <row r="788">
      <c r="A788" s="298" t="s">
        <v>443</v>
      </c>
      <c r="B788" s="273"/>
      <c r="C788" s="273"/>
      <c r="D788" s="274"/>
      <c r="E788" s="274"/>
      <c r="F788" s="274"/>
      <c r="G788" s="247"/>
      <c r="H788" s="279" t="s">
        <v>444</v>
      </c>
      <c r="I788" s="279"/>
      <c r="J788" s="279" t="s">
        <v>445</v>
      </c>
      <c r="K788" s="279" t="s">
        <v>446</v>
      </c>
      <c r="L788" s="72" t="s">
        <v>447</v>
      </c>
    </row>
    <row r="789">
      <c r="A789" s="272"/>
      <c r="B789" s="273"/>
      <c r="C789" s="273"/>
      <c r="D789" s="274"/>
      <c r="E789" s="274"/>
      <c r="F789" s="274"/>
      <c r="G789" s="247"/>
      <c r="H789" s="247"/>
      <c r="I789" s="247"/>
      <c r="J789" s="247"/>
      <c r="K789" s="272"/>
      <c r="M789" s="299">
        <f>M787+M783</f>
        <v>7960000</v>
      </c>
    </row>
    <row r="790">
      <c r="A790" s="272"/>
      <c r="B790" s="273"/>
      <c r="C790" s="273"/>
      <c r="D790" s="274"/>
      <c r="E790" s="274"/>
      <c r="F790" s="274"/>
      <c r="G790" s="247"/>
      <c r="H790" s="247"/>
      <c r="I790" s="247"/>
      <c r="J790" s="247"/>
      <c r="K790" s="272"/>
      <c r="M790" s="300" t="s">
        <v>448</v>
      </c>
    </row>
    <row r="791">
      <c r="A791" s="272"/>
      <c r="B791" s="273"/>
      <c r="C791" s="273"/>
      <c r="D791" s="274"/>
      <c r="E791" s="274"/>
      <c r="F791" s="274"/>
      <c r="G791" s="247"/>
      <c r="H791" s="247"/>
      <c r="I791" s="247"/>
      <c r="J791" s="247"/>
      <c r="K791" s="272"/>
    </row>
    <row r="792">
      <c r="A792" s="195" t="s">
        <v>449</v>
      </c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7"/>
    </row>
    <row r="793">
      <c r="A793" s="284" t="s">
        <v>417</v>
      </c>
      <c r="B793" s="285"/>
      <c r="C793" s="286"/>
      <c r="D793" s="286"/>
      <c r="E793" s="287"/>
      <c r="F793" s="286"/>
      <c r="G793" s="287"/>
      <c r="H793" s="286"/>
      <c r="I793" s="286"/>
      <c r="J793" s="286"/>
      <c r="K793" s="288"/>
      <c r="L793" s="288"/>
      <c r="M793" s="288"/>
    </row>
    <row r="794">
      <c r="A794" s="198" t="s">
        <v>40</v>
      </c>
      <c r="B794" s="221"/>
      <c r="C794" s="221"/>
      <c r="D794" s="221"/>
      <c r="E794" s="221">
        <v>2292.0</v>
      </c>
      <c r="F794" s="199"/>
      <c r="G794" s="221">
        <v>2292.0</v>
      </c>
      <c r="H794" s="199"/>
      <c r="I794" s="255"/>
      <c r="J794" s="221">
        <f>5*J784</f>
        <v>10416.66667</v>
      </c>
      <c r="K794" s="293">
        <f>36*K784</f>
        <v>75600</v>
      </c>
      <c r="L794" s="251"/>
      <c r="M794" s="251"/>
    </row>
    <row r="795">
      <c r="A795" s="200" t="s">
        <v>413</v>
      </c>
      <c r="B795" s="211"/>
      <c r="C795" s="222"/>
      <c r="D795" s="211"/>
      <c r="E795" s="221">
        <v>5157.0</v>
      </c>
      <c r="F795" s="221"/>
      <c r="G795" s="221">
        <v>5157.0</v>
      </c>
      <c r="H795" s="221"/>
      <c r="I795" s="221"/>
      <c r="J795" s="211">
        <v>4687.0</v>
      </c>
      <c r="K795" s="289"/>
      <c r="L795" s="252"/>
      <c r="M795" s="252"/>
      <c r="N795" s="72" t="s">
        <v>237</v>
      </c>
    </row>
    <row r="796">
      <c r="A796" s="200" t="s">
        <v>141</v>
      </c>
      <c r="B796" s="255"/>
      <c r="C796" s="255"/>
      <c r="D796" s="255"/>
      <c r="E796" s="256"/>
      <c r="F796" s="255"/>
      <c r="G796" s="255"/>
      <c r="H796" s="255"/>
      <c r="I796" s="255"/>
      <c r="J796" s="255"/>
      <c r="K796" s="257"/>
      <c r="L796" s="257"/>
      <c r="M796" s="257"/>
    </row>
    <row r="797">
      <c r="A797" s="200" t="s">
        <v>116</v>
      </c>
      <c r="B797" s="255"/>
      <c r="C797" s="255"/>
      <c r="D797" s="255"/>
      <c r="E797" s="255"/>
      <c r="F797" s="255"/>
      <c r="G797" s="255"/>
      <c r="H797" s="255"/>
      <c r="I797" s="255"/>
      <c r="J797" s="255"/>
      <c r="K797" s="255">
        <v>35000.0</v>
      </c>
      <c r="L797" s="255">
        <v>20000.0</v>
      </c>
      <c r="M797" s="257"/>
    </row>
    <row r="798">
      <c r="A798" s="205" t="s">
        <v>118</v>
      </c>
      <c r="B798" s="226">
        <f t="shared" ref="B798:C798" si="194">B782</f>
        <v>130000</v>
      </c>
      <c r="C798" s="226">
        <f t="shared" si="194"/>
        <v>140000</v>
      </c>
      <c r="D798" s="226">
        <f>150000+D794</f>
        <v>150000</v>
      </c>
      <c r="E798" s="226">
        <f>E782+E795+E794</f>
        <v>117449</v>
      </c>
      <c r="F798" s="226">
        <f>F779</f>
        <v>225000</v>
      </c>
      <c r="G798" s="226">
        <f>G782+G795+G794</f>
        <v>117449</v>
      </c>
      <c r="H798" s="226">
        <f>70000+H795+H794</f>
        <v>70000</v>
      </c>
      <c r="I798" s="226">
        <f>100000</f>
        <v>100000</v>
      </c>
      <c r="J798" s="238">
        <f>J782+J795+J794</f>
        <v>115103.6667</v>
      </c>
      <c r="K798" s="226">
        <f>K794-K797</f>
        <v>40600</v>
      </c>
      <c r="L798" s="226">
        <f>L782-L797</f>
        <v>110000</v>
      </c>
      <c r="M798" s="206">
        <f>SUM(B798:L798)</f>
        <v>1315601.667</v>
      </c>
    </row>
    <row r="799">
      <c r="A799" s="126" t="s">
        <v>0</v>
      </c>
      <c r="B799" s="127" t="s">
        <v>90</v>
      </c>
      <c r="C799" s="127" t="s">
        <v>3</v>
      </c>
      <c r="D799" s="183" t="s">
        <v>109</v>
      </c>
      <c r="E799" s="183" t="s">
        <v>155</v>
      </c>
      <c r="F799" s="183" t="s">
        <v>195</v>
      </c>
      <c r="G799" s="129" t="s">
        <v>305</v>
      </c>
      <c r="H799" s="129" t="s">
        <v>409</v>
      </c>
      <c r="I799" s="129" t="s">
        <v>244</v>
      </c>
      <c r="J799" s="129" t="s">
        <v>232</v>
      </c>
      <c r="K799" s="129" t="s">
        <v>418</v>
      </c>
      <c r="L799" s="129" t="s">
        <v>426</v>
      </c>
      <c r="M799" s="128" t="s">
        <v>110</v>
      </c>
    </row>
    <row r="800">
      <c r="A800" s="272"/>
      <c r="B800" s="278" t="s">
        <v>21</v>
      </c>
      <c r="C800" s="278" t="s">
        <v>21</v>
      </c>
      <c r="D800" s="278" t="s">
        <v>21</v>
      </c>
      <c r="E800" s="274" t="s">
        <v>375</v>
      </c>
      <c r="F800" s="278" t="s">
        <v>21</v>
      </c>
      <c r="G800" s="278" t="s">
        <v>21</v>
      </c>
      <c r="H800" s="278" t="s">
        <v>375</v>
      </c>
      <c r="I800" s="278" t="s">
        <v>21</v>
      </c>
      <c r="J800" s="278" t="s">
        <v>375</v>
      </c>
      <c r="K800" s="279" t="s">
        <v>375</v>
      </c>
      <c r="L800" s="278" t="s">
        <v>326</v>
      </c>
    </row>
    <row r="801">
      <c r="A801" s="272"/>
      <c r="B801" s="273"/>
      <c r="C801" s="273"/>
      <c r="D801" s="274"/>
      <c r="E801" s="274"/>
      <c r="F801" s="274"/>
      <c r="G801" s="247"/>
      <c r="H801" s="247"/>
      <c r="I801" s="247"/>
      <c r="J801" s="247"/>
      <c r="K801" s="247"/>
    </row>
    <row r="802">
      <c r="A802" s="195" t="s">
        <v>450</v>
      </c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7"/>
    </row>
    <row r="803">
      <c r="A803" s="284" t="s">
        <v>417</v>
      </c>
      <c r="B803" s="285"/>
      <c r="C803" s="286"/>
      <c r="D803" s="286"/>
      <c r="E803" s="287"/>
      <c r="F803" s="286"/>
      <c r="G803" s="287"/>
      <c r="H803" s="286"/>
      <c r="I803" s="286"/>
      <c r="J803" s="286"/>
      <c r="K803" s="288"/>
      <c r="L803" s="288"/>
      <c r="M803" s="288"/>
    </row>
    <row r="804">
      <c r="A804" s="198" t="s">
        <v>40</v>
      </c>
      <c r="B804" s="301"/>
      <c r="C804" s="301"/>
      <c r="D804" s="221"/>
      <c r="E804" s="221">
        <v>2292.0</v>
      </c>
      <c r="F804" s="199"/>
      <c r="G804" s="221">
        <v>2292.0</v>
      </c>
      <c r="H804" s="301"/>
      <c r="I804" s="255"/>
      <c r="J804" s="221">
        <f>1*2100</f>
        <v>2100</v>
      </c>
      <c r="K804" s="293">
        <f>30*K784</f>
        <v>63000</v>
      </c>
      <c r="L804" s="251"/>
      <c r="M804" s="251"/>
    </row>
    <row r="805">
      <c r="A805" s="200" t="s">
        <v>413</v>
      </c>
      <c r="B805" s="211"/>
      <c r="C805" s="222"/>
      <c r="D805" s="211"/>
      <c r="E805" s="221">
        <v>5157.0</v>
      </c>
      <c r="F805" s="221"/>
      <c r="G805" s="221">
        <v>5157.0</v>
      </c>
      <c r="H805" s="221"/>
      <c r="I805" s="221"/>
      <c r="J805" s="211">
        <v>4687.0</v>
      </c>
      <c r="K805" s="289">
        <v>2100.0</v>
      </c>
      <c r="L805" s="252"/>
      <c r="M805" s="252"/>
      <c r="N805" s="72" t="s">
        <v>237</v>
      </c>
    </row>
    <row r="806">
      <c r="A806" s="200" t="s">
        <v>141</v>
      </c>
      <c r="B806" s="221">
        <f t="shared" ref="B806:C806" si="195">8*B784</f>
        <v>21666.66667</v>
      </c>
      <c r="C806" s="221">
        <f t="shared" si="195"/>
        <v>23333.33333</v>
      </c>
      <c r="D806" s="255"/>
      <c r="E806" s="256">
        <f>8*E784</f>
        <v>18333.33333</v>
      </c>
      <c r="F806" s="255"/>
      <c r="G806" s="255"/>
      <c r="H806" s="199">
        <f>6*H784</f>
        <v>8750</v>
      </c>
      <c r="I806" s="255"/>
      <c r="J806" s="255">
        <f>6*2100</f>
        <v>12600</v>
      </c>
      <c r="K806" s="257"/>
      <c r="L806" s="255">
        <v>16248.0</v>
      </c>
      <c r="M806" s="257"/>
    </row>
    <row r="807">
      <c r="A807" s="200" t="s">
        <v>116</v>
      </c>
      <c r="B807" s="255"/>
      <c r="C807" s="255"/>
      <c r="D807" s="255"/>
      <c r="E807" s="255"/>
      <c r="F807" s="255">
        <v>21000.0</v>
      </c>
      <c r="G807" s="255"/>
      <c r="H807" s="255"/>
      <c r="I807" s="255"/>
      <c r="J807" s="255"/>
      <c r="K807" s="255"/>
      <c r="L807" s="255"/>
      <c r="M807" s="257"/>
    </row>
    <row r="808">
      <c r="A808" s="205" t="s">
        <v>118</v>
      </c>
      <c r="B808" s="226">
        <f t="shared" ref="B808:C808" si="196">B782+B806</f>
        <v>151666.6667</v>
      </c>
      <c r="C808" s="226">
        <f t="shared" si="196"/>
        <v>163333.3333</v>
      </c>
      <c r="D808" s="226">
        <f>150000+D804</f>
        <v>150000</v>
      </c>
      <c r="E808" s="226">
        <f>E782+E804+E805+E806</f>
        <v>135782.3333</v>
      </c>
      <c r="F808" s="226">
        <f>F781-F807</f>
        <v>204000</v>
      </c>
      <c r="G808" s="226">
        <f>G781+G805+G804</f>
        <v>117449</v>
      </c>
      <c r="H808" s="226">
        <f>70000+H805+H806</f>
        <v>78750</v>
      </c>
      <c r="I808" s="226">
        <f>100000</f>
        <v>100000</v>
      </c>
      <c r="J808" s="238">
        <f>J779+J804+J805+J806</f>
        <v>119387</v>
      </c>
      <c r="K808" s="238">
        <f>K804+K805</f>
        <v>65100</v>
      </c>
      <c r="L808" s="226">
        <f>L761+L806</f>
        <v>146248</v>
      </c>
      <c r="M808" s="206">
        <f>SUM(B808:L808)</f>
        <v>1431716.333</v>
      </c>
    </row>
    <row r="809">
      <c r="A809" s="126" t="s">
        <v>0</v>
      </c>
      <c r="B809" s="127" t="s">
        <v>90</v>
      </c>
      <c r="C809" s="127" t="s">
        <v>3</v>
      </c>
      <c r="D809" s="183" t="s">
        <v>109</v>
      </c>
      <c r="E809" s="183" t="s">
        <v>155</v>
      </c>
      <c r="F809" s="183" t="s">
        <v>195</v>
      </c>
      <c r="G809" s="129" t="s">
        <v>305</v>
      </c>
      <c r="H809" s="129" t="s">
        <v>409</v>
      </c>
      <c r="I809" s="129" t="s">
        <v>244</v>
      </c>
      <c r="J809" s="129" t="s">
        <v>232</v>
      </c>
      <c r="K809" s="129" t="s">
        <v>418</v>
      </c>
      <c r="L809" s="129" t="s">
        <v>426</v>
      </c>
      <c r="M809" s="128" t="s">
        <v>110</v>
      </c>
    </row>
    <row r="810">
      <c r="A810" s="272"/>
      <c r="B810" s="278" t="s">
        <v>21</v>
      </c>
      <c r="C810" s="278" t="s">
        <v>21</v>
      </c>
      <c r="D810" s="278" t="s">
        <v>21</v>
      </c>
      <c r="E810" s="274" t="s">
        <v>375</v>
      </c>
      <c r="F810" s="278" t="s">
        <v>21</v>
      </c>
      <c r="G810" s="278" t="s">
        <v>21</v>
      </c>
      <c r="H810" s="278" t="s">
        <v>21</v>
      </c>
      <c r="I810" s="278" t="s">
        <v>21</v>
      </c>
      <c r="J810" s="278" t="s">
        <v>21</v>
      </c>
      <c r="K810" s="279" t="s">
        <v>375</v>
      </c>
      <c r="L810" s="278" t="s">
        <v>21</v>
      </c>
    </row>
    <row r="811">
      <c r="A811" s="272"/>
      <c r="B811" s="273"/>
      <c r="C811" s="273"/>
      <c r="D811" s="274"/>
      <c r="E811" s="274"/>
      <c r="F811" s="274"/>
      <c r="G811" s="247"/>
      <c r="H811" s="247"/>
      <c r="I811" s="247"/>
      <c r="J811" s="279" t="s">
        <v>451</v>
      </c>
      <c r="K811" s="272"/>
    </row>
    <row r="812">
      <c r="A812" s="272"/>
      <c r="B812" s="273"/>
      <c r="C812" s="273"/>
      <c r="D812" s="274"/>
      <c r="E812" s="274"/>
      <c r="F812" s="274"/>
      <c r="G812" s="247"/>
      <c r="H812" s="247"/>
      <c r="I812" s="247"/>
      <c r="J812" s="247"/>
      <c r="K812" s="272"/>
    </row>
    <row r="813">
      <c r="A813" s="195" t="s">
        <v>452</v>
      </c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7"/>
    </row>
    <row r="814">
      <c r="A814" s="284" t="s">
        <v>417</v>
      </c>
      <c r="B814" s="285"/>
      <c r="C814" s="286"/>
      <c r="D814" s="286"/>
      <c r="E814" s="287"/>
      <c r="F814" s="286"/>
      <c r="G814" s="287"/>
      <c r="H814" s="286"/>
      <c r="I814" s="286"/>
      <c r="J814" s="286"/>
      <c r="K814" s="288"/>
      <c r="L814" s="288"/>
      <c r="M814" s="288"/>
    </row>
    <row r="815">
      <c r="A815" s="198" t="s">
        <v>40</v>
      </c>
      <c r="B815" s="301"/>
      <c r="C815" s="301"/>
      <c r="D815" s="221"/>
      <c r="E815" s="221">
        <v>2292.0</v>
      </c>
      <c r="F815" s="199"/>
      <c r="G815" s="221">
        <v>2292.0</v>
      </c>
      <c r="H815" s="301"/>
      <c r="I815" s="255"/>
      <c r="J815" s="221">
        <f>1*2100</f>
        <v>2100</v>
      </c>
      <c r="K815" s="293">
        <v>2500.0</v>
      </c>
      <c r="L815" s="251"/>
      <c r="M815" s="251"/>
    </row>
    <row r="816">
      <c r="A816" s="200" t="s">
        <v>413</v>
      </c>
      <c r="B816" s="211"/>
      <c r="C816" s="222"/>
      <c r="D816" s="211"/>
      <c r="E816" s="221">
        <v>5157.0</v>
      </c>
      <c r="F816" s="221"/>
      <c r="G816" s="221">
        <v>5157.0</v>
      </c>
      <c r="H816" s="221"/>
      <c r="I816" s="221"/>
      <c r="J816" s="211">
        <v>4687.0</v>
      </c>
      <c r="K816" s="289">
        <f>38*2500</f>
        <v>95000</v>
      </c>
      <c r="L816" s="252"/>
      <c r="M816" s="252"/>
      <c r="N816" s="72" t="s">
        <v>237</v>
      </c>
    </row>
    <row r="817">
      <c r="A817" s="200" t="s">
        <v>141</v>
      </c>
      <c r="B817" s="221">
        <f t="shared" ref="B817:C817" si="197">8*B795</f>
        <v>0</v>
      </c>
      <c r="C817" s="222">
        <f t="shared" si="197"/>
        <v>0</v>
      </c>
      <c r="D817" s="255"/>
      <c r="E817" s="256"/>
      <c r="F817" s="255"/>
      <c r="G817" s="255"/>
      <c r="H817" s="199">
        <f>6*H795</f>
        <v>0</v>
      </c>
      <c r="I817" s="255"/>
      <c r="J817" s="255"/>
      <c r="K817" s="257"/>
      <c r="L817" s="255"/>
      <c r="M817" s="257"/>
    </row>
    <row r="818">
      <c r="A818" s="200" t="s">
        <v>453</v>
      </c>
      <c r="B818" s="255"/>
      <c r="C818" s="255"/>
      <c r="D818" s="255"/>
      <c r="E818" s="255">
        <v>3990.0</v>
      </c>
      <c r="F818" s="255"/>
      <c r="G818" s="255"/>
      <c r="H818" s="255"/>
      <c r="I818" s="255">
        <v>10780.0</v>
      </c>
      <c r="J818" s="255"/>
      <c r="K818" s="255">
        <v>3920.0</v>
      </c>
      <c r="L818" s="255">
        <f>9950+16150</f>
        <v>26100</v>
      </c>
      <c r="M818" s="257"/>
    </row>
    <row r="819">
      <c r="A819" s="205" t="s">
        <v>118</v>
      </c>
      <c r="B819" s="226">
        <f t="shared" ref="B819:C819" si="198">B780</f>
        <v>130000</v>
      </c>
      <c r="C819" s="226">
        <f t="shared" si="198"/>
        <v>140000</v>
      </c>
      <c r="D819" s="226">
        <f>150000+D815</f>
        <v>150000</v>
      </c>
      <c r="E819" s="226">
        <f>E779+E815+E816+E817-E818</f>
        <v>113459</v>
      </c>
      <c r="F819" s="226">
        <f>F779</f>
        <v>225000</v>
      </c>
      <c r="G819" s="226">
        <f>G780+G816+G815</f>
        <v>117449</v>
      </c>
      <c r="H819" s="226">
        <f>70000+H816+H817</f>
        <v>70000</v>
      </c>
      <c r="I819" s="226">
        <f>100000-I818</f>
        <v>89220</v>
      </c>
      <c r="J819" s="238">
        <f>J782+J815+J816+J817</f>
        <v>106787</v>
      </c>
      <c r="K819" s="238">
        <f>K815+K816-K818</f>
        <v>93580</v>
      </c>
      <c r="L819" s="226">
        <f>L772-L818</f>
        <v>103900</v>
      </c>
      <c r="M819" s="206">
        <f>SUM(B819:L819)</f>
        <v>1339395</v>
      </c>
    </row>
    <row r="820">
      <c r="A820" s="126" t="s">
        <v>0</v>
      </c>
      <c r="B820" s="127" t="s">
        <v>90</v>
      </c>
      <c r="C820" s="127" t="s">
        <v>3</v>
      </c>
      <c r="D820" s="183" t="s">
        <v>109</v>
      </c>
      <c r="E820" s="183" t="s">
        <v>155</v>
      </c>
      <c r="F820" s="183" t="s">
        <v>195</v>
      </c>
      <c r="G820" s="129" t="s">
        <v>305</v>
      </c>
      <c r="H820" s="129" t="s">
        <v>409</v>
      </c>
      <c r="I820" s="129" t="s">
        <v>244</v>
      </c>
      <c r="J820" s="129" t="s">
        <v>232</v>
      </c>
      <c r="K820" s="129" t="s">
        <v>418</v>
      </c>
      <c r="L820" s="129" t="s">
        <v>426</v>
      </c>
      <c r="M820" s="128" t="s">
        <v>110</v>
      </c>
    </row>
    <row r="821">
      <c r="A821" s="272"/>
      <c r="B821" s="279" t="s">
        <v>375</v>
      </c>
      <c r="C821" s="279" t="s">
        <v>375</v>
      </c>
      <c r="D821" s="278" t="s">
        <v>21</v>
      </c>
      <c r="E821" s="274" t="s">
        <v>375</v>
      </c>
      <c r="F821" s="278" t="s">
        <v>21</v>
      </c>
      <c r="G821" s="279" t="s">
        <v>375</v>
      </c>
      <c r="H821" s="279" t="s">
        <v>375</v>
      </c>
      <c r="I821" s="278" t="s">
        <v>375</v>
      </c>
      <c r="J821" s="279" t="s">
        <v>375</v>
      </c>
      <c r="K821" s="279" t="s">
        <v>375</v>
      </c>
      <c r="L821" s="279" t="s">
        <v>375</v>
      </c>
    </row>
    <row r="822">
      <c r="A822" s="272"/>
      <c r="B822" s="273"/>
      <c r="C822" s="273"/>
      <c r="D822" s="275" t="s">
        <v>454</v>
      </c>
      <c r="E822" s="274"/>
      <c r="F822" s="274"/>
      <c r="G822" s="247"/>
      <c r="H822" s="247"/>
      <c r="I822" s="247"/>
      <c r="J822" s="247"/>
      <c r="K822" s="272"/>
    </row>
    <row r="823">
      <c r="A823" s="195" t="s">
        <v>455</v>
      </c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7"/>
    </row>
    <row r="824">
      <c r="A824" s="284" t="s">
        <v>417</v>
      </c>
      <c r="B824" s="285"/>
      <c r="C824" s="286"/>
      <c r="D824" s="286"/>
      <c r="E824" s="287"/>
      <c r="F824" s="286"/>
      <c r="G824" s="287"/>
      <c r="H824" s="286"/>
      <c r="I824" s="286"/>
      <c r="J824" s="286"/>
      <c r="K824" s="288"/>
      <c r="L824" s="288"/>
      <c r="M824" s="288"/>
    </row>
    <row r="825">
      <c r="A825" s="198" t="s">
        <v>40</v>
      </c>
      <c r="B825" s="301"/>
      <c r="C825" s="301"/>
      <c r="D825" s="221"/>
      <c r="E825" s="221">
        <v>2292.0</v>
      </c>
      <c r="F825" s="199"/>
      <c r="G825" s="221">
        <v>2292.0</v>
      </c>
      <c r="H825" s="301"/>
      <c r="I825" s="255"/>
      <c r="J825" s="221">
        <f>1*2100</f>
        <v>2100</v>
      </c>
      <c r="K825" s="293"/>
      <c r="L825" s="251"/>
      <c r="M825" s="251"/>
    </row>
    <row r="826">
      <c r="A826" s="200" t="s">
        <v>413</v>
      </c>
      <c r="B826" s="211"/>
      <c r="C826" s="222"/>
      <c r="D826" s="211"/>
      <c r="E826" s="221">
        <v>5157.0</v>
      </c>
      <c r="F826" s="221"/>
      <c r="G826" s="221">
        <v>5157.0</v>
      </c>
      <c r="H826" s="221"/>
      <c r="I826" s="221"/>
      <c r="J826" s="211">
        <v>4687.0</v>
      </c>
      <c r="K826" s="289">
        <f>31*2500</f>
        <v>77500</v>
      </c>
      <c r="L826" s="252"/>
      <c r="M826" s="252"/>
      <c r="N826" s="72" t="s">
        <v>237</v>
      </c>
    </row>
    <row r="827">
      <c r="A827" s="200" t="s">
        <v>141</v>
      </c>
      <c r="B827" s="221">
        <f t="shared" ref="B827:C827" si="199">8*B805</f>
        <v>0</v>
      </c>
      <c r="C827" s="222">
        <f t="shared" si="199"/>
        <v>0</v>
      </c>
      <c r="D827" s="255"/>
      <c r="E827" s="256"/>
      <c r="F827" s="255"/>
      <c r="G827" s="255"/>
      <c r="H827" s="199">
        <f>6*H805</f>
        <v>0</v>
      </c>
      <c r="I827" s="255"/>
      <c r="J827" s="255"/>
      <c r="K827" s="257"/>
      <c r="L827" s="255"/>
      <c r="M827" s="257"/>
    </row>
    <row r="828">
      <c r="A828" s="200" t="s">
        <v>453</v>
      </c>
      <c r="B828" s="255"/>
      <c r="C828" s="255"/>
      <c r="D828" s="255"/>
      <c r="E828" s="255"/>
      <c r="F828" s="255"/>
      <c r="G828" s="255"/>
      <c r="H828" s="255"/>
      <c r="I828" s="255"/>
      <c r="J828" s="255"/>
      <c r="K828" s="255"/>
      <c r="L828" s="255"/>
      <c r="M828" s="257"/>
    </row>
    <row r="829">
      <c r="A829" s="205" t="s">
        <v>118</v>
      </c>
      <c r="B829" s="226">
        <f t="shared" ref="B829:C829" si="200">B782</f>
        <v>130000</v>
      </c>
      <c r="C829" s="226">
        <f t="shared" si="200"/>
        <v>140000</v>
      </c>
      <c r="D829" s="226">
        <f>150000+D825</f>
        <v>150000</v>
      </c>
      <c r="E829" s="226">
        <f>E779+E825+E826+E827-E828</f>
        <v>117449</v>
      </c>
      <c r="F829" s="226">
        <f>F779</f>
        <v>225000</v>
      </c>
      <c r="G829" s="226">
        <f>G782+G826+G825</f>
        <v>117449</v>
      </c>
      <c r="H829" s="226">
        <f>70000+H826+H827</f>
        <v>70000</v>
      </c>
      <c r="I829" s="226">
        <f>100000-I828</f>
        <v>100000</v>
      </c>
      <c r="J829" s="238">
        <f>J780+J825+J826+J827</f>
        <v>106787</v>
      </c>
      <c r="K829" s="238">
        <f>K825+K826-K828</f>
        <v>77500</v>
      </c>
      <c r="L829" s="226">
        <f>L782-L828</f>
        <v>130000</v>
      </c>
      <c r="M829" s="206">
        <f>SUM(B829:L829)</f>
        <v>1364185</v>
      </c>
    </row>
    <row r="830">
      <c r="A830" s="126" t="s">
        <v>0</v>
      </c>
      <c r="B830" s="127" t="s">
        <v>90</v>
      </c>
      <c r="C830" s="127" t="s">
        <v>3</v>
      </c>
      <c r="D830" s="183" t="s">
        <v>109</v>
      </c>
      <c r="E830" s="183" t="s">
        <v>155</v>
      </c>
      <c r="F830" s="183" t="s">
        <v>195</v>
      </c>
      <c r="G830" s="129" t="s">
        <v>305</v>
      </c>
      <c r="H830" s="129" t="s">
        <v>409</v>
      </c>
      <c r="I830" s="129" t="s">
        <v>244</v>
      </c>
      <c r="J830" s="129" t="s">
        <v>232</v>
      </c>
      <c r="K830" s="129" t="s">
        <v>418</v>
      </c>
      <c r="L830" s="129" t="s">
        <v>426</v>
      </c>
      <c r="M830" s="128" t="s">
        <v>110</v>
      </c>
    </row>
    <row r="831">
      <c r="A831" s="272"/>
      <c r="B831" s="270" t="s">
        <v>326</v>
      </c>
      <c r="C831" s="270" t="s">
        <v>326</v>
      </c>
      <c r="D831" s="270" t="s">
        <v>456</v>
      </c>
      <c r="E831" s="274" t="s">
        <v>375</v>
      </c>
      <c r="F831" s="270" t="s">
        <v>456</v>
      </c>
      <c r="G831" s="247" t="s">
        <v>326</v>
      </c>
      <c r="H831" s="247" t="s">
        <v>375</v>
      </c>
      <c r="I831" s="271" t="s">
        <v>326</v>
      </c>
      <c r="J831" s="271" t="s">
        <v>326</v>
      </c>
      <c r="K831" s="272">
        <f>7+6+6+6+6</f>
        <v>31</v>
      </c>
      <c r="L831" s="237" t="s">
        <v>375</v>
      </c>
    </row>
    <row r="832">
      <c r="A832" s="272"/>
      <c r="B832" s="273"/>
      <c r="C832" s="273"/>
      <c r="D832" s="274"/>
      <c r="E832" s="274"/>
      <c r="F832" s="274"/>
      <c r="G832" s="247"/>
      <c r="H832" s="247"/>
      <c r="I832" s="247"/>
      <c r="J832" s="247"/>
      <c r="K832" s="272"/>
    </row>
    <row r="833">
      <c r="A833" s="195" t="s">
        <v>457</v>
      </c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7"/>
    </row>
    <row r="834">
      <c r="A834" s="284" t="s">
        <v>417</v>
      </c>
      <c r="B834" s="285"/>
      <c r="C834" s="286"/>
      <c r="D834" s="286"/>
      <c r="E834" s="287"/>
      <c r="F834" s="286"/>
      <c r="G834" s="287"/>
      <c r="H834" s="286"/>
      <c r="I834" s="286"/>
      <c r="J834" s="286"/>
      <c r="K834" s="288"/>
      <c r="L834" s="288"/>
      <c r="M834" s="288"/>
    </row>
    <row r="835">
      <c r="A835" s="198" t="s">
        <v>40</v>
      </c>
      <c r="B835" s="301"/>
      <c r="C835" s="301"/>
      <c r="D835" s="221"/>
      <c r="E835" s="221">
        <v>2292.0</v>
      </c>
      <c r="F835" s="199"/>
      <c r="G835" s="221">
        <f>5*G784</f>
        <v>11458.33333</v>
      </c>
      <c r="H835" s="302">
        <f>H784</f>
        <v>1458.333333</v>
      </c>
      <c r="I835" s="255"/>
      <c r="J835" s="221">
        <f>1*2100</f>
        <v>2100</v>
      </c>
      <c r="K835" s="293"/>
      <c r="L835" s="251"/>
      <c r="M835" s="251"/>
    </row>
    <row r="836">
      <c r="A836" s="200" t="s">
        <v>413</v>
      </c>
      <c r="B836" s="211"/>
      <c r="C836" s="222"/>
      <c r="D836" s="211"/>
      <c r="E836" s="221">
        <v>5157.0</v>
      </c>
      <c r="F836" s="221"/>
      <c r="G836" s="221">
        <v>5157.0</v>
      </c>
      <c r="H836" s="221"/>
      <c r="I836" s="221"/>
      <c r="J836" s="211">
        <v>4687.0</v>
      </c>
      <c r="K836" s="289"/>
      <c r="L836" s="252">
        <f>6*L784</f>
        <v>16250</v>
      </c>
      <c r="M836" s="252"/>
      <c r="N836" s="72" t="s">
        <v>237</v>
      </c>
    </row>
    <row r="837">
      <c r="A837" s="200" t="s">
        <v>141</v>
      </c>
      <c r="B837" s="221">
        <f t="shared" ref="B837:C837" si="201">8*B815</f>
        <v>0</v>
      </c>
      <c r="C837" s="221">
        <f t="shared" si="201"/>
        <v>0</v>
      </c>
      <c r="D837" s="255"/>
      <c r="E837" s="256"/>
      <c r="F837" s="255"/>
      <c r="G837" s="255"/>
      <c r="H837" s="199">
        <f>6*H815</f>
        <v>0</v>
      </c>
      <c r="I837" s="255"/>
      <c r="J837" s="255"/>
      <c r="K837" s="257"/>
      <c r="L837" s="255"/>
      <c r="M837" s="257"/>
    </row>
    <row r="838">
      <c r="A838" s="200" t="s">
        <v>453</v>
      </c>
      <c r="B838" s="255"/>
      <c r="C838" s="255"/>
      <c r="D838" s="255"/>
      <c r="E838" s="255">
        <v>6000.0</v>
      </c>
      <c r="F838" s="255"/>
      <c r="G838" s="255">
        <v>5200.0</v>
      </c>
      <c r="H838" s="255"/>
      <c r="I838" s="255"/>
      <c r="J838" s="255">
        <f>6800+5600</f>
        <v>12400</v>
      </c>
      <c r="K838" s="255"/>
      <c r="L838" s="255">
        <f>1960+6650+9950</f>
        <v>18560</v>
      </c>
      <c r="M838" s="257"/>
    </row>
    <row r="839">
      <c r="A839" s="205" t="s">
        <v>118</v>
      </c>
      <c r="B839" s="226">
        <f>B782</f>
        <v>130000</v>
      </c>
      <c r="C839" s="226">
        <f>C780</f>
        <v>140000</v>
      </c>
      <c r="D839" s="226">
        <f>150000+D835</f>
        <v>150000</v>
      </c>
      <c r="E839" s="226">
        <f>E779+E835+E836-E838</f>
        <v>111449</v>
      </c>
      <c r="F839" s="226">
        <f>F780</f>
        <v>225000</v>
      </c>
      <c r="G839" s="226">
        <f>G782+G836+G835-G838</f>
        <v>121415.3333</v>
      </c>
      <c r="H839" s="238">
        <f>70000+H835</f>
        <v>71458.33333</v>
      </c>
      <c r="I839" s="226">
        <f>100000-I838</f>
        <v>100000</v>
      </c>
      <c r="J839" s="238">
        <f>J780+J835+J836-J838</f>
        <v>94387</v>
      </c>
      <c r="K839" s="226"/>
      <c r="L839" s="238">
        <f>L779-L838+L836</f>
        <v>127690</v>
      </c>
      <c r="M839" s="206">
        <f>SUM(B839:L839)</f>
        <v>1271399.667</v>
      </c>
    </row>
    <row r="840">
      <c r="A840" s="126" t="s">
        <v>0</v>
      </c>
      <c r="B840" s="127" t="s">
        <v>90</v>
      </c>
      <c r="C840" s="127" t="s">
        <v>3</v>
      </c>
      <c r="D840" s="183" t="s">
        <v>109</v>
      </c>
      <c r="E840" s="183" t="s">
        <v>155</v>
      </c>
      <c r="F840" s="183" t="s">
        <v>195</v>
      </c>
      <c r="G840" s="129" t="s">
        <v>305</v>
      </c>
      <c r="H840" s="129" t="s">
        <v>409</v>
      </c>
      <c r="I840" s="129" t="s">
        <v>244</v>
      </c>
      <c r="J840" s="129" t="s">
        <v>232</v>
      </c>
      <c r="K840" s="129"/>
      <c r="L840" s="129" t="s">
        <v>426</v>
      </c>
      <c r="M840" s="128" t="s">
        <v>110</v>
      </c>
    </row>
    <row r="841">
      <c r="A841" s="272"/>
      <c r="B841" s="270" t="s">
        <v>326</v>
      </c>
      <c r="C841" s="270" t="s">
        <v>326</v>
      </c>
      <c r="D841" s="270" t="s">
        <v>456</v>
      </c>
      <c r="E841" s="274" t="s">
        <v>458</v>
      </c>
      <c r="F841" s="270" t="s">
        <v>456</v>
      </c>
      <c r="G841" s="247" t="s">
        <v>375</v>
      </c>
      <c r="H841" s="247" t="s">
        <v>458</v>
      </c>
      <c r="I841" s="271" t="s">
        <v>375</v>
      </c>
      <c r="J841" s="271" t="s">
        <v>375</v>
      </c>
      <c r="K841" s="272"/>
      <c r="L841" s="237" t="s">
        <v>459</v>
      </c>
    </row>
    <row r="842">
      <c r="A842" s="272"/>
      <c r="B842" s="273"/>
      <c r="C842" s="273"/>
      <c r="D842" s="274"/>
      <c r="E842" s="274"/>
      <c r="F842" s="274"/>
      <c r="G842" s="247"/>
      <c r="H842" s="247"/>
      <c r="I842" s="247"/>
      <c r="J842" s="247"/>
      <c r="K842" s="272"/>
    </row>
    <row r="843">
      <c r="A843" s="272"/>
      <c r="B843" s="273"/>
      <c r="C843" s="273"/>
      <c r="D843" s="274"/>
      <c r="E843" s="274"/>
      <c r="F843" s="274"/>
      <c r="G843" s="247"/>
      <c r="H843" s="247"/>
      <c r="I843" s="247"/>
      <c r="J843" s="247"/>
      <c r="K843" s="272"/>
    </row>
    <row r="844">
      <c r="A844" s="130" t="s">
        <v>181</v>
      </c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2"/>
    </row>
    <row r="845">
      <c r="A845" s="126" t="s">
        <v>0</v>
      </c>
      <c r="B845" s="294" t="s">
        <v>431</v>
      </c>
      <c r="C845" s="294" t="s">
        <v>432</v>
      </c>
      <c r="D845" s="294" t="s">
        <v>433</v>
      </c>
      <c r="E845" s="294" t="s">
        <v>434</v>
      </c>
      <c r="F845" s="294" t="s">
        <v>435</v>
      </c>
      <c r="G845" s="295" t="s">
        <v>436</v>
      </c>
      <c r="H845" s="295" t="s">
        <v>437</v>
      </c>
      <c r="I845" s="295" t="s">
        <v>438</v>
      </c>
      <c r="J845" s="295" t="s">
        <v>439</v>
      </c>
      <c r="K845" s="295" t="s">
        <v>441</v>
      </c>
      <c r="L845" s="129" t="s">
        <v>341</v>
      </c>
    </row>
    <row r="846">
      <c r="A846" s="133" t="s">
        <v>111</v>
      </c>
      <c r="B846" s="134">
        <v>130000.0</v>
      </c>
      <c r="C846" s="134">
        <v>140000.0</v>
      </c>
      <c r="D846" s="134">
        <v>150000.0</v>
      </c>
      <c r="E846" s="134">
        <v>110000.0</v>
      </c>
      <c r="F846" s="134">
        <v>225000.0</v>
      </c>
      <c r="G846" s="134">
        <v>110000.0</v>
      </c>
      <c r="H846" s="134">
        <v>70000.0</v>
      </c>
      <c r="I846" s="134">
        <v>100000.0</v>
      </c>
      <c r="J846" s="134">
        <v>100000.0</v>
      </c>
      <c r="K846" s="134">
        <v>130000.0</v>
      </c>
      <c r="L846" s="134">
        <f t="shared" ref="L846:L849" si="202">SUM(B846:K846)</f>
        <v>1265000</v>
      </c>
    </row>
    <row r="847">
      <c r="A847" s="137"/>
      <c r="B847" s="134">
        <v>130000.0</v>
      </c>
      <c r="C847" s="134">
        <v>140000.0</v>
      </c>
      <c r="D847" s="134">
        <v>150000.0</v>
      </c>
      <c r="E847" s="134">
        <v>110000.0</v>
      </c>
      <c r="F847" s="134">
        <v>225000.0</v>
      </c>
      <c r="G847" s="134">
        <v>110000.0</v>
      </c>
      <c r="H847" s="134">
        <v>70000.0</v>
      </c>
      <c r="I847" s="134">
        <v>100000.0</v>
      </c>
      <c r="J847" s="134">
        <v>100000.0</v>
      </c>
      <c r="K847" s="134">
        <v>130000.0</v>
      </c>
      <c r="L847" s="134">
        <f t="shared" si="202"/>
        <v>1265000</v>
      </c>
    </row>
    <row r="848">
      <c r="A848" s="137"/>
      <c r="B848" s="134">
        <v>130000.0</v>
      </c>
      <c r="C848" s="134">
        <v>140000.0</v>
      </c>
      <c r="D848" s="134">
        <v>150000.0</v>
      </c>
      <c r="E848" s="134">
        <v>110000.0</v>
      </c>
      <c r="F848" s="134">
        <v>225000.0</v>
      </c>
      <c r="G848" s="134">
        <v>110000.0</v>
      </c>
      <c r="H848" s="134">
        <v>70000.0</v>
      </c>
      <c r="I848" s="134">
        <v>100000.0</v>
      </c>
      <c r="J848" s="134">
        <v>100000.0</v>
      </c>
      <c r="K848" s="134">
        <v>130000.0</v>
      </c>
      <c r="L848" s="134">
        <f t="shared" si="202"/>
        <v>1265000</v>
      </c>
    </row>
    <row r="849">
      <c r="A849" s="138"/>
      <c r="B849" s="134">
        <v>130000.0</v>
      </c>
      <c r="C849" s="134">
        <v>140000.0</v>
      </c>
      <c r="D849" s="134">
        <v>150000.0</v>
      </c>
      <c r="E849" s="134">
        <v>110000.0</v>
      </c>
      <c r="F849" s="134">
        <v>225000.0</v>
      </c>
      <c r="G849" s="134">
        <v>110000.0</v>
      </c>
      <c r="H849" s="134">
        <v>70000.0</v>
      </c>
      <c r="I849" s="134">
        <v>100000.0</v>
      </c>
      <c r="J849" s="134">
        <v>100000.0</v>
      </c>
      <c r="K849" s="134">
        <v>130000.0</v>
      </c>
      <c r="L849" s="134">
        <f t="shared" si="202"/>
        <v>1265000</v>
      </c>
    </row>
    <row r="850">
      <c r="A850" s="140" t="s">
        <v>113</v>
      </c>
      <c r="B850" s="141">
        <f t="shared" ref="B850:L850" si="203">SUM(B846:B849)</f>
        <v>520000</v>
      </c>
      <c r="C850" s="141">
        <f t="shared" si="203"/>
        <v>560000</v>
      </c>
      <c r="D850" s="141">
        <f t="shared" si="203"/>
        <v>600000</v>
      </c>
      <c r="E850" s="141">
        <f t="shared" si="203"/>
        <v>440000</v>
      </c>
      <c r="F850" s="141">
        <f t="shared" si="203"/>
        <v>900000</v>
      </c>
      <c r="G850" s="141">
        <f t="shared" si="203"/>
        <v>440000</v>
      </c>
      <c r="H850" s="141">
        <f t="shared" si="203"/>
        <v>280000</v>
      </c>
      <c r="I850" s="141">
        <f t="shared" si="203"/>
        <v>400000</v>
      </c>
      <c r="J850" s="141">
        <f t="shared" si="203"/>
        <v>400000</v>
      </c>
      <c r="K850" s="141">
        <f t="shared" si="203"/>
        <v>520000</v>
      </c>
      <c r="L850" s="141">
        <f t="shared" si="203"/>
        <v>5060000</v>
      </c>
    </row>
    <row r="851">
      <c r="A851" s="260" t="s">
        <v>138</v>
      </c>
      <c r="B851" s="261">
        <f>B847/6/8</f>
        <v>2708.333333</v>
      </c>
      <c r="C851" s="261">
        <f>C846/8/6</f>
        <v>2916.666667</v>
      </c>
      <c r="D851" s="261">
        <f t="shared" ref="D851:F851" si="204">D846/6/8</f>
        <v>3125</v>
      </c>
      <c r="E851" s="261">
        <f t="shared" si="204"/>
        <v>2291.666667</v>
      </c>
      <c r="F851" s="261">
        <f t="shared" si="204"/>
        <v>4687.5</v>
      </c>
      <c r="G851" s="261">
        <f>G847/6/8</f>
        <v>2291.666667</v>
      </c>
      <c r="H851" s="261">
        <f>H846/8/6</f>
        <v>1458.333333</v>
      </c>
      <c r="I851" s="261">
        <f>I846/6/7</f>
        <v>2380.952381</v>
      </c>
      <c r="J851" s="262">
        <f t="shared" ref="J851:K851" si="205">J846/6/8</f>
        <v>2083.333333</v>
      </c>
      <c r="K851" s="290">
        <f t="shared" si="205"/>
        <v>2708.333333</v>
      </c>
      <c r="L851" s="296" t="s">
        <v>442</v>
      </c>
      <c r="M851" s="174"/>
      <c r="N851" s="174"/>
    </row>
    <row r="852">
      <c r="A852" s="272"/>
      <c r="B852" s="270"/>
      <c r="C852" s="270"/>
      <c r="D852" s="270"/>
      <c r="E852" s="274"/>
      <c r="F852" s="270"/>
      <c r="G852" s="247"/>
      <c r="H852" s="247"/>
      <c r="I852" s="271"/>
      <c r="J852" s="271"/>
      <c r="K852" s="237"/>
    </row>
    <row r="853">
      <c r="A853" s="272"/>
      <c r="B853" s="273"/>
      <c r="C853" s="273"/>
      <c r="D853" s="274"/>
      <c r="E853" s="274"/>
      <c r="F853" s="274"/>
      <c r="G853" s="247"/>
      <c r="H853" s="247"/>
      <c r="I853" s="247"/>
      <c r="J853" s="247"/>
      <c r="K853" s="272"/>
    </row>
    <row r="854">
      <c r="A854" s="272"/>
      <c r="B854" s="273"/>
      <c r="C854" s="273"/>
      <c r="D854" s="274"/>
      <c r="E854" s="274"/>
      <c r="F854" s="274"/>
      <c r="G854" s="247"/>
      <c r="H854" s="247"/>
      <c r="I854" s="247"/>
      <c r="J854" s="247"/>
      <c r="K854" s="272"/>
    </row>
    <row r="855">
      <c r="A855" s="195" t="s">
        <v>460</v>
      </c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7"/>
    </row>
    <row r="856">
      <c r="A856" s="284" t="s">
        <v>417</v>
      </c>
      <c r="B856" s="285"/>
      <c r="C856" s="286"/>
      <c r="D856" s="286">
        <v>3.0</v>
      </c>
      <c r="E856" s="287"/>
      <c r="F856" s="286"/>
      <c r="G856" s="287"/>
      <c r="H856" s="286"/>
      <c r="I856" s="286"/>
      <c r="J856" s="286"/>
      <c r="K856" s="288"/>
      <c r="L856" s="288"/>
    </row>
    <row r="857">
      <c r="A857" s="198" t="s">
        <v>40</v>
      </c>
      <c r="B857" s="301"/>
      <c r="C857" s="301"/>
      <c r="D857" s="221"/>
      <c r="E857" s="221">
        <v>2292.0</v>
      </c>
      <c r="F857" s="199"/>
      <c r="G857" s="221">
        <f>1*G851</f>
        <v>2291.666667</v>
      </c>
      <c r="H857" s="301" t="str">
        <f>H807</f>
        <v/>
      </c>
      <c r="I857" s="255"/>
      <c r="J857" s="221">
        <f>1*2100</f>
        <v>2100</v>
      </c>
      <c r="K857" s="251"/>
      <c r="L857" s="251"/>
    </row>
    <row r="858">
      <c r="A858" s="200" t="s">
        <v>413</v>
      </c>
      <c r="B858" s="211"/>
      <c r="C858" s="222"/>
      <c r="D858" s="211"/>
      <c r="E858" s="221">
        <v>5157.0</v>
      </c>
      <c r="F858" s="221"/>
      <c r="G858" s="221">
        <v>5157.0</v>
      </c>
      <c r="H858" s="221"/>
      <c r="I858" s="221"/>
      <c r="J858" s="211">
        <v>4687.0</v>
      </c>
      <c r="K858" s="252">
        <f>6*L807</f>
        <v>0</v>
      </c>
      <c r="L858" s="252"/>
      <c r="M858" s="72" t="s">
        <v>237</v>
      </c>
    </row>
    <row r="859">
      <c r="A859" s="200" t="s">
        <v>141</v>
      </c>
      <c r="B859" s="221">
        <f t="shared" ref="B859:C859" si="206">8*B838</f>
        <v>0</v>
      </c>
      <c r="C859" s="221">
        <f t="shared" si="206"/>
        <v>0</v>
      </c>
      <c r="D859" s="255"/>
      <c r="E859" s="256"/>
      <c r="F859" s="255"/>
      <c r="G859" s="255"/>
      <c r="H859" s="199">
        <f>6*H838</f>
        <v>0</v>
      </c>
      <c r="I859" s="255"/>
      <c r="J859" s="255"/>
      <c r="K859" s="255"/>
      <c r="L859" s="257"/>
    </row>
    <row r="860">
      <c r="A860" s="200" t="s">
        <v>453</v>
      </c>
      <c r="B860" s="255"/>
      <c r="C860" s="255"/>
      <c r="D860" s="255"/>
      <c r="E860" s="255">
        <v>3920.0</v>
      </c>
      <c r="F860" s="255"/>
      <c r="G860" s="255"/>
      <c r="H860" s="255">
        <v>1960.0</v>
      </c>
      <c r="I860" s="255">
        <v>6650.0</v>
      </c>
      <c r="J860" s="255"/>
      <c r="K860" s="255">
        <v>16150.0</v>
      </c>
      <c r="L860" s="257"/>
    </row>
    <row r="861">
      <c r="A861" s="205" t="s">
        <v>118</v>
      </c>
      <c r="B861" s="226">
        <f t="shared" ref="B861:C861" si="207">B849</f>
        <v>130000</v>
      </c>
      <c r="C861" s="226">
        <f t="shared" si="207"/>
        <v>140000</v>
      </c>
      <c r="D861" s="226">
        <f>150000+D857</f>
        <v>150000</v>
      </c>
      <c r="E861" s="226">
        <f>E849+E857+E858-E860</f>
        <v>113529</v>
      </c>
      <c r="F861" s="226">
        <f>F846</f>
        <v>225000</v>
      </c>
      <c r="G861" s="226">
        <f>G846+G858+G857-G860</f>
        <v>117448.6667</v>
      </c>
      <c r="H861" s="226">
        <f>70000-H860</f>
        <v>68040</v>
      </c>
      <c r="I861" s="226">
        <f>100000-I860</f>
        <v>93350</v>
      </c>
      <c r="J861" s="238">
        <f>J849+J857+J858-J860</f>
        <v>106787</v>
      </c>
      <c r="K861" s="226">
        <f>K849-K860</f>
        <v>113850</v>
      </c>
      <c r="L861" s="206">
        <f>SUM(B861:K861)</f>
        <v>1258004.667</v>
      </c>
    </row>
    <row r="862">
      <c r="A862" s="126" t="s">
        <v>0</v>
      </c>
      <c r="B862" s="127" t="s">
        <v>90</v>
      </c>
      <c r="C862" s="127" t="s">
        <v>3</v>
      </c>
      <c r="D862" s="183" t="s">
        <v>109</v>
      </c>
      <c r="E862" s="183" t="s">
        <v>155</v>
      </c>
      <c r="F862" s="183" t="s">
        <v>195</v>
      </c>
      <c r="G862" s="129" t="s">
        <v>305</v>
      </c>
      <c r="H862" s="129" t="s">
        <v>409</v>
      </c>
      <c r="I862" s="129" t="s">
        <v>244</v>
      </c>
      <c r="J862" s="129" t="s">
        <v>232</v>
      </c>
      <c r="K862" s="129" t="s">
        <v>426</v>
      </c>
      <c r="L862" s="128" t="s">
        <v>110</v>
      </c>
    </row>
    <row r="863">
      <c r="A863" s="272"/>
      <c r="B863" s="270" t="s">
        <v>456</v>
      </c>
      <c r="C863" s="270" t="s">
        <v>456</v>
      </c>
      <c r="D863" s="270" t="s">
        <v>456</v>
      </c>
      <c r="E863" s="274" t="s">
        <v>375</v>
      </c>
      <c r="F863" s="270" t="s">
        <v>456</v>
      </c>
      <c r="G863" s="247" t="s">
        <v>375</v>
      </c>
      <c r="H863" s="247" t="s">
        <v>375</v>
      </c>
      <c r="I863" s="271" t="s">
        <v>375</v>
      </c>
      <c r="J863" s="271" t="s">
        <v>375</v>
      </c>
      <c r="K863" s="237" t="s">
        <v>459</v>
      </c>
    </row>
    <row r="864">
      <c r="A864" s="272"/>
      <c r="B864" s="273"/>
      <c r="C864" s="273"/>
      <c r="D864" s="274"/>
      <c r="E864" s="274"/>
      <c r="F864" s="274"/>
      <c r="G864" s="247"/>
      <c r="H864" s="247"/>
      <c r="I864" s="247"/>
      <c r="J864" s="247"/>
      <c r="K864" s="272"/>
    </row>
    <row r="865">
      <c r="A865" s="195" t="s">
        <v>461</v>
      </c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7"/>
    </row>
    <row r="866">
      <c r="A866" s="284" t="s">
        <v>417</v>
      </c>
      <c r="B866" s="285"/>
      <c r="C866" s="286"/>
      <c r="D866" s="286"/>
      <c r="E866" s="287"/>
      <c r="F866" s="286"/>
      <c r="G866" s="286">
        <v>2.0</v>
      </c>
      <c r="H866" s="286"/>
      <c r="I866" s="286"/>
      <c r="J866" s="286"/>
      <c r="K866" s="288"/>
      <c r="L866" s="288"/>
    </row>
    <row r="867">
      <c r="A867" s="198" t="s">
        <v>40</v>
      </c>
      <c r="B867" s="301"/>
      <c r="C867" s="301"/>
      <c r="D867" s="221"/>
      <c r="E867" s="221">
        <v>2292.0</v>
      </c>
      <c r="F867" s="199"/>
      <c r="G867" s="221"/>
      <c r="H867" s="301">
        <f>H817</f>
        <v>0</v>
      </c>
      <c r="I867" s="255"/>
      <c r="J867" s="221">
        <f>1*2100</f>
        <v>2100</v>
      </c>
      <c r="K867" s="251"/>
      <c r="L867" s="251"/>
    </row>
    <row r="868">
      <c r="A868" s="200" t="s">
        <v>413</v>
      </c>
      <c r="B868" s="211"/>
      <c r="C868" s="222"/>
      <c r="D868" s="211"/>
      <c r="E868" s="221">
        <v>5157.0</v>
      </c>
      <c r="F868" s="221"/>
      <c r="G868" s="221"/>
      <c r="H868" s="221"/>
      <c r="I868" s="221"/>
      <c r="J868" s="211">
        <v>4687.0</v>
      </c>
      <c r="K868" s="252">
        <f>6*L817</f>
        <v>0</v>
      </c>
      <c r="L868" s="252"/>
      <c r="M868" s="72" t="s">
        <v>237</v>
      </c>
    </row>
    <row r="869">
      <c r="A869" s="200" t="s">
        <v>141</v>
      </c>
      <c r="B869" s="221"/>
      <c r="C869" s="221"/>
      <c r="D869" s="255"/>
      <c r="E869" s="256"/>
      <c r="F869" s="255"/>
      <c r="G869" s="255"/>
      <c r="H869" s="199"/>
      <c r="I869" s="255"/>
      <c r="J869" s="255"/>
      <c r="K869" s="255"/>
      <c r="L869" s="257"/>
    </row>
    <row r="870">
      <c r="A870" s="200" t="s">
        <v>453</v>
      </c>
      <c r="B870" s="255"/>
      <c r="C870" s="255"/>
      <c r="D870" s="255"/>
      <c r="E870" s="255"/>
      <c r="F870" s="255"/>
      <c r="G870" s="255"/>
      <c r="H870" s="255"/>
      <c r="I870" s="255"/>
      <c r="J870" s="255"/>
      <c r="K870" s="255">
        <v>7300.0</v>
      </c>
      <c r="L870" s="257"/>
    </row>
    <row r="871">
      <c r="A871" s="205" t="s">
        <v>118</v>
      </c>
      <c r="B871" s="226">
        <f>B849</f>
        <v>130000</v>
      </c>
      <c r="C871" s="226">
        <f>C848</f>
        <v>140000</v>
      </c>
      <c r="D871" s="226">
        <f>150000+D867</f>
        <v>150000</v>
      </c>
      <c r="E871" s="226">
        <f>E849+E867+E868-E870</f>
        <v>117449</v>
      </c>
      <c r="F871" s="226">
        <f>F846</f>
        <v>225000</v>
      </c>
      <c r="G871" s="226">
        <v>120000.0</v>
      </c>
      <c r="H871" s="226">
        <f>70000-H870</f>
        <v>70000</v>
      </c>
      <c r="I871" s="226">
        <f>100000-I870</f>
        <v>100000</v>
      </c>
      <c r="J871" s="238">
        <f>J849+J867+J868-J870</f>
        <v>106787</v>
      </c>
      <c r="K871" s="226">
        <f>K847-K870</f>
        <v>122700</v>
      </c>
      <c r="L871" s="206">
        <f>SUM(B871:K871)</f>
        <v>1281936</v>
      </c>
    </row>
    <row r="872">
      <c r="A872" s="126" t="s">
        <v>0</v>
      </c>
      <c r="B872" s="127" t="s">
        <v>90</v>
      </c>
      <c r="C872" s="127" t="s">
        <v>3</v>
      </c>
      <c r="D872" s="183" t="s">
        <v>109</v>
      </c>
      <c r="E872" s="183" t="s">
        <v>155</v>
      </c>
      <c r="F872" s="183" t="s">
        <v>195</v>
      </c>
      <c r="G872" s="129" t="s">
        <v>305</v>
      </c>
      <c r="H872" s="129" t="s">
        <v>409</v>
      </c>
      <c r="I872" s="129" t="s">
        <v>244</v>
      </c>
      <c r="J872" s="129" t="s">
        <v>232</v>
      </c>
      <c r="K872" s="129" t="s">
        <v>426</v>
      </c>
      <c r="L872" s="128" t="s">
        <v>110</v>
      </c>
    </row>
    <row r="873">
      <c r="A873" s="272"/>
      <c r="B873" s="270" t="s">
        <v>456</v>
      </c>
      <c r="C873" s="270" t="s">
        <v>456</v>
      </c>
      <c r="D873" s="270" t="s">
        <v>456</v>
      </c>
      <c r="E873" s="274" t="s">
        <v>375</v>
      </c>
      <c r="F873" s="270" t="s">
        <v>456</v>
      </c>
      <c r="G873" s="271" t="s">
        <v>456</v>
      </c>
      <c r="H873" s="247" t="s">
        <v>375</v>
      </c>
      <c r="I873" s="271" t="s">
        <v>375</v>
      </c>
      <c r="J873" s="271" t="s">
        <v>375</v>
      </c>
      <c r="K873" s="270" t="s">
        <v>456</v>
      </c>
    </row>
    <row r="874">
      <c r="A874" s="272"/>
      <c r="B874" s="273"/>
      <c r="C874" s="273"/>
      <c r="D874" s="274"/>
      <c r="E874" s="274"/>
      <c r="F874" s="274"/>
      <c r="G874" s="247"/>
      <c r="H874" s="247"/>
      <c r="I874" s="247"/>
      <c r="J874" s="247"/>
      <c r="K874" s="272"/>
    </row>
    <row r="875">
      <c r="A875" s="195" t="s">
        <v>462</v>
      </c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7"/>
    </row>
    <row r="876">
      <c r="A876" s="284" t="s">
        <v>417</v>
      </c>
      <c r="B876" s="285"/>
      <c r="C876" s="286"/>
      <c r="D876" s="286"/>
      <c r="E876" s="287"/>
      <c r="F876" s="286"/>
      <c r="G876" s="286">
        <v>6.0</v>
      </c>
      <c r="H876" s="286"/>
      <c r="I876" s="286"/>
      <c r="J876" s="286"/>
      <c r="K876" s="288"/>
      <c r="L876" s="288"/>
    </row>
    <row r="877">
      <c r="A877" s="198" t="s">
        <v>40</v>
      </c>
      <c r="B877" s="301"/>
      <c r="C877" s="301"/>
      <c r="D877" s="221"/>
      <c r="E877" s="221">
        <v>2292.0</v>
      </c>
      <c r="F877" s="199"/>
      <c r="G877" s="221"/>
      <c r="H877" s="301">
        <f>H827</f>
        <v>0</v>
      </c>
      <c r="I877" s="255"/>
      <c r="J877" s="221">
        <f>1*2100</f>
        <v>2100</v>
      </c>
      <c r="K877" s="251"/>
      <c r="L877" s="251"/>
    </row>
    <row r="878">
      <c r="A878" s="200" t="s">
        <v>413</v>
      </c>
      <c r="B878" s="211"/>
      <c r="C878" s="222"/>
      <c r="D878" s="211"/>
      <c r="E878" s="221">
        <v>5157.0</v>
      </c>
      <c r="F878" s="221"/>
      <c r="G878" s="221"/>
      <c r="H878" s="221"/>
      <c r="I878" s="221"/>
      <c r="J878" s="211">
        <v>4687.0</v>
      </c>
      <c r="K878" s="252">
        <f>6*L827</f>
        <v>0</v>
      </c>
      <c r="L878" s="252"/>
      <c r="M878" s="72" t="s">
        <v>237</v>
      </c>
    </row>
    <row r="879">
      <c r="A879" s="200" t="s">
        <v>141</v>
      </c>
      <c r="B879" s="221"/>
      <c r="C879" s="221"/>
      <c r="D879" s="255"/>
      <c r="E879" s="256">
        <f>8*E851</f>
        <v>18333.33333</v>
      </c>
      <c r="F879" s="255"/>
      <c r="G879" s="255"/>
      <c r="H879" s="199"/>
      <c r="I879" s="255">
        <f>8*I851</f>
        <v>19047.61905</v>
      </c>
      <c r="J879" s="255"/>
      <c r="K879" s="255">
        <f>K851*8</f>
        <v>21666.66667</v>
      </c>
      <c r="L879" s="257"/>
    </row>
    <row r="880">
      <c r="A880" s="200" t="s">
        <v>453</v>
      </c>
      <c r="B880" s="255"/>
      <c r="C880" s="255"/>
      <c r="D880" s="255"/>
      <c r="E880" s="255"/>
      <c r="F880" s="255"/>
      <c r="G880" s="255"/>
      <c r="H880" s="255"/>
      <c r="I880" s="255"/>
      <c r="J880" s="255"/>
      <c r="K880" s="255"/>
      <c r="L880" s="257"/>
    </row>
    <row r="881">
      <c r="A881" s="205" t="s">
        <v>118</v>
      </c>
      <c r="B881" s="226">
        <f>B846</f>
        <v>130000</v>
      </c>
      <c r="C881" s="226">
        <f>C847</f>
        <v>140000</v>
      </c>
      <c r="D881" s="226">
        <f>150000+D877</f>
        <v>150000</v>
      </c>
      <c r="E881" s="226">
        <f>E849+E877+E878+E879</f>
        <v>135782.3333</v>
      </c>
      <c r="F881" s="226">
        <f>F846</f>
        <v>225000</v>
      </c>
      <c r="G881" s="226">
        <f>G849</f>
        <v>110000</v>
      </c>
      <c r="H881" s="226">
        <f>70000-H880</f>
        <v>70000</v>
      </c>
      <c r="I881" s="226">
        <f>100000-I880+I879</f>
        <v>119047.619</v>
      </c>
      <c r="J881" s="238">
        <f>J849+J877+J878-J880</f>
        <v>106787</v>
      </c>
      <c r="K881" s="226">
        <f>K848+K879</f>
        <v>151666.6667</v>
      </c>
      <c r="L881" s="206">
        <f>SUM(B881:K881)</f>
        <v>1338283.619</v>
      </c>
    </row>
    <row r="882">
      <c r="A882" s="126" t="s">
        <v>0</v>
      </c>
      <c r="B882" s="127" t="s">
        <v>90</v>
      </c>
      <c r="C882" s="127" t="s">
        <v>3</v>
      </c>
      <c r="D882" s="183" t="s">
        <v>109</v>
      </c>
      <c r="E882" s="183" t="s">
        <v>155</v>
      </c>
      <c r="F882" s="183" t="s">
        <v>195</v>
      </c>
      <c r="G882" s="129" t="s">
        <v>305</v>
      </c>
      <c r="H882" s="129" t="s">
        <v>409</v>
      </c>
      <c r="I882" s="129" t="s">
        <v>244</v>
      </c>
      <c r="J882" s="129" t="s">
        <v>232</v>
      </c>
      <c r="K882" s="129" t="s">
        <v>426</v>
      </c>
      <c r="L882" s="128" t="s">
        <v>110</v>
      </c>
    </row>
    <row r="883">
      <c r="A883" s="272"/>
      <c r="B883" s="270" t="s">
        <v>325</v>
      </c>
      <c r="C883" s="270" t="s">
        <v>463</v>
      </c>
      <c r="D883" s="270" t="s">
        <v>325</v>
      </c>
      <c r="E883" s="274" t="s">
        <v>375</v>
      </c>
      <c r="F883" s="270" t="s">
        <v>325</v>
      </c>
      <c r="G883" s="270" t="s">
        <v>325</v>
      </c>
      <c r="H883" s="247" t="s">
        <v>375</v>
      </c>
      <c r="I883" s="271" t="s">
        <v>375</v>
      </c>
      <c r="J883" s="271" t="s">
        <v>375</v>
      </c>
      <c r="K883" s="270" t="s">
        <v>375</v>
      </c>
    </row>
    <row r="884">
      <c r="A884" s="272"/>
      <c r="B884" s="274" t="s">
        <v>464</v>
      </c>
      <c r="C884" s="273"/>
      <c r="D884" s="274"/>
      <c r="E884" s="274"/>
      <c r="F884" s="274"/>
      <c r="G884" s="247"/>
      <c r="H884" s="247"/>
      <c r="I884" s="247"/>
      <c r="J884" s="247"/>
      <c r="K884" s="272"/>
    </row>
    <row r="885">
      <c r="A885" s="272"/>
      <c r="B885" s="273"/>
      <c r="C885" s="273"/>
      <c r="D885" s="274"/>
      <c r="E885" s="274"/>
      <c r="F885" s="274"/>
      <c r="G885" s="247"/>
      <c r="H885" s="247"/>
      <c r="I885" s="247"/>
      <c r="J885" s="247"/>
      <c r="K885" s="272"/>
    </row>
    <row r="886">
      <c r="A886" s="130" t="s">
        <v>187</v>
      </c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2"/>
    </row>
    <row r="887">
      <c r="A887" s="126" t="s">
        <v>0</v>
      </c>
      <c r="B887" s="294" t="s">
        <v>431</v>
      </c>
      <c r="C887" s="294" t="s">
        <v>432</v>
      </c>
      <c r="D887" s="294" t="s">
        <v>433</v>
      </c>
      <c r="E887" s="294" t="s">
        <v>434</v>
      </c>
      <c r="F887" s="294" t="s">
        <v>435</v>
      </c>
      <c r="G887" s="295" t="s">
        <v>436</v>
      </c>
      <c r="H887" s="295" t="s">
        <v>437</v>
      </c>
      <c r="I887" s="295" t="s">
        <v>438</v>
      </c>
      <c r="J887" s="295" t="s">
        <v>439</v>
      </c>
      <c r="K887" s="295" t="s">
        <v>441</v>
      </c>
      <c r="L887" s="129" t="s">
        <v>341</v>
      </c>
    </row>
    <row r="888">
      <c r="A888" s="133" t="s">
        <v>111</v>
      </c>
      <c r="B888" s="134"/>
      <c r="C888" s="134">
        <v>225000.0</v>
      </c>
      <c r="D888" s="134">
        <v>200000.0</v>
      </c>
      <c r="E888" s="134">
        <v>110000.0</v>
      </c>
      <c r="F888" s="134">
        <v>225000.0</v>
      </c>
      <c r="G888" s="134">
        <v>110000.0</v>
      </c>
      <c r="H888" s="134">
        <v>70000.0</v>
      </c>
      <c r="I888" s="134">
        <v>100000.0</v>
      </c>
      <c r="J888" s="134">
        <v>100000.0</v>
      </c>
      <c r="K888" s="134">
        <v>130000.0</v>
      </c>
      <c r="L888" s="134">
        <f t="shared" ref="L888:L891" si="208">SUM(B888:K888)</f>
        <v>1270000</v>
      </c>
    </row>
    <row r="889">
      <c r="A889" s="137"/>
      <c r="B889" s="134"/>
      <c r="C889" s="134">
        <v>225000.0</v>
      </c>
      <c r="D889" s="134">
        <v>200000.0</v>
      </c>
      <c r="E889" s="134">
        <v>110000.0</v>
      </c>
      <c r="F889" s="134">
        <v>225000.0</v>
      </c>
      <c r="G889" s="134">
        <v>110000.0</v>
      </c>
      <c r="H889" s="134">
        <v>70000.0</v>
      </c>
      <c r="I889" s="134">
        <v>100000.0</v>
      </c>
      <c r="J889" s="134">
        <v>100000.0</v>
      </c>
      <c r="K889" s="134">
        <v>130000.0</v>
      </c>
      <c r="L889" s="134">
        <f t="shared" si="208"/>
        <v>1270000</v>
      </c>
    </row>
    <row r="890">
      <c r="A890" s="137"/>
      <c r="B890" s="134"/>
      <c r="C890" s="134">
        <v>225000.0</v>
      </c>
      <c r="D890" s="134">
        <v>200000.0</v>
      </c>
      <c r="E890" s="134">
        <v>110000.0</v>
      </c>
      <c r="F890" s="134">
        <v>225000.0</v>
      </c>
      <c r="G890" s="134">
        <v>110000.0</v>
      </c>
      <c r="H890" s="134">
        <v>70000.0</v>
      </c>
      <c r="I890" s="134">
        <v>100000.0</v>
      </c>
      <c r="J890" s="134">
        <v>100000.0</v>
      </c>
      <c r="K890" s="134">
        <v>130000.0</v>
      </c>
      <c r="L890" s="134">
        <f t="shared" si="208"/>
        <v>1270000</v>
      </c>
    </row>
    <row r="891">
      <c r="A891" s="138"/>
      <c r="B891" s="134"/>
      <c r="C891" s="134">
        <v>225000.0</v>
      </c>
      <c r="D891" s="134">
        <v>200000.0</v>
      </c>
      <c r="E891" s="134">
        <v>110000.0</v>
      </c>
      <c r="F891" s="134">
        <v>225000.0</v>
      </c>
      <c r="G891" s="134">
        <v>110000.0</v>
      </c>
      <c r="H891" s="134">
        <v>70000.0</v>
      </c>
      <c r="I891" s="134">
        <v>100000.0</v>
      </c>
      <c r="J891" s="134">
        <v>100000.0</v>
      </c>
      <c r="K891" s="134">
        <v>130000.0</v>
      </c>
      <c r="L891" s="134">
        <f t="shared" si="208"/>
        <v>1270000</v>
      </c>
    </row>
    <row r="892">
      <c r="A892" s="140" t="s">
        <v>113</v>
      </c>
      <c r="B892" s="141">
        <f t="shared" ref="B892:L892" si="209">SUM(B888:B891)</f>
        <v>0</v>
      </c>
      <c r="C892" s="141">
        <f t="shared" si="209"/>
        <v>900000</v>
      </c>
      <c r="D892" s="141">
        <f t="shared" si="209"/>
        <v>800000</v>
      </c>
      <c r="E892" s="141">
        <f t="shared" si="209"/>
        <v>440000</v>
      </c>
      <c r="F892" s="141">
        <f t="shared" si="209"/>
        <v>900000</v>
      </c>
      <c r="G892" s="141">
        <f t="shared" si="209"/>
        <v>440000</v>
      </c>
      <c r="H892" s="141">
        <f t="shared" si="209"/>
        <v>280000</v>
      </c>
      <c r="I892" s="141">
        <f t="shared" si="209"/>
        <v>400000</v>
      </c>
      <c r="J892" s="141">
        <f t="shared" si="209"/>
        <v>400000</v>
      </c>
      <c r="K892" s="141">
        <f t="shared" si="209"/>
        <v>520000</v>
      </c>
      <c r="L892" s="141">
        <f t="shared" si="209"/>
        <v>5080000</v>
      </c>
    </row>
    <row r="893">
      <c r="A893" s="260" t="s">
        <v>138</v>
      </c>
      <c r="B893" s="261">
        <f>B889/6/8</f>
        <v>0</v>
      </c>
      <c r="C893" s="261">
        <f>C888/8/6</f>
        <v>4687.5</v>
      </c>
      <c r="D893" s="261">
        <f t="shared" ref="D893:F893" si="210">D888/6/8</f>
        <v>4166.666667</v>
      </c>
      <c r="E893" s="261">
        <f t="shared" si="210"/>
        <v>2291.666667</v>
      </c>
      <c r="F893" s="261">
        <f t="shared" si="210"/>
        <v>4687.5</v>
      </c>
      <c r="G893" s="261">
        <f>G889/6/8</f>
        <v>2291.666667</v>
      </c>
      <c r="H893" s="261">
        <f>H888/8/6</f>
        <v>1458.333333</v>
      </c>
      <c r="I893" s="261">
        <f>I888/6/7</f>
        <v>2380.952381</v>
      </c>
      <c r="J893" s="262">
        <f t="shared" ref="J893:K893" si="211">J888/6/8</f>
        <v>2083.333333</v>
      </c>
      <c r="K893" s="290">
        <f t="shared" si="211"/>
        <v>2708.333333</v>
      </c>
      <c r="L893" s="296" t="s">
        <v>442</v>
      </c>
      <c r="M893" s="174"/>
      <c r="N893" s="174"/>
    </row>
    <row r="894">
      <c r="A894" s="272"/>
      <c r="B894" s="273"/>
      <c r="C894" s="273"/>
      <c r="D894" s="274"/>
      <c r="E894" s="274"/>
      <c r="F894" s="274"/>
      <c r="G894" s="247"/>
      <c r="H894" s="247"/>
      <c r="I894" s="247"/>
      <c r="J894" s="247"/>
      <c r="K894" s="272"/>
    </row>
    <row r="895">
      <c r="A895" s="272"/>
      <c r="B895" s="273"/>
      <c r="C895" s="273"/>
      <c r="D895" s="274"/>
      <c r="E895" s="274"/>
      <c r="F895" s="274"/>
      <c r="G895" s="247"/>
      <c r="H895" s="247"/>
      <c r="I895" s="247"/>
      <c r="J895" s="247"/>
      <c r="K895" s="272"/>
    </row>
    <row r="896">
      <c r="A896" s="272"/>
      <c r="B896" s="273"/>
      <c r="C896" s="273"/>
      <c r="D896" s="274"/>
      <c r="E896" s="274"/>
      <c r="F896" s="274"/>
      <c r="G896" s="247"/>
      <c r="H896" s="247"/>
      <c r="I896" s="247"/>
      <c r="J896" s="247"/>
      <c r="K896" s="272"/>
    </row>
    <row r="897">
      <c r="A897" s="195" t="s">
        <v>465</v>
      </c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7"/>
    </row>
    <row r="898">
      <c r="A898" s="284" t="s">
        <v>417</v>
      </c>
      <c r="B898" s="285"/>
      <c r="C898" s="286"/>
      <c r="D898" s="286"/>
      <c r="E898" s="287"/>
      <c r="F898" s="286"/>
      <c r="G898" s="286">
        <v>1.0</v>
      </c>
      <c r="H898" s="286"/>
      <c r="I898" s="286"/>
      <c r="J898" s="286"/>
      <c r="K898" s="288"/>
      <c r="L898" s="288"/>
    </row>
    <row r="899">
      <c r="A899" s="198" t="s">
        <v>40</v>
      </c>
      <c r="B899" s="301"/>
      <c r="C899" s="301"/>
      <c r="D899" s="221"/>
      <c r="E899" s="221">
        <v>2292.0</v>
      </c>
      <c r="F899" s="199"/>
      <c r="G899" s="221">
        <v>2292.0</v>
      </c>
      <c r="H899" s="301" t="str">
        <f>H838</f>
        <v/>
      </c>
      <c r="I899" s="255"/>
      <c r="J899" s="221">
        <f>1*2100</f>
        <v>2100</v>
      </c>
      <c r="K899" s="251">
        <f>8*K851</f>
        <v>21666.66667</v>
      </c>
      <c r="L899" s="251"/>
    </row>
    <row r="900">
      <c r="A900" s="200" t="s">
        <v>413</v>
      </c>
      <c r="B900" s="211"/>
      <c r="C900" s="222"/>
      <c r="D900" s="211"/>
      <c r="E900" s="221">
        <v>5157.0</v>
      </c>
      <c r="F900" s="221"/>
      <c r="G900" s="221">
        <v>5157.0</v>
      </c>
      <c r="H900" s="221"/>
      <c r="I900" s="221"/>
      <c r="J900" s="211">
        <v>4687.0</v>
      </c>
      <c r="K900" s="252">
        <f>21666*1.25-21666</f>
        <v>5416.5</v>
      </c>
      <c r="L900" s="252"/>
      <c r="M900" s="72" t="s">
        <v>237</v>
      </c>
    </row>
    <row r="901">
      <c r="A901" s="200" t="s">
        <v>141</v>
      </c>
      <c r="B901" s="221"/>
      <c r="C901" s="221"/>
      <c r="D901" s="255"/>
      <c r="E901" s="256"/>
      <c r="F901" s="255"/>
      <c r="G901" s="255"/>
      <c r="H901" s="199"/>
      <c r="I901" s="255"/>
      <c r="J901" s="255"/>
      <c r="K901" s="255"/>
      <c r="L901" s="257"/>
    </row>
    <row r="902">
      <c r="A902" s="200" t="s">
        <v>453</v>
      </c>
      <c r="B902" s="255"/>
      <c r="C902" s="255"/>
      <c r="D902" s="255"/>
      <c r="E902" s="255"/>
      <c r="F902" s="255"/>
      <c r="G902" s="255"/>
      <c r="H902" s="255">
        <v>1680.0</v>
      </c>
      <c r="I902" s="255"/>
      <c r="J902" s="255"/>
      <c r="K902" s="255"/>
      <c r="L902" s="257"/>
    </row>
    <row r="903">
      <c r="A903" s="205" t="s">
        <v>118</v>
      </c>
      <c r="B903" s="226" t="str">
        <f>B857</f>
        <v/>
      </c>
      <c r="C903" s="226">
        <v>225000.0</v>
      </c>
      <c r="D903" s="226">
        <v>200000.0</v>
      </c>
      <c r="E903" s="226">
        <f>E849+E899+E900</f>
        <v>117449</v>
      </c>
      <c r="F903" s="226">
        <f>F849</f>
        <v>225000</v>
      </c>
      <c r="G903" s="226">
        <f>G848+G900+G899</f>
        <v>117449</v>
      </c>
      <c r="H903" s="226">
        <f>70000-H902</f>
        <v>68320</v>
      </c>
      <c r="I903" s="226">
        <f>100000-I902+I901</f>
        <v>100000</v>
      </c>
      <c r="J903" s="238">
        <f>J849+J899+J900-J902</f>
        <v>106787</v>
      </c>
      <c r="K903" s="238">
        <f>K846+K899+K900</f>
        <v>157083.1667</v>
      </c>
      <c r="L903" s="206">
        <f>SUM(B903:K903)</f>
        <v>1317088.167</v>
      </c>
    </row>
    <row r="904">
      <c r="A904" s="126" t="s">
        <v>0</v>
      </c>
      <c r="B904" s="127" t="s">
        <v>90</v>
      </c>
      <c r="C904" s="127" t="s">
        <v>3</v>
      </c>
      <c r="D904" s="183" t="s">
        <v>109</v>
      </c>
      <c r="E904" s="183" t="s">
        <v>155</v>
      </c>
      <c r="F904" s="183" t="s">
        <v>195</v>
      </c>
      <c r="G904" s="129" t="s">
        <v>305</v>
      </c>
      <c r="H904" s="129" t="s">
        <v>409</v>
      </c>
      <c r="I904" s="129" t="s">
        <v>244</v>
      </c>
      <c r="J904" s="129" t="s">
        <v>232</v>
      </c>
      <c r="K904" s="129" t="s">
        <v>426</v>
      </c>
      <c r="L904" s="128" t="s">
        <v>110</v>
      </c>
    </row>
    <row r="905">
      <c r="A905" s="272"/>
      <c r="B905" s="270"/>
      <c r="C905" s="270"/>
      <c r="D905" s="270"/>
      <c r="E905" s="274"/>
      <c r="F905" s="270"/>
      <c r="G905" s="270"/>
      <c r="H905" s="247" t="s">
        <v>466</v>
      </c>
      <c r="I905" s="271"/>
      <c r="J905" s="271"/>
      <c r="K905" s="270"/>
    </row>
    <row r="906">
      <c r="A906" s="272"/>
      <c r="B906" s="273"/>
      <c r="C906" s="273"/>
      <c r="D906" s="274"/>
      <c r="E906" s="274"/>
      <c r="F906" s="274"/>
      <c r="G906" s="247"/>
      <c r="H906" s="247"/>
      <c r="I906" s="247"/>
      <c r="J906" s="247"/>
      <c r="K906" s="272"/>
    </row>
    <row r="907">
      <c r="A907" s="272"/>
      <c r="B907" s="273"/>
      <c r="C907" s="273"/>
      <c r="D907" s="274"/>
      <c r="E907" s="274"/>
      <c r="F907" s="274"/>
      <c r="G907" s="247"/>
      <c r="H907" s="247"/>
      <c r="I907" s="247"/>
      <c r="J907" s="247"/>
      <c r="K907" s="272"/>
    </row>
    <row r="908">
      <c r="A908" s="195" t="s">
        <v>467</v>
      </c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7"/>
    </row>
    <row r="909">
      <c r="A909" s="284" t="s">
        <v>417</v>
      </c>
      <c r="B909" s="285"/>
      <c r="C909" s="286"/>
      <c r="D909" s="286"/>
      <c r="E909" s="287"/>
      <c r="F909" s="286"/>
      <c r="G909" s="286">
        <v>1.0</v>
      </c>
      <c r="H909" s="286"/>
      <c r="I909" s="286"/>
      <c r="J909" s="286"/>
      <c r="K909" s="288"/>
      <c r="L909" s="288"/>
    </row>
    <row r="910">
      <c r="A910" s="198" t="s">
        <v>40</v>
      </c>
      <c r="B910" s="301"/>
      <c r="C910" s="301"/>
      <c r="D910" s="221"/>
      <c r="E910" s="221">
        <f>8*E893</f>
        <v>18333.33333</v>
      </c>
      <c r="F910" s="199"/>
      <c r="G910" s="221"/>
      <c r="H910" s="301">
        <f>H849</f>
        <v>70000</v>
      </c>
      <c r="I910" s="255"/>
      <c r="J910" s="221"/>
      <c r="K910" s="251"/>
      <c r="L910" s="251"/>
    </row>
    <row r="911">
      <c r="A911" s="200" t="s">
        <v>413</v>
      </c>
      <c r="B911" s="211"/>
      <c r="C911" s="222"/>
      <c r="D911" s="211"/>
      <c r="E911" s="221"/>
      <c r="F911" s="221"/>
      <c r="G911" s="221"/>
      <c r="H911" s="221"/>
      <c r="I911" s="221"/>
      <c r="J911" s="211"/>
      <c r="K911" s="252"/>
      <c r="L911" s="252"/>
      <c r="M911" s="72" t="s">
        <v>237</v>
      </c>
    </row>
    <row r="912">
      <c r="A912" s="200" t="s">
        <v>119</v>
      </c>
      <c r="B912" s="221"/>
      <c r="C912" s="221"/>
      <c r="D912" s="255"/>
      <c r="E912" s="256"/>
      <c r="F912" s="255">
        <v>225000.0</v>
      </c>
      <c r="G912" s="255"/>
      <c r="H912" s="199"/>
      <c r="I912" s="255"/>
      <c r="J912" s="255"/>
      <c r="K912" s="255"/>
      <c r="L912" s="257"/>
    </row>
    <row r="913">
      <c r="A913" s="200" t="s">
        <v>62</v>
      </c>
      <c r="B913" s="221">
        <v>260000.0</v>
      </c>
      <c r="C913" s="221"/>
      <c r="D913" s="255"/>
      <c r="E913" s="255"/>
      <c r="F913" s="255"/>
      <c r="G913" s="255"/>
      <c r="H913" s="221"/>
      <c r="I913" s="255"/>
      <c r="J913" s="255"/>
      <c r="K913" s="255"/>
      <c r="L913" s="257"/>
    </row>
    <row r="914">
      <c r="A914" s="200" t="s">
        <v>453</v>
      </c>
      <c r="B914" s="255"/>
      <c r="C914" s="255"/>
      <c r="D914" s="255"/>
      <c r="E914" s="255"/>
      <c r="F914" s="255"/>
      <c r="G914" s="255"/>
      <c r="H914" s="255">
        <v>5950.0</v>
      </c>
      <c r="I914" s="255"/>
      <c r="J914" s="255"/>
      <c r="K914" s="255"/>
      <c r="L914" s="257"/>
    </row>
    <row r="915">
      <c r="A915" s="205" t="s">
        <v>118</v>
      </c>
      <c r="B915" s="226">
        <f>B913</f>
        <v>260000</v>
      </c>
      <c r="C915" s="226">
        <v>225000.0</v>
      </c>
      <c r="D915" s="226">
        <v>200000.0</v>
      </c>
      <c r="E915" s="226">
        <f>E849+E910</f>
        <v>128333.3333</v>
      </c>
      <c r="F915" s="226">
        <f>225000+225000</f>
        <v>450000</v>
      </c>
      <c r="G915" s="226">
        <v>110000.0</v>
      </c>
      <c r="H915" s="226">
        <f>70000-H914</f>
        <v>64050</v>
      </c>
      <c r="I915" s="226">
        <f>100000-I914+I912</f>
        <v>100000</v>
      </c>
      <c r="J915" s="226">
        <v>100000.0</v>
      </c>
      <c r="K915" s="226">
        <v>130000.0</v>
      </c>
      <c r="L915" s="206">
        <f>SUM(B915:K915)</f>
        <v>1767383.333</v>
      </c>
    </row>
    <row r="916">
      <c r="A916" s="126" t="s">
        <v>0</v>
      </c>
      <c r="B916" s="127" t="s">
        <v>90</v>
      </c>
      <c r="C916" s="127" t="s">
        <v>3</v>
      </c>
      <c r="D916" s="183" t="s">
        <v>109</v>
      </c>
      <c r="E916" s="183" t="s">
        <v>155</v>
      </c>
      <c r="F916" s="183" t="s">
        <v>195</v>
      </c>
      <c r="G916" s="129" t="s">
        <v>305</v>
      </c>
      <c r="H916" s="129" t="s">
        <v>409</v>
      </c>
      <c r="I916" s="129" t="s">
        <v>244</v>
      </c>
      <c r="J916" s="129" t="s">
        <v>232</v>
      </c>
      <c r="K916" s="129" t="s">
        <v>426</v>
      </c>
      <c r="L916" s="128" t="s">
        <v>110</v>
      </c>
    </row>
    <row r="917">
      <c r="A917" s="272"/>
      <c r="B917" s="275" t="s">
        <v>21</v>
      </c>
      <c r="C917" s="275" t="s">
        <v>21</v>
      </c>
      <c r="D917" s="275" t="s">
        <v>21</v>
      </c>
      <c r="E917" s="274" t="s">
        <v>375</v>
      </c>
      <c r="F917" s="275" t="s">
        <v>21</v>
      </c>
      <c r="G917" s="275" t="s">
        <v>21</v>
      </c>
      <c r="H917" s="247" t="s">
        <v>466</v>
      </c>
      <c r="I917" s="271" t="s">
        <v>375</v>
      </c>
      <c r="J917" s="271" t="s">
        <v>375</v>
      </c>
      <c r="K917" s="270" t="s">
        <v>375</v>
      </c>
    </row>
    <row r="918">
      <c r="A918" s="272"/>
      <c r="B918" s="273"/>
      <c r="C918" s="273"/>
      <c r="D918" s="274"/>
      <c r="E918" s="274"/>
      <c r="F918" s="274"/>
      <c r="G918" s="247"/>
      <c r="H918" s="247"/>
      <c r="I918" s="247"/>
      <c r="J918" s="247"/>
      <c r="K918" s="272"/>
    </row>
    <row r="919">
      <c r="A919" s="195" t="s">
        <v>468</v>
      </c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7"/>
    </row>
    <row r="920">
      <c r="A920" s="284" t="s">
        <v>417</v>
      </c>
      <c r="B920" s="285"/>
      <c r="C920" s="286"/>
      <c r="D920" s="286"/>
      <c r="E920" s="287"/>
      <c r="F920" s="286"/>
      <c r="G920" s="286"/>
      <c r="H920" s="286"/>
      <c r="I920" s="286"/>
      <c r="J920" s="286"/>
      <c r="K920" s="288"/>
      <c r="L920" s="288"/>
    </row>
    <row r="921">
      <c r="A921" s="198" t="s">
        <v>40</v>
      </c>
      <c r="B921" s="301"/>
      <c r="C921" s="301"/>
      <c r="D921" s="221"/>
      <c r="E921" s="221"/>
      <c r="F921" s="199"/>
      <c r="G921" s="221"/>
      <c r="H921" s="301"/>
      <c r="I921" s="255"/>
      <c r="J921" s="221"/>
      <c r="K921" s="251"/>
      <c r="L921" s="251"/>
    </row>
    <row r="922">
      <c r="A922" s="200" t="s">
        <v>413</v>
      </c>
      <c r="B922" s="211"/>
      <c r="C922" s="222"/>
      <c r="D922" s="211"/>
      <c r="E922" s="221"/>
      <c r="F922" s="221"/>
      <c r="G922" s="221"/>
      <c r="H922" s="221"/>
      <c r="I922" s="221"/>
      <c r="J922" s="211"/>
      <c r="K922" s="252"/>
      <c r="L922" s="252"/>
      <c r="M922" s="72" t="s">
        <v>237</v>
      </c>
    </row>
    <row r="923">
      <c r="A923" s="200" t="s">
        <v>119</v>
      </c>
      <c r="B923" s="221"/>
      <c r="C923" s="221"/>
      <c r="D923" s="255"/>
      <c r="E923" s="256"/>
      <c r="F923" s="255"/>
      <c r="G923" s="255"/>
      <c r="H923" s="199"/>
      <c r="I923" s="255"/>
      <c r="J923" s="255"/>
      <c r="K923" s="255"/>
      <c r="L923" s="257"/>
    </row>
    <row r="924">
      <c r="A924" s="200" t="s">
        <v>251</v>
      </c>
      <c r="B924" s="221"/>
      <c r="C924" s="221">
        <v>225000.0</v>
      </c>
      <c r="D924" s="255">
        <v>250000.0</v>
      </c>
      <c r="E924" s="255"/>
      <c r="F924" s="255"/>
      <c r="G924" s="255">
        <v>110000.0</v>
      </c>
      <c r="H924" s="221"/>
      <c r="I924" s="255">
        <v>100000.0</v>
      </c>
      <c r="J924" s="255"/>
      <c r="K924" s="255"/>
      <c r="L924" s="257"/>
    </row>
    <row r="925">
      <c r="A925" s="200" t="s">
        <v>453</v>
      </c>
      <c r="B925" s="255"/>
      <c r="C925" s="255"/>
      <c r="D925" s="255"/>
      <c r="E925" s="255"/>
      <c r="F925" s="255"/>
      <c r="G925" s="255"/>
      <c r="H925" s="255"/>
      <c r="I925" s="255"/>
      <c r="J925" s="255"/>
      <c r="K925" s="255"/>
      <c r="L925" s="257"/>
    </row>
    <row r="926">
      <c r="A926" s="205" t="s">
        <v>118</v>
      </c>
      <c r="B926" s="226" t="str">
        <f>B924</f>
        <v/>
      </c>
      <c r="C926" s="226">
        <f>225000+C924</f>
        <v>450000</v>
      </c>
      <c r="D926" s="226">
        <v>200000.0</v>
      </c>
      <c r="E926" s="226">
        <f>E888</f>
        <v>110000</v>
      </c>
      <c r="F926" s="226"/>
      <c r="G926" s="226">
        <f>110000+G924</f>
        <v>220000</v>
      </c>
      <c r="H926" s="226">
        <f>70000-H925</f>
        <v>70000</v>
      </c>
      <c r="I926" s="226">
        <f>100000+I924</f>
        <v>200000</v>
      </c>
      <c r="J926" s="226">
        <v>100000.0</v>
      </c>
      <c r="K926" s="226">
        <v>130000.0</v>
      </c>
      <c r="L926" s="206">
        <f>SUM(B926:K926)</f>
        <v>1480000</v>
      </c>
    </row>
    <row r="927">
      <c r="A927" s="126" t="s">
        <v>0</v>
      </c>
      <c r="B927" s="127" t="s">
        <v>90</v>
      </c>
      <c r="C927" s="127" t="s">
        <v>3</v>
      </c>
      <c r="D927" s="183" t="s">
        <v>109</v>
      </c>
      <c r="E927" s="183" t="s">
        <v>155</v>
      </c>
      <c r="F927" s="183" t="s">
        <v>195</v>
      </c>
      <c r="G927" s="129" t="s">
        <v>305</v>
      </c>
      <c r="H927" s="129" t="s">
        <v>409</v>
      </c>
      <c r="I927" s="129" t="s">
        <v>244</v>
      </c>
      <c r="J927" s="129" t="s">
        <v>232</v>
      </c>
      <c r="K927" s="129" t="s">
        <v>426</v>
      </c>
      <c r="L927" s="128" t="s">
        <v>110</v>
      </c>
    </row>
    <row r="928">
      <c r="A928" s="272"/>
      <c r="B928" s="273"/>
      <c r="C928" s="275" t="s">
        <v>469</v>
      </c>
      <c r="D928" s="275" t="s">
        <v>21</v>
      </c>
      <c r="E928" s="274" t="s">
        <v>375</v>
      </c>
      <c r="F928" s="274"/>
      <c r="G928" s="275" t="s">
        <v>21</v>
      </c>
      <c r="H928" s="247" t="s">
        <v>375</v>
      </c>
      <c r="I928" s="247" t="s">
        <v>458</v>
      </c>
      <c r="J928" s="247" t="s">
        <v>375</v>
      </c>
      <c r="K928" s="283" t="s">
        <v>21</v>
      </c>
    </row>
    <row r="929">
      <c r="A929" s="272"/>
      <c r="B929" s="273"/>
      <c r="C929" s="273"/>
      <c r="D929" s="275" t="s">
        <v>470</v>
      </c>
      <c r="E929" s="274"/>
      <c r="F929" s="274"/>
      <c r="G929" s="247"/>
      <c r="H929" s="247"/>
      <c r="I929" s="247"/>
      <c r="J929" s="247"/>
      <c r="K929" s="272"/>
    </row>
    <row r="930">
      <c r="A930" s="272"/>
      <c r="B930" s="273"/>
      <c r="C930" s="273"/>
      <c r="D930" s="274"/>
      <c r="E930" s="274"/>
      <c r="F930" s="274"/>
      <c r="G930" s="247"/>
      <c r="H930" s="247"/>
      <c r="I930" s="247"/>
      <c r="J930" s="247"/>
      <c r="K930" s="272"/>
    </row>
    <row r="931">
      <c r="A931" s="272"/>
      <c r="B931" s="273"/>
      <c r="C931" s="273"/>
      <c r="D931" s="274"/>
      <c r="E931" s="274"/>
      <c r="F931" s="274"/>
      <c r="G931" s="247"/>
      <c r="H931" s="247"/>
      <c r="I931" s="247"/>
      <c r="J931" s="247"/>
      <c r="K931" s="272"/>
    </row>
    <row r="932">
      <c r="A932" s="195" t="s">
        <v>471</v>
      </c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7"/>
    </row>
    <row r="933">
      <c r="A933" s="284" t="s">
        <v>417</v>
      </c>
      <c r="B933" s="285"/>
      <c r="C933" s="286"/>
      <c r="D933" s="286"/>
      <c r="E933" s="287"/>
      <c r="F933" s="286"/>
      <c r="G933" s="286"/>
      <c r="H933" s="286"/>
      <c r="I933" s="286"/>
      <c r="J933" s="286"/>
      <c r="K933" s="288"/>
      <c r="L933" s="288"/>
    </row>
    <row r="934">
      <c r="A934" s="198" t="s">
        <v>40</v>
      </c>
      <c r="B934" s="301"/>
      <c r="C934" s="301"/>
      <c r="D934" s="221"/>
      <c r="E934" s="221"/>
      <c r="F934" s="199"/>
      <c r="G934" s="221"/>
      <c r="H934" s="301"/>
      <c r="I934" s="255"/>
      <c r="J934" s="221"/>
      <c r="K934" s="251"/>
      <c r="L934" s="251"/>
    </row>
    <row r="935">
      <c r="A935" s="200" t="s">
        <v>413</v>
      </c>
      <c r="B935" s="211"/>
      <c r="C935" s="222"/>
      <c r="D935" s="211"/>
      <c r="E935" s="221"/>
      <c r="F935" s="221"/>
      <c r="G935" s="221"/>
      <c r="H935" s="221"/>
      <c r="I935" s="221"/>
      <c r="J935" s="211"/>
      <c r="K935" s="252"/>
      <c r="L935" s="252"/>
      <c r="M935" s="72" t="s">
        <v>237</v>
      </c>
    </row>
    <row r="936">
      <c r="A936" s="200" t="s">
        <v>119</v>
      </c>
      <c r="B936" s="221"/>
      <c r="C936" s="221"/>
      <c r="D936" s="255"/>
      <c r="E936" s="256"/>
      <c r="F936" s="255"/>
      <c r="G936" s="255"/>
      <c r="H936" s="199"/>
      <c r="I936" s="255"/>
      <c r="J936" s="255"/>
      <c r="K936" s="255"/>
      <c r="L936" s="257"/>
    </row>
    <row r="937">
      <c r="A937" s="200" t="s">
        <v>251</v>
      </c>
      <c r="B937" s="221"/>
      <c r="C937" s="221"/>
      <c r="D937" s="255"/>
      <c r="E937" s="255">
        <v>110000.0</v>
      </c>
      <c r="F937" s="255">
        <v>225000.0</v>
      </c>
      <c r="G937" s="255"/>
      <c r="H937" s="221">
        <v>70000.0</v>
      </c>
      <c r="I937" s="255"/>
      <c r="J937" s="255"/>
      <c r="K937" s="255">
        <v>130000.0</v>
      </c>
      <c r="L937" s="257"/>
    </row>
    <row r="938">
      <c r="A938" s="200" t="s">
        <v>453</v>
      </c>
      <c r="B938" s="255"/>
      <c r="C938" s="255"/>
      <c r="D938" s="255"/>
      <c r="E938" s="255"/>
      <c r="F938" s="255"/>
      <c r="G938" s="255"/>
      <c r="H938" s="255"/>
      <c r="I938" s="255"/>
      <c r="J938" s="255"/>
      <c r="K938" s="255"/>
      <c r="L938" s="257"/>
    </row>
    <row r="939">
      <c r="A939" s="205" t="s">
        <v>118</v>
      </c>
      <c r="B939" s="226" t="str">
        <f>B937</f>
        <v/>
      </c>
      <c r="C939" s="226">
        <f>225000+C937</f>
        <v>225000</v>
      </c>
      <c r="D939" s="226">
        <v>200000.0</v>
      </c>
      <c r="E939" s="226">
        <f>E891+E937</f>
        <v>220000</v>
      </c>
      <c r="F939" s="226">
        <f>F890+F937</f>
        <v>450000</v>
      </c>
      <c r="G939" s="226">
        <f>110000+G937</f>
        <v>110000</v>
      </c>
      <c r="H939" s="226">
        <f>70000+H937</f>
        <v>140000</v>
      </c>
      <c r="I939" s="226">
        <f>100000+I937</f>
        <v>100000</v>
      </c>
      <c r="J939" s="226">
        <f>100000</f>
        <v>100000</v>
      </c>
      <c r="K939" s="226">
        <f>130000+K937</f>
        <v>260000</v>
      </c>
      <c r="L939" s="206">
        <f>SUM(B939:K939)</f>
        <v>1805000</v>
      </c>
    </row>
    <row r="940">
      <c r="A940" s="126" t="s">
        <v>0</v>
      </c>
      <c r="B940" s="127" t="s">
        <v>90</v>
      </c>
      <c r="C940" s="127" t="s">
        <v>3</v>
      </c>
      <c r="D940" s="183" t="s">
        <v>109</v>
      </c>
      <c r="E940" s="183" t="s">
        <v>155</v>
      </c>
      <c r="F940" s="183" t="s">
        <v>195</v>
      </c>
      <c r="G940" s="129" t="s">
        <v>305</v>
      </c>
      <c r="H940" s="129" t="s">
        <v>409</v>
      </c>
      <c r="I940" s="129" t="s">
        <v>244</v>
      </c>
      <c r="J940" s="129" t="s">
        <v>232</v>
      </c>
      <c r="K940" s="129" t="s">
        <v>426</v>
      </c>
      <c r="L940" s="128" t="s">
        <v>110</v>
      </c>
    </row>
    <row r="941">
      <c r="A941" s="272"/>
      <c r="B941" s="274"/>
      <c r="C941" s="275" t="s">
        <v>375</v>
      </c>
      <c r="D941" s="72" t="s">
        <v>458</v>
      </c>
      <c r="E941" s="274" t="s">
        <v>375</v>
      </c>
      <c r="F941" s="278" t="s">
        <v>21</v>
      </c>
      <c r="G941" s="275" t="s">
        <v>375</v>
      </c>
      <c r="H941" s="283" t="s">
        <v>470</v>
      </c>
      <c r="I941" s="247" t="s">
        <v>375</v>
      </c>
      <c r="J941" s="283"/>
      <c r="K941" s="283" t="s">
        <v>470</v>
      </c>
    </row>
    <row r="942">
      <c r="A942" s="272"/>
      <c r="B942" s="273"/>
      <c r="C942" s="273"/>
      <c r="D942" s="274"/>
      <c r="E942" s="274"/>
      <c r="F942" s="274"/>
      <c r="G942" s="247"/>
      <c r="H942" s="247"/>
      <c r="I942" s="247"/>
      <c r="J942" s="247"/>
      <c r="K942" s="272"/>
    </row>
    <row r="943">
      <c r="A943" s="195" t="s">
        <v>472</v>
      </c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7"/>
    </row>
    <row r="944">
      <c r="A944" s="284" t="s">
        <v>417</v>
      </c>
      <c r="B944" s="285"/>
      <c r="C944" s="286"/>
      <c r="D944" s="286"/>
      <c r="E944" s="287"/>
      <c r="F944" s="286"/>
      <c r="G944" s="286"/>
      <c r="H944" s="286"/>
      <c r="I944" s="286"/>
      <c r="J944" s="286"/>
      <c r="K944" s="288"/>
      <c r="L944" s="288"/>
    </row>
    <row r="945">
      <c r="A945" s="198" t="s">
        <v>40</v>
      </c>
      <c r="B945" s="301"/>
      <c r="C945" s="301"/>
      <c r="D945" s="221"/>
      <c r="E945" s="221"/>
      <c r="F945" s="199"/>
      <c r="G945" s="221"/>
      <c r="H945" s="301"/>
      <c r="I945" s="255"/>
      <c r="J945" s="221"/>
      <c r="K945" s="251"/>
      <c r="L945" s="251"/>
    </row>
    <row r="946">
      <c r="A946" s="200" t="s">
        <v>413</v>
      </c>
      <c r="B946" s="211"/>
      <c r="C946" s="222"/>
      <c r="D946" s="211"/>
      <c r="E946" s="221"/>
      <c r="F946" s="221"/>
      <c r="G946" s="221"/>
      <c r="H946" s="221"/>
      <c r="I946" s="221"/>
      <c r="J946" s="211"/>
      <c r="K946" s="252"/>
      <c r="L946" s="252"/>
      <c r="M946" s="72" t="s">
        <v>237</v>
      </c>
    </row>
    <row r="947">
      <c r="A947" s="200" t="s">
        <v>119</v>
      </c>
      <c r="B947" s="221">
        <v>260000.0</v>
      </c>
      <c r="C947" s="221"/>
      <c r="D947" s="255"/>
      <c r="E947" s="256"/>
      <c r="F947" s="255"/>
      <c r="G947" s="255">
        <v>110000.0</v>
      </c>
      <c r="H947" s="199"/>
      <c r="I947" s="255"/>
      <c r="J947" s="255"/>
      <c r="K947" s="255"/>
      <c r="L947" s="257"/>
    </row>
    <row r="948">
      <c r="A948" s="200" t="s">
        <v>255</v>
      </c>
      <c r="B948" s="221"/>
      <c r="C948" s="221">
        <v>225000.0</v>
      </c>
      <c r="D948" s="255"/>
      <c r="E948" s="255">
        <v>110000.0</v>
      </c>
      <c r="F948" s="255"/>
      <c r="G948" s="255"/>
      <c r="H948" s="221"/>
      <c r="I948" s="255">
        <v>100000.0</v>
      </c>
      <c r="J948" s="255"/>
      <c r="K948" s="255"/>
      <c r="L948" s="257"/>
    </row>
    <row r="949">
      <c r="A949" s="200" t="s">
        <v>453</v>
      </c>
      <c r="B949" s="255"/>
      <c r="C949" s="255"/>
      <c r="D949" s="255"/>
      <c r="E949" s="255"/>
      <c r="F949" s="255"/>
      <c r="G949" s="255"/>
      <c r="H949" s="255">
        <v>1680.0</v>
      </c>
      <c r="I949" s="255"/>
      <c r="J949" s="255"/>
      <c r="K949" s="255">
        <v>9800.0</v>
      </c>
      <c r="L949" s="257"/>
    </row>
    <row r="950">
      <c r="A950" s="205" t="s">
        <v>118</v>
      </c>
      <c r="B950" s="226" t="str">
        <f>B948</f>
        <v/>
      </c>
      <c r="C950" s="226">
        <f>225000+C948</f>
        <v>450000</v>
      </c>
      <c r="D950" s="226">
        <v>200000.0</v>
      </c>
      <c r="E950" s="226">
        <f>110000+E948</f>
        <v>220000</v>
      </c>
      <c r="F950" s="226">
        <v>225000.0</v>
      </c>
      <c r="G950" s="226">
        <f>G947</f>
        <v>110000</v>
      </c>
      <c r="H950" s="226">
        <f>70000+H948-H949</f>
        <v>68320</v>
      </c>
      <c r="I950" s="226">
        <f>100000+I948</f>
        <v>200000</v>
      </c>
      <c r="J950" s="226">
        <f>100000</f>
        <v>100000</v>
      </c>
      <c r="K950" s="226">
        <f>130000+K948-K949</f>
        <v>120200</v>
      </c>
      <c r="L950" s="206">
        <f>SUM(B950:K950)</f>
        <v>1693520</v>
      </c>
    </row>
    <row r="951">
      <c r="A951" s="126" t="s">
        <v>0</v>
      </c>
      <c r="B951" s="127" t="s">
        <v>90</v>
      </c>
      <c r="C951" s="127" t="s">
        <v>3</v>
      </c>
      <c r="D951" s="183" t="s">
        <v>109</v>
      </c>
      <c r="E951" s="183" t="s">
        <v>155</v>
      </c>
      <c r="F951" s="183" t="s">
        <v>195</v>
      </c>
      <c r="G951" s="129" t="s">
        <v>305</v>
      </c>
      <c r="H951" s="129" t="s">
        <v>409</v>
      </c>
      <c r="I951" s="129" t="s">
        <v>244</v>
      </c>
      <c r="J951" s="129" t="s">
        <v>232</v>
      </c>
      <c r="K951" s="129" t="s">
        <v>426</v>
      </c>
      <c r="L951" s="128" t="s">
        <v>110</v>
      </c>
    </row>
    <row r="952">
      <c r="A952" s="272"/>
      <c r="B952" s="270" t="s">
        <v>473</v>
      </c>
      <c r="C952" s="274" t="s">
        <v>375</v>
      </c>
      <c r="D952" s="270" t="s">
        <v>21</v>
      </c>
      <c r="E952" s="274" t="s">
        <v>375</v>
      </c>
      <c r="F952" s="270" t="s">
        <v>21</v>
      </c>
      <c r="G952" s="270" t="s">
        <v>21</v>
      </c>
      <c r="H952" s="247" t="s">
        <v>375</v>
      </c>
      <c r="I952" s="247" t="s">
        <v>375</v>
      </c>
      <c r="J952" s="247" t="s">
        <v>375</v>
      </c>
      <c r="K952" s="247" t="s">
        <v>375</v>
      </c>
    </row>
    <row r="953">
      <c r="A953" s="272"/>
      <c r="B953" s="273"/>
      <c r="C953" s="273"/>
      <c r="D953" s="274"/>
      <c r="E953" s="274"/>
      <c r="F953" s="274"/>
      <c r="G953" s="247"/>
      <c r="H953" s="247"/>
      <c r="I953" s="247"/>
      <c r="J953" s="247"/>
      <c r="K953" s="272"/>
    </row>
    <row r="954">
      <c r="A954" s="195" t="s">
        <v>474</v>
      </c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7"/>
    </row>
    <row r="955">
      <c r="A955" s="284" t="s">
        <v>417</v>
      </c>
      <c r="B955" s="285"/>
      <c r="C955" s="286"/>
      <c r="D955" s="286"/>
      <c r="E955" s="287"/>
      <c r="F955" s="286"/>
      <c r="G955" s="286"/>
      <c r="H955" s="286"/>
      <c r="I955" s="286"/>
      <c r="J955" s="286"/>
      <c r="K955" s="288"/>
      <c r="L955" s="288"/>
    </row>
    <row r="956">
      <c r="A956" s="198" t="s">
        <v>40</v>
      </c>
      <c r="B956" s="301"/>
      <c r="C956" s="301"/>
      <c r="D956" s="221"/>
      <c r="E956" s="221"/>
      <c r="F956" s="199"/>
      <c r="G956" s="221"/>
      <c r="H956" s="301"/>
      <c r="I956" s="255"/>
      <c r="J956" s="221"/>
      <c r="K956" s="251"/>
      <c r="L956" s="251"/>
    </row>
    <row r="957">
      <c r="A957" s="200" t="s">
        <v>413</v>
      </c>
      <c r="B957" s="211"/>
      <c r="C957" s="222"/>
      <c r="D957" s="211"/>
      <c r="E957" s="221"/>
      <c r="F957" s="221"/>
      <c r="G957" s="221"/>
      <c r="H957" s="221"/>
      <c r="I957" s="221"/>
      <c r="J957" s="211"/>
      <c r="K957" s="252"/>
      <c r="L957" s="252"/>
      <c r="M957" s="72" t="s">
        <v>237</v>
      </c>
    </row>
    <row r="958">
      <c r="A958" s="200" t="s">
        <v>119</v>
      </c>
      <c r="B958" s="221"/>
      <c r="C958" s="221"/>
      <c r="D958" s="255"/>
      <c r="E958" s="256">
        <v>220000.0</v>
      </c>
      <c r="F958" s="255"/>
      <c r="G958" s="255"/>
      <c r="H958" s="199"/>
      <c r="I958" s="255"/>
      <c r="J958" s="255"/>
      <c r="K958" s="255"/>
      <c r="L958" s="257"/>
    </row>
    <row r="959">
      <c r="A959" s="200" t="s">
        <v>255</v>
      </c>
      <c r="B959" s="221"/>
      <c r="C959" s="221"/>
      <c r="D959" s="255"/>
      <c r="E959" s="255"/>
      <c r="F959" s="255"/>
      <c r="G959" s="255"/>
      <c r="H959" s="221"/>
      <c r="I959" s="255"/>
      <c r="J959" s="255"/>
      <c r="K959" s="255"/>
      <c r="L959" s="257"/>
    </row>
    <row r="960">
      <c r="A960" s="200" t="s">
        <v>453</v>
      </c>
      <c r="B960" s="255"/>
      <c r="C960" s="255"/>
      <c r="D960" s="255"/>
      <c r="E960" s="255"/>
      <c r="F960" s="255"/>
      <c r="G960" s="255"/>
      <c r="H960" s="255"/>
      <c r="I960" s="255"/>
      <c r="J960" s="255"/>
      <c r="K960" s="255"/>
      <c r="L960" s="257"/>
    </row>
    <row r="961">
      <c r="A961" s="205" t="s">
        <v>118</v>
      </c>
      <c r="B961" s="258">
        <f>3*B963</f>
        <v>112500</v>
      </c>
      <c r="C961" s="226">
        <f>225000+C959</f>
        <v>225000</v>
      </c>
      <c r="D961" s="226">
        <v>200000.0</v>
      </c>
      <c r="E961" s="226">
        <f>110000+220000</f>
        <v>330000</v>
      </c>
      <c r="F961" s="226">
        <v>225000.0</v>
      </c>
      <c r="G961" s="226">
        <v>110000.0</v>
      </c>
      <c r="H961" s="226">
        <f>70000+H959-H960</f>
        <v>70000</v>
      </c>
      <c r="I961" s="226">
        <f>100000+I959</f>
        <v>100000</v>
      </c>
      <c r="J961" s="226">
        <f>100000</f>
        <v>100000</v>
      </c>
      <c r="K961" s="226">
        <f>130000+K959-K960</f>
        <v>130000</v>
      </c>
      <c r="L961" s="219">
        <f>SUM(B961:K961)</f>
        <v>1602500</v>
      </c>
    </row>
    <row r="962">
      <c r="A962" s="126" t="s">
        <v>0</v>
      </c>
      <c r="B962" s="127" t="s">
        <v>90</v>
      </c>
      <c r="C962" s="127" t="s">
        <v>3</v>
      </c>
      <c r="D962" s="183" t="s">
        <v>109</v>
      </c>
      <c r="E962" s="183" t="s">
        <v>155</v>
      </c>
      <c r="F962" s="183" t="s">
        <v>195</v>
      </c>
      <c r="G962" s="129" t="s">
        <v>305</v>
      </c>
      <c r="H962" s="129" t="s">
        <v>409</v>
      </c>
      <c r="I962" s="129" t="s">
        <v>244</v>
      </c>
      <c r="J962" s="129" t="s">
        <v>232</v>
      </c>
      <c r="K962" s="129" t="s">
        <v>426</v>
      </c>
      <c r="L962" s="128" t="s">
        <v>110</v>
      </c>
    </row>
    <row r="963">
      <c r="A963" s="272"/>
      <c r="B963" s="270">
        <f>225000/6</f>
        <v>37500</v>
      </c>
      <c r="C963" s="270" t="s">
        <v>326</v>
      </c>
      <c r="D963" s="270" t="s">
        <v>326</v>
      </c>
      <c r="E963" s="270" t="s">
        <v>326</v>
      </c>
      <c r="F963" s="270" t="s">
        <v>326</v>
      </c>
      <c r="G963" s="270" t="s">
        <v>326</v>
      </c>
      <c r="H963" s="247" t="s">
        <v>375</v>
      </c>
      <c r="I963" s="247" t="s">
        <v>375</v>
      </c>
      <c r="J963" s="247" t="s">
        <v>375</v>
      </c>
      <c r="K963" s="247" t="s">
        <v>375</v>
      </c>
    </row>
    <row r="964">
      <c r="A964" s="272"/>
      <c r="B964" s="274" t="s">
        <v>375</v>
      </c>
      <c r="C964" s="273"/>
      <c r="D964" s="274"/>
      <c r="E964" s="274"/>
      <c r="F964" s="274"/>
      <c r="G964" s="247"/>
      <c r="H964" s="247"/>
      <c r="I964" s="247"/>
      <c r="J964" s="247"/>
      <c r="K964" s="272"/>
    </row>
    <row r="965">
      <c r="A965" s="272"/>
      <c r="B965" s="273"/>
      <c r="C965" s="273"/>
      <c r="D965" s="274"/>
      <c r="E965" s="274"/>
      <c r="F965" s="274"/>
      <c r="G965" s="247"/>
      <c r="H965" s="247"/>
      <c r="I965" s="247"/>
      <c r="J965" s="247"/>
      <c r="K965" s="272"/>
    </row>
    <row r="966">
      <c r="A966" s="272"/>
      <c r="B966" s="273"/>
      <c r="C966" s="273"/>
      <c r="D966" s="274"/>
      <c r="E966" s="274"/>
      <c r="F966" s="274"/>
      <c r="G966" s="247"/>
      <c r="H966" s="247"/>
      <c r="I966" s="247"/>
      <c r="J966" s="247"/>
      <c r="K966" s="272"/>
    </row>
    <row r="967">
      <c r="A967" s="272"/>
      <c r="B967" s="273"/>
      <c r="C967" s="273"/>
      <c r="D967" s="274"/>
      <c r="E967" s="274"/>
      <c r="F967" s="274"/>
      <c r="G967" s="247"/>
      <c r="H967" s="247"/>
      <c r="I967" s="247"/>
      <c r="J967" s="247"/>
      <c r="K967" s="272"/>
    </row>
    <row r="968">
      <c r="A968" s="272"/>
      <c r="B968" s="273"/>
      <c r="C968" s="273"/>
      <c r="D968" s="274"/>
      <c r="E968" s="274"/>
      <c r="F968" s="274"/>
      <c r="G968" s="247"/>
      <c r="H968" s="247"/>
      <c r="I968" s="247"/>
      <c r="J968" s="247"/>
      <c r="K968" s="272"/>
    </row>
    <row r="969">
      <c r="A969" s="272"/>
      <c r="B969" s="273"/>
      <c r="C969" s="273"/>
      <c r="D969" s="274"/>
      <c r="E969" s="274"/>
      <c r="F969" s="274"/>
      <c r="G969" s="247"/>
      <c r="H969" s="247"/>
      <c r="I969" s="247"/>
      <c r="J969" s="247"/>
      <c r="K969" s="272"/>
    </row>
    <row r="970">
      <c r="A970" s="272"/>
      <c r="B970" s="273"/>
      <c r="C970" s="273"/>
      <c r="D970" s="274"/>
      <c r="E970" s="274"/>
      <c r="F970" s="274"/>
      <c r="G970" s="247"/>
      <c r="H970" s="247"/>
      <c r="I970" s="247"/>
      <c r="J970" s="247"/>
      <c r="K970" s="272"/>
    </row>
    <row r="971">
      <c r="A971" s="272"/>
      <c r="B971" s="273"/>
      <c r="C971" s="273"/>
      <c r="D971" s="274"/>
      <c r="E971" s="274"/>
      <c r="F971" s="274"/>
      <c r="G971" s="247"/>
      <c r="H971" s="247"/>
      <c r="I971" s="247"/>
      <c r="J971" s="247"/>
      <c r="K971" s="272"/>
    </row>
    <row r="972">
      <c r="A972" s="272"/>
      <c r="B972" s="273"/>
      <c r="C972" s="273"/>
      <c r="D972" s="274"/>
      <c r="E972" s="274"/>
      <c r="F972" s="274"/>
      <c r="G972" s="247"/>
      <c r="H972" s="247"/>
      <c r="I972" s="247"/>
      <c r="J972" s="247"/>
      <c r="K972" s="272"/>
    </row>
    <row r="973">
      <c r="A973" s="272"/>
      <c r="B973" s="273"/>
      <c r="C973" s="273"/>
      <c r="D973" s="274"/>
      <c r="E973" s="274"/>
      <c r="F973" s="274"/>
      <c r="G973" s="247"/>
      <c r="H973" s="247"/>
      <c r="I973" s="247"/>
      <c r="J973" s="247"/>
      <c r="K973" s="272"/>
    </row>
    <row r="974">
      <c r="A974" s="272"/>
      <c r="B974" s="273"/>
      <c r="C974" s="273"/>
      <c r="D974" s="274"/>
      <c r="E974" s="274"/>
      <c r="F974" s="274"/>
      <c r="G974" s="247"/>
      <c r="H974" s="247"/>
      <c r="I974" s="247"/>
      <c r="J974" s="247"/>
      <c r="K974" s="272"/>
    </row>
    <row r="975">
      <c r="A975" s="272"/>
      <c r="B975" s="273"/>
      <c r="C975" s="273"/>
      <c r="D975" s="274"/>
      <c r="E975" s="274"/>
      <c r="F975" s="274"/>
      <c r="G975" s="247"/>
      <c r="H975" s="247"/>
      <c r="I975" s="247"/>
      <c r="J975" s="247"/>
      <c r="K975" s="272"/>
    </row>
    <row r="976">
      <c r="A976" s="272"/>
      <c r="B976" s="273"/>
      <c r="C976" s="273"/>
      <c r="D976" s="274"/>
      <c r="E976" s="274"/>
      <c r="F976" s="274"/>
      <c r="G976" s="247"/>
      <c r="H976" s="247"/>
      <c r="I976" s="247"/>
      <c r="J976" s="247"/>
      <c r="K976" s="272"/>
    </row>
    <row r="977">
      <c r="A977" s="272"/>
      <c r="B977" s="273"/>
      <c r="C977" s="273"/>
      <c r="D977" s="274"/>
      <c r="E977" s="274"/>
      <c r="F977" s="274"/>
      <c r="G977" s="247"/>
      <c r="H977" s="247"/>
      <c r="I977" s="247"/>
      <c r="J977" s="247"/>
      <c r="K977" s="272"/>
    </row>
    <row r="978">
      <c r="A978" s="272"/>
      <c r="B978" s="273"/>
      <c r="C978" s="273"/>
      <c r="D978" s="274"/>
      <c r="E978" s="274"/>
      <c r="F978" s="274"/>
      <c r="G978" s="247"/>
      <c r="H978" s="247"/>
      <c r="I978" s="247"/>
      <c r="J978" s="247"/>
      <c r="K978" s="272"/>
    </row>
    <row r="979">
      <c r="A979" s="272"/>
      <c r="B979" s="273"/>
      <c r="C979" s="273"/>
      <c r="D979" s="274"/>
      <c r="E979" s="274"/>
      <c r="F979" s="274"/>
      <c r="G979" s="247"/>
      <c r="H979" s="247"/>
      <c r="I979" s="247"/>
      <c r="J979" s="247"/>
      <c r="K979" s="272"/>
    </row>
    <row r="980">
      <c r="A980" s="272"/>
      <c r="B980" s="273"/>
      <c r="C980" s="273"/>
      <c r="D980" s="274"/>
      <c r="E980" s="274"/>
      <c r="F980" s="274"/>
      <c r="G980" s="247"/>
      <c r="H980" s="247"/>
      <c r="I980" s="247"/>
      <c r="J980" s="247"/>
      <c r="K980" s="272"/>
    </row>
    <row r="981">
      <c r="A981" s="272"/>
      <c r="B981" s="273"/>
      <c r="C981" s="273"/>
      <c r="D981" s="274"/>
      <c r="E981" s="274"/>
      <c r="F981" s="274"/>
      <c r="G981" s="247"/>
      <c r="H981" s="247"/>
      <c r="I981" s="247"/>
      <c r="J981" s="247"/>
      <c r="K981" s="272"/>
    </row>
    <row r="982">
      <c r="A982" s="272"/>
      <c r="B982" s="273"/>
      <c r="C982" s="273"/>
      <c r="D982" s="274"/>
      <c r="E982" s="274"/>
      <c r="F982" s="274"/>
      <c r="G982" s="247"/>
      <c r="H982" s="247"/>
      <c r="I982" s="247"/>
      <c r="J982" s="247"/>
      <c r="K982" s="272"/>
    </row>
    <row r="983">
      <c r="A983" s="272"/>
      <c r="B983" s="273"/>
      <c r="C983" s="273"/>
      <c r="D983" s="274"/>
      <c r="E983" s="274"/>
      <c r="F983" s="274"/>
      <c r="G983" s="247"/>
      <c r="H983" s="247"/>
      <c r="I983" s="247"/>
      <c r="J983" s="247"/>
      <c r="K983" s="272"/>
    </row>
    <row r="984">
      <c r="A984" s="272"/>
      <c r="B984" s="273"/>
      <c r="C984" s="273"/>
      <c r="D984" s="274"/>
      <c r="E984" s="274"/>
      <c r="F984" s="274"/>
      <c r="G984" s="247"/>
      <c r="H984" s="247"/>
      <c r="I984" s="247"/>
      <c r="J984" s="247"/>
      <c r="K984" s="272"/>
    </row>
    <row r="985">
      <c r="A985" s="272"/>
      <c r="B985" s="273"/>
      <c r="C985" s="273"/>
      <c r="D985" s="274"/>
      <c r="E985" s="274"/>
      <c r="F985" s="274"/>
      <c r="G985" s="247"/>
      <c r="H985" s="247"/>
      <c r="I985" s="247"/>
      <c r="J985" s="247"/>
      <c r="K985" s="272"/>
    </row>
    <row r="986">
      <c r="A986" s="272"/>
      <c r="B986" s="273"/>
      <c r="C986" s="273"/>
      <c r="D986" s="274"/>
      <c r="E986" s="274"/>
      <c r="F986" s="274"/>
      <c r="G986" s="247"/>
      <c r="H986" s="247"/>
      <c r="I986" s="247"/>
      <c r="J986" s="247"/>
      <c r="K986" s="272"/>
    </row>
    <row r="987">
      <c r="A987" s="272"/>
      <c r="B987" s="273"/>
      <c r="C987" s="273"/>
      <c r="D987" s="274"/>
      <c r="E987" s="274"/>
      <c r="F987" s="274"/>
      <c r="G987" s="247"/>
      <c r="H987" s="247"/>
      <c r="I987" s="247"/>
      <c r="J987" s="247"/>
      <c r="K987" s="272"/>
    </row>
    <row r="988">
      <c r="A988" s="272"/>
      <c r="B988" s="273"/>
      <c r="C988" s="273"/>
      <c r="D988" s="274"/>
      <c r="E988" s="274"/>
      <c r="F988" s="274"/>
      <c r="G988" s="247"/>
      <c r="H988" s="247"/>
      <c r="I988" s="247"/>
      <c r="J988" s="247"/>
      <c r="K988" s="272"/>
    </row>
    <row r="989">
      <c r="A989" s="272"/>
      <c r="B989" s="273"/>
      <c r="C989" s="273"/>
      <c r="D989" s="274"/>
      <c r="E989" s="274"/>
      <c r="F989" s="274"/>
      <c r="G989" s="247"/>
      <c r="H989" s="247"/>
      <c r="I989" s="247"/>
      <c r="J989" s="247"/>
      <c r="K989" s="272"/>
    </row>
    <row r="990">
      <c r="A990" s="272"/>
      <c r="B990" s="273"/>
      <c r="C990" s="273"/>
      <c r="D990" s="274"/>
      <c r="E990" s="274"/>
      <c r="F990" s="274"/>
      <c r="G990" s="247"/>
      <c r="H990" s="247"/>
      <c r="I990" s="247"/>
      <c r="J990" s="247"/>
      <c r="K990" s="272"/>
    </row>
    <row r="991">
      <c r="A991" s="272"/>
      <c r="B991" s="273"/>
      <c r="C991" s="273"/>
      <c r="D991" s="274"/>
      <c r="E991" s="274"/>
      <c r="F991" s="274"/>
      <c r="G991" s="247"/>
      <c r="H991" s="247"/>
      <c r="I991" s="247"/>
      <c r="J991" s="247"/>
      <c r="K991" s="272"/>
    </row>
    <row r="992">
      <c r="A992" s="272"/>
      <c r="B992" s="273"/>
      <c r="C992" s="273"/>
      <c r="D992" s="274"/>
      <c r="E992" s="274"/>
      <c r="F992" s="274"/>
      <c r="G992" s="247"/>
      <c r="H992" s="247"/>
      <c r="I992" s="247"/>
      <c r="J992" s="247"/>
      <c r="K992" s="272"/>
    </row>
    <row r="993">
      <c r="A993" s="272"/>
      <c r="B993" s="273"/>
      <c r="C993" s="273"/>
      <c r="D993" s="274"/>
      <c r="E993" s="274"/>
      <c r="F993" s="274"/>
      <c r="G993" s="247"/>
      <c r="H993" s="247"/>
      <c r="I993" s="247"/>
      <c r="J993" s="247"/>
      <c r="K993" s="272"/>
    </row>
    <row r="994">
      <c r="A994" s="272"/>
      <c r="B994" s="273"/>
      <c r="C994" s="273"/>
      <c r="D994" s="274"/>
      <c r="E994" s="274"/>
      <c r="F994" s="274"/>
      <c r="G994" s="247"/>
      <c r="H994" s="247"/>
      <c r="I994" s="247"/>
      <c r="J994" s="247"/>
      <c r="K994" s="272"/>
    </row>
    <row r="995">
      <c r="A995" s="272"/>
      <c r="B995" s="273"/>
      <c r="C995" s="273"/>
      <c r="D995" s="274"/>
      <c r="E995" s="274"/>
      <c r="F995" s="274"/>
      <c r="G995" s="247"/>
      <c r="H995" s="247"/>
      <c r="I995" s="247"/>
      <c r="J995" s="247"/>
      <c r="K995" s="272"/>
    </row>
    <row r="996">
      <c r="A996" s="272"/>
      <c r="B996" s="273"/>
      <c r="C996" s="273"/>
      <c r="D996" s="274"/>
      <c r="E996" s="274"/>
      <c r="F996" s="274"/>
      <c r="G996" s="247"/>
      <c r="H996" s="247"/>
      <c r="I996" s="247"/>
      <c r="J996" s="247"/>
      <c r="K996" s="272"/>
    </row>
    <row r="997">
      <c r="A997" s="272"/>
      <c r="B997" s="273"/>
      <c r="C997" s="273"/>
      <c r="D997" s="274"/>
      <c r="E997" s="274"/>
      <c r="F997" s="274"/>
      <c r="G997" s="247"/>
      <c r="H997" s="247"/>
      <c r="I997" s="247"/>
      <c r="J997" s="247"/>
      <c r="K997" s="272"/>
    </row>
    <row r="998">
      <c r="A998" s="272"/>
      <c r="B998" s="273"/>
      <c r="C998" s="273"/>
      <c r="D998" s="274"/>
      <c r="E998" s="274"/>
      <c r="F998" s="274"/>
      <c r="G998" s="247"/>
      <c r="H998" s="247"/>
      <c r="I998" s="247"/>
      <c r="J998" s="247"/>
      <c r="K998" s="272"/>
    </row>
    <row r="999">
      <c r="A999" s="272"/>
      <c r="B999" s="273"/>
      <c r="C999" s="273"/>
      <c r="D999" s="274"/>
      <c r="E999" s="274"/>
      <c r="F999" s="274"/>
      <c r="G999" s="247"/>
      <c r="H999" s="247"/>
      <c r="I999" s="247"/>
      <c r="J999" s="247"/>
      <c r="K999" s="272"/>
    </row>
    <row r="1000">
      <c r="A1000" s="272"/>
      <c r="B1000" s="273"/>
      <c r="C1000" s="273"/>
      <c r="D1000" s="274"/>
      <c r="E1000" s="274"/>
      <c r="F1000" s="274"/>
      <c r="G1000" s="247"/>
      <c r="H1000" s="247"/>
      <c r="I1000" s="247"/>
      <c r="J1000" s="247"/>
      <c r="K1000" s="272"/>
    </row>
    <row r="1001">
      <c r="A1001" s="272"/>
      <c r="B1001" s="273"/>
      <c r="C1001" s="273"/>
      <c r="D1001" s="274"/>
      <c r="E1001" s="274"/>
      <c r="F1001" s="274"/>
      <c r="G1001" s="247"/>
      <c r="H1001" s="247"/>
      <c r="I1001" s="247"/>
      <c r="J1001" s="247"/>
      <c r="K1001" s="272"/>
    </row>
    <row r="1002">
      <c r="A1002" s="272"/>
      <c r="B1002" s="273"/>
      <c r="C1002" s="273"/>
      <c r="D1002" s="274"/>
      <c r="E1002" s="274"/>
      <c r="F1002" s="274"/>
      <c r="G1002" s="247"/>
      <c r="H1002" s="247"/>
      <c r="I1002" s="247"/>
      <c r="J1002" s="247"/>
      <c r="K1002" s="272"/>
    </row>
    <row r="1003">
      <c r="A1003" s="272"/>
      <c r="B1003" s="273"/>
      <c r="C1003" s="273"/>
      <c r="D1003" s="274"/>
      <c r="E1003" s="274"/>
      <c r="F1003" s="274"/>
      <c r="G1003" s="247"/>
      <c r="H1003" s="247"/>
      <c r="I1003" s="247"/>
      <c r="J1003" s="247"/>
      <c r="K1003" s="272"/>
    </row>
    <row r="1004">
      <c r="A1004" s="272"/>
      <c r="B1004" s="273"/>
      <c r="C1004" s="273"/>
      <c r="D1004" s="274"/>
      <c r="E1004" s="274"/>
      <c r="F1004" s="274"/>
      <c r="G1004" s="247"/>
      <c r="H1004" s="247"/>
      <c r="I1004" s="247"/>
      <c r="J1004" s="247"/>
      <c r="K1004" s="272"/>
    </row>
    <row r="1005">
      <c r="A1005" s="272"/>
      <c r="B1005" s="273"/>
      <c r="C1005" s="273"/>
      <c r="D1005" s="274"/>
      <c r="E1005" s="274"/>
      <c r="F1005" s="274"/>
      <c r="G1005" s="247"/>
      <c r="H1005" s="247"/>
      <c r="I1005" s="247"/>
      <c r="J1005" s="247"/>
      <c r="K1005" s="272"/>
    </row>
    <row r="1006">
      <c r="A1006" s="272"/>
      <c r="B1006" s="273"/>
      <c r="C1006" s="273"/>
      <c r="D1006" s="274"/>
      <c r="E1006" s="274"/>
      <c r="F1006" s="274"/>
      <c r="G1006" s="247"/>
      <c r="H1006" s="247"/>
      <c r="I1006" s="247"/>
      <c r="J1006" s="247"/>
      <c r="K1006" s="272"/>
    </row>
    <row r="1007">
      <c r="A1007" s="272"/>
      <c r="B1007" s="273"/>
      <c r="C1007" s="273"/>
      <c r="D1007" s="274"/>
      <c r="E1007" s="274"/>
      <c r="F1007" s="274"/>
      <c r="G1007" s="247"/>
      <c r="H1007" s="247"/>
      <c r="I1007" s="247"/>
      <c r="J1007" s="247"/>
      <c r="K1007" s="272"/>
    </row>
    <row r="1008">
      <c r="A1008" s="272"/>
      <c r="B1008" s="273"/>
      <c r="C1008" s="273"/>
      <c r="D1008" s="274"/>
      <c r="E1008" s="274"/>
      <c r="F1008" s="274"/>
      <c r="G1008" s="247"/>
      <c r="H1008" s="247"/>
      <c r="I1008" s="247"/>
      <c r="J1008" s="247"/>
      <c r="K1008" s="272"/>
    </row>
    <row r="1009">
      <c r="A1009" s="272"/>
      <c r="B1009" s="273"/>
      <c r="C1009" s="273"/>
      <c r="D1009" s="274"/>
      <c r="E1009" s="274"/>
      <c r="F1009" s="274"/>
      <c r="G1009" s="247"/>
      <c r="H1009" s="247"/>
      <c r="I1009" s="247"/>
      <c r="J1009" s="247"/>
      <c r="K1009" s="272"/>
    </row>
    <row r="1010">
      <c r="A1010" s="272"/>
      <c r="B1010" s="273"/>
      <c r="C1010" s="273"/>
      <c r="D1010" s="274"/>
      <c r="E1010" s="274"/>
      <c r="F1010" s="274"/>
      <c r="G1010" s="247"/>
      <c r="H1010" s="247"/>
      <c r="I1010" s="247"/>
      <c r="J1010" s="247"/>
      <c r="K1010" s="272"/>
    </row>
    <row r="1011">
      <c r="A1011" s="272"/>
      <c r="B1011" s="273"/>
      <c r="C1011" s="273"/>
      <c r="D1011" s="274"/>
      <c r="E1011" s="274"/>
      <c r="F1011" s="274"/>
      <c r="G1011" s="247"/>
      <c r="H1011" s="247"/>
      <c r="I1011" s="247"/>
      <c r="J1011" s="247"/>
      <c r="K1011" s="272"/>
    </row>
    <row r="1012">
      <c r="A1012" s="272"/>
      <c r="B1012" s="273"/>
      <c r="C1012" s="273"/>
      <c r="D1012" s="274"/>
      <c r="E1012" s="274"/>
      <c r="F1012" s="274"/>
      <c r="G1012" s="247"/>
      <c r="H1012" s="247"/>
      <c r="I1012" s="247"/>
      <c r="J1012" s="247"/>
      <c r="K1012" s="272"/>
    </row>
    <row r="1013">
      <c r="A1013" s="272"/>
      <c r="B1013" s="273"/>
      <c r="C1013" s="273"/>
      <c r="D1013" s="274"/>
      <c r="E1013" s="274"/>
      <c r="F1013" s="274"/>
      <c r="G1013" s="247"/>
      <c r="H1013" s="247"/>
      <c r="I1013" s="247"/>
      <c r="J1013" s="247"/>
      <c r="K1013" s="272"/>
    </row>
    <row r="1014">
      <c r="A1014" s="272"/>
      <c r="B1014" s="273"/>
      <c r="C1014" s="273"/>
      <c r="D1014" s="274"/>
      <c r="E1014" s="274"/>
      <c r="F1014" s="274"/>
      <c r="G1014" s="247"/>
      <c r="H1014" s="247"/>
      <c r="I1014" s="247"/>
      <c r="J1014" s="247"/>
      <c r="K1014" s="272"/>
    </row>
    <row r="1015">
      <c r="A1015" s="272"/>
      <c r="B1015" s="273"/>
      <c r="C1015" s="273"/>
      <c r="D1015" s="274"/>
      <c r="E1015" s="274"/>
      <c r="F1015" s="274"/>
      <c r="G1015" s="247"/>
      <c r="H1015" s="247"/>
      <c r="I1015" s="247"/>
      <c r="J1015" s="247"/>
      <c r="K1015" s="272"/>
    </row>
    <row r="1016">
      <c r="A1016" s="272"/>
      <c r="B1016" s="273"/>
      <c r="C1016" s="273"/>
      <c r="D1016" s="274"/>
      <c r="E1016" s="274"/>
      <c r="F1016" s="274"/>
      <c r="G1016" s="247"/>
      <c r="H1016" s="247"/>
      <c r="I1016" s="247"/>
      <c r="J1016" s="247"/>
      <c r="K1016" s="272"/>
    </row>
    <row r="1017">
      <c r="A1017" s="272"/>
      <c r="B1017" s="273"/>
      <c r="C1017" s="273"/>
      <c r="D1017" s="274"/>
      <c r="E1017" s="274"/>
      <c r="F1017" s="274"/>
      <c r="G1017" s="247"/>
      <c r="H1017" s="247"/>
      <c r="I1017" s="247"/>
      <c r="J1017" s="247"/>
      <c r="K1017" s="272"/>
    </row>
    <row r="1018">
      <c r="A1018" s="272"/>
      <c r="B1018" s="273"/>
      <c r="C1018" s="273"/>
      <c r="D1018" s="274"/>
      <c r="E1018" s="274"/>
      <c r="F1018" s="274"/>
      <c r="G1018" s="247"/>
      <c r="H1018" s="247"/>
      <c r="I1018" s="247"/>
      <c r="J1018" s="247"/>
      <c r="K1018" s="272"/>
    </row>
    <row r="1019">
      <c r="A1019" s="272"/>
      <c r="B1019" s="273"/>
      <c r="C1019" s="273"/>
      <c r="D1019" s="274"/>
      <c r="E1019" s="274"/>
      <c r="F1019" s="274"/>
      <c r="G1019" s="247"/>
      <c r="H1019" s="247"/>
      <c r="I1019" s="247"/>
      <c r="J1019" s="247"/>
      <c r="K1019" s="272"/>
    </row>
    <row r="1020">
      <c r="A1020" s="272"/>
      <c r="B1020" s="273"/>
      <c r="C1020" s="273"/>
      <c r="D1020" s="274"/>
      <c r="E1020" s="274"/>
      <c r="F1020" s="274"/>
      <c r="G1020" s="247"/>
      <c r="H1020" s="247"/>
      <c r="I1020" s="247"/>
      <c r="J1020" s="247"/>
      <c r="K1020" s="272"/>
    </row>
    <row r="1021">
      <c r="A1021" s="272"/>
      <c r="B1021" s="273"/>
      <c r="C1021" s="273"/>
      <c r="D1021" s="274"/>
      <c r="E1021" s="274"/>
      <c r="F1021" s="274"/>
      <c r="G1021" s="247"/>
      <c r="H1021" s="247"/>
      <c r="I1021" s="247"/>
      <c r="J1021" s="247"/>
      <c r="K1021" s="272"/>
    </row>
    <row r="1022">
      <c r="A1022" s="272"/>
      <c r="B1022" s="273"/>
      <c r="C1022" s="273"/>
      <c r="D1022" s="274"/>
      <c r="E1022" s="274"/>
      <c r="F1022" s="274"/>
      <c r="G1022" s="247"/>
      <c r="H1022" s="247"/>
      <c r="I1022" s="247"/>
      <c r="J1022" s="247"/>
      <c r="K1022" s="272"/>
    </row>
    <row r="1023">
      <c r="A1023" s="272"/>
      <c r="B1023" s="273"/>
      <c r="C1023" s="273"/>
      <c r="D1023" s="274"/>
      <c r="E1023" s="274"/>
      <c r="F1023" s="274"/>
      <c r="G1023" s="247"/>
      <c r="H1023" s="247"/>
      <c r="I1023" s="247"/>
      <c r="J1023" s="247"/>
      <c r="K1023" s="272"/>
    </row>
    <row r="1024">
      <c r="A1024" s="272"/>
      <c r="B1024" s="273"/>
      <c r="C1024" s="273"/>
      <c r="D1024" s="274"/>
      <c r="E1024" s="274"/>
      <c r="F1024" s="274"/>
      <c r="G1024" s="247"/>
      <c r="H1024" s="247"/>
      <c r="I1024" s="247"/>
      <c r="J1024" s="247"/>
      <c r="K1024" s="272"/>
    </row>
    <row r="1025">
      <c r="A1025" s="272"/>
      <c r="B1025" s="273"/>
      <c r="C1025" s="273"/>
      <c r="D1025" s="274"/>
      <c r="E1025" s="274"/>
      <c r="F1025" s="274"/>
      <c r="G1025" s="247"/>
      <c r="H1025" s="247"/>
      <c r="I1025" s="247"/>
      <c r="J1025" s="247"/>
      <c r="K1025" s="272"/>
    </row>
    <row r="1026">
      <c r="A1026" s="272"/>
      <c r="B1026" s="273"/>
      <c r="C1026" s="273"/>
      <c r="D1026" s="274"/>
      <c r="E1026" s="274"/>
      <c r="F1026" s="274"/>
      <c r="G1026" s="247"/>
      <c r="H1026" s="247"/>
      <c r="I1026" s="247"/>
      <c r="J1026" s="247"/>
      <c r="K1026" s="272"/>
    </row>
    <row r="1027">
      <c r="A1027" s="272"/>
      <c r="B1027" s="273"/>
      <c r="C1027" s="273"/>
      <c r="D1027" s="274"/>
      <c r="E1027" s="274"/>
      <c r="F1027" s="274"/>
      <c r="G1027" s="247"/>
      <c r="H1027" s="247"/>
      <c r="I1027" s="247"/>
      <c r="J1027" s="247"/>
      <c r="K1027" s="272"/>
    </row>
    <row r="1028">
      <c r="A1028" s="272"/>
      <c r="B1028" s="273"/>
      <c r="C1028" s="273"/>
      <c r="D1028" s="274"/>
      <c r="E1028" s="274"/>
      <c r="F1028" s="274"/>
      <c r="G1028" s="247"/>
      <c r="H1028" s="247"/>
      <c r="I1028" s="247"/>
      <c r="J1028" s="247"/>
      <c r="K1028" s="272"/>
    </row>
    <row r="1029">
      <c r="A1029" s="272"/>
      <c r="B1029" s="273"/>
      <c r="C1029" s="273"/>
      <c r="D1029" s="274"/>
      <c r="E1029" s="274"/>
      <c r="F1029" s="274"/>
      <c r="G1029" s="247"/>
      <c r="H1029" s="247"/>
      <c r="I1029" s="247"/>
      <c r="J1029" s="247"/>
      <c r="K1029" s="272"/>
    </row>
    <row r="1030">
      <c r="A1030" s="272"/>
      <c r="B1030" s="273"/>
      <c r="C1030" s="273"/>
      <c r="D1030" s="274"/>
      <c r="E1030" s="274"/>
      <c r="F1030" s="274"/>
      <c r="G1030" s="247"/>
      <c r="H1030" s="247"/>
      <c r="I1030" s="247"/>
      <c r="J1030" s="247"/>
      <c r="K1030" s="272"/>
    </row>
    <row r="1031">
      <c r="A1031" s="272"/>
      <c r="B1031" s="273"/>
      <c r="C1031" s="273"/>
      <c r="D1031" s="274"/>
      <c r="E1031" s="274"/>
      <c r="F1031" s="274"/>
      <c r="G1031" s="247"/>
      <c r="H1031" s="247"/>
      <c r="I1031" s="247"/>
      <c r="J1031" s="247"/>
      <c r="K1031" s="272"/>
    </row>
    <row r="1032">
      <c r="A1032" s="272"/>
      <c r="B1032" s="273"/>
      <c r="C1032" s="273"/>
      <c r="D1032" s="274"/>
      <c r="E1032" s="274"/>
      <c r="F1032" s="274"/>
      <c r="G1032" s="247"/>
      <c r="H1032" s="247"/>
      <c r="I1032" s="247"/>
      <c r="J1032" s="247"/>
      <c r="K1032" s="272"/>
    </row>
    <row r="1033">
      <c r="A1033" s="272"/>
      <c r="B1033" s="273"/>
      <c r="C1033" s="273"/>
      <c r="D1033" s="274"/>
      <c r="E1033" s="274"/>
      <c r="F1033" s="274"/>
      <c r="G1033" s="247"/>
      <c r="H1033" s="247"/>
      <c r="I1033" s="247"/>
      <c r="J1033" s="247"/>
      <c r="K1033" s="272"/>
    </row>
    <row r="1034">
      <c r="A1034" s="272"/>
      <c r="B1034" s="273"/>
      <c r="C1034" s="273"/>
      <c r="D1034" s="274"/>
      <c r="E1034" s="274"/>
      <c r="F1034" s="274"/>
      <c r="G1034" s="247"/>
      <c r="H1034" s="247"/>
      <c r="I1034" s="247"/>
      <c r="J1034" s="247"/>
      <c r="K1034" s="272"/>
    </row>
    <row r="1035">
      <c r="A1035" s="272"/>
      <c r="B1035" s="273"/>
      <c r="C1035" s="273"/>
      <c r="D1035" s="274"/>
      <c r="E1035" s="274"/>
      <c r="F1035" s="274"/>
      <c r="G1035" s="247"/>
      <c r="H1035" s="247"/>
      <c r="I1035" s="247"/>
      <c r="J1035" s="247"/>
      <c r="K1035" s="272"/>
    </row>
    <row r="1036">
      <c r="A1036" s="272"/>
      <c r="B1036" s="273"/>
      <c r="C1036" s="273"/>
      <c r="D1036" s="274"/>
      <c r="E1036" s="274"/>
      <c r="F1036" s="274"/>
      <c r="G1036" s="247"/>
      <c r="H1036" s="247"/>
      <c r="I1036" s="247"/>
      <c r="J1036" s="247"/>
      <c r="K1036" s="272"/>
    </row>
    <row r="1037">
      <c r="A1037" s="272"/>
      <c r="B1037" s="273"/>
      <c r="C1037" s="273"/>
      <c r="D1037" s="274"/>
      <c r="E1037" s="274"/>
      <c r="F1037" s="274"/>
      <c r="G1037" s="247"/>
      <c r="H1037" s="247"/>
      <c r="I1037" s="247"/>
      <c r="J1037" s="247"/>
      <c r="K1037" s="272"/>
    </row>
    <row r="1038">
      <c r="A1038" s="272"/>
      <c r="B1038" s="273"/>
      <c r="C1038" s="273"/>
      <c r="D1038" s="274"/>
      <c r="E1038" s="274"/>
      <c r="F1038" s="274"/>
      <c r="G1038" s="247"/>
      <c r="H1038" s="247"/>
      <c r="I1038" s="247"/>
      <c r="J1038" s="247"/>
      <c r="K1038" s="272"/>
    </row>
    <row r="1039">
      <c r="A1039" s="272"/>
      <c r="B1039" s="273"/>
      <c r="C1039" s="273"/>
      <c r="D1039" s="274"/>
      <c r="E1039" s="274"/>
      <c r="F1039" s="274"/>
      <c r="G1039" s="247"/>
      <c r="H1039" s="247"/>
      <c r="I1039" s="247"/>
      <c r="J1039" s="247"/>
      <c r="K1039" s="272"/>
    </row>
    <row r="1040">
      <c r="A1040" s="272"/>
      <c r="B1040" s="273"/>
      <c r="C1040" s="273"/>
      <c r="D1040" s="274"/>
      <c r="E1040" s="274"/>
      <c r="F1040" s="274"/>
      <c r="G1040" s="247"/>
      <c r="H1040" s="247"/>
      <c r="I1040" s="247"/>
      <c r="J1040" s="247"/>
      <c r="K1040" s="272"/>
    </row>
    <row r="1041">
      <c r="A1041" s="272"/>
      <c r="B1041" s="273"/>
      <c r="C1041" s="273"/>
      <c r="D1041" s="274"/>
      <c r="E1041" s="274"/>
      <c r="F1041" s="274"/>
      <c r="G1041" s="247"/>
      <c r="H1041" s="247"/>
      <c r="I1041" s="247"/>
      <c r="J1041" s="247"/>
      <c r="K1041" s="272"/>
    </row>
    <row r="1042">
      <c r="A1042" s="272"/>
      <c r="B1042" s="273"/>
      <c r="C1042" s="273"/>
      <c r="D1042" s="274"/>
      <c r="E1042" s="274"/>
      <c r="F1042" s="274"/>
      <c r="G1042" s="247"/>
      <c r="H1042" s="247"/>
      <c r="I1042" s="247"/>
      <c r="J1042" s="247"/>
      <c r="K1042" s="272"/>
    </row>
    <row r="1043">
      <c r="A1043" s="272"/>
      <c r="B1043" s="273"/>
      <c r="C1043" s="273"/>
      <c r="D1043" s="274"/>
      <c r="E1043" s="274"/>
      <c r="F1043" s="274"/>
      <c r="G1043" s="247"/>
      <c r="H1043" s="247"/>
      <c r="I1043" s="247"/>
      <c r="J1043" s="247"/>
      <c r="K1043" s="272"/>
    </row>
    <row r="1044">
      <c r="A1044" s="272"/>
      <c r="B1044" s="273"/>
      <c r="C1044" s="273"/>
      <c r="D1044" s="274"/>
      <c r="E1044" s="274"/>
      <c r="F1044" s="274"/>
      <c r="G1044" s="247"/>
      <c r="H1044" s="247"/>
      <c r="I1044" s="247"/>
      <c r="J1044" s="247"/>
      <c r="K1044" s="272"/>
    </row>
    <row r="1045">
      <c r="A1045" s="272"/>
      <c r="B1045" s="273"/>
      <c r="C1045" s="273"/>
      <c r="D1045" s="274"/>
      <c r="E1045" s="274"/>
      <c r="F1045" s="274"/>
      <c r="G1045" s="247"/>
      <c r="H1045" s="247"/>
      <c r="I1045" s="247"/>
      <c r="J1045" s="247"/>
      <c r="K1045" s="272"/>
    </row>
    <row r="1046">
      <c r="A1046" s="272"/>
      <c r="B1046" s="273"/>
      <c r="C1046" s="273"/>
      <c r="D1046" s="274"/>
      <c r="E1046" s="274"/>
      <c r="F1046" s="274"/>
      <c r="G1046" s="247"/>
      <c r="H1046" s="247"/>
      <c r="I1046" s="247"/>
      <c r="J1046" s="247"/>
      <c r="K1046" s="272"/>
    </row>
    <row r="1047">
      <c r="A1047" s="272"/>
      <c r="B1047" s="273"/>
      <c r="C1047" s="273"/>
      <c r="D1047" s="274"/>
      <c r="E1047" s="274"/>
      <c r="F1047" s="274"/>
      <c r="G1047" s="247"/>
      <c r="H1047" s="247"/>
      <c r="I1047" s="247"/>
      <c r="J1047" s="247"/>
      <c r="K1047" s="272"/>
    </row>
    <row r="1048">
      <c r="A1048" s="272"/>
      <c r="B1048" s="273"/>
      <c r="C1048" s="273"/>
      <c r="D1048" s="274"/>
      <c r="E1048" s="274"/>
      <c r="F1048" s="274"/>
      <c r="G1048" s="247"/>
      <c r="H1048" s="247"/>
      <c r="I1048" s="247"/>
      <c r="J1048" s="247"/>
      <c r="K1048" s="272"/>
    </row>
    <row r="1049">
      <c r="A1049" s="272"/>
      <c r="B1049" s="273"/>
      <c r="C1049" s="273"/>
      <c r="D1049" s="274"/>
      <c r="E1049" s="274"/>
      <c r="F1049" s="274"/>
      <c r="G1049" s="247"/>
      <c r="H1049" s="247"/>
      <c r="I1049" s="247"/>
      <c r="J1049" s="247"/>
      <c r="K1049" s="272"/>
    </row>
    <row r="1050">
      <c r="A1050" s="272"/>
      <c r="B1050" s="273"/>
      <c r="C1050" s="273"/>
      <c r="D1050" s="274"/>
      <c r="E1050" s="274"/>
      <c r="F1050" s="274"/>
      <c r="G1050" s="247"/>
      <c r="H1050" s="247"/>
      <c r="I1050" s="247"/>
      <c r="J1050" s="247"/>
      <c r="K1050" s="272"/>
    </row>
    <row r="1051">
      <c r="A1051" s="272"/>
      <c r="B1051" s="273"/>
      <c r="C1051" s="273"/>
      <c r="D1051" s="274"/>
      <c r="E1051" s="274"/>
      <c r="F1051" s="274"/>
      <c r="G1051" s="247"/>
      <c r="H1051" s="247"/>
      <c r="I1051" s="247"/>
      <c r="J1051" s="247"/>
      <c r="K1051" s="272"/>
    </row>
    <row r="1052">
      <c r="A1052" s="272"/>
      <c r="B1052" s="273"/>
      <c r="C1052" s="273"/>
      <c r="D1052" s="274"/>
      <c r="E1052" s="274"/>
      <c r="F1052" s="274"/>
      <c r="G1052" s="247"/>
      <c r="H1052" s="247"/>
      <c r="I1052" s="247"/>
      <c r="J1052" s="247"/>
      <c r="K1052" s="272"/>
    </row>
    <row r="1053">
      <c r="A1053" s="272"/>
      <c r="B1053" s="273"/>
      <c r="C1053" s="273"/>
      <c r="D1053" s="274"/>
      <c r="E1053" s="274"/>
      <c r="F1053" s="274"/>
      <c r="G1053" s="247"/>
      <c r="H1053" s="247"/>
      <c r="I1053" s="247"/>
      <c r="J1053" s="247"/>
      <c r="K1053" s="272"/>
    </row>
    <row r="1054">
      <c r="A1054" s="272"/>
      <c r="B1054" s="273"/>
      <c r="C1054" s="273"/>
      <c r="D1054" s="274"/>
      <c r="E1054" s="274"/>
      <c r="F1054" s="274"/>
      <c r="G1054" s="247"/>
      <c r="H1054" s="247"/>
      <c r="I1054" s="247"/>
      <c r="J1054" s="247"/>
      <c r="K1054" s="272"/>
    </row>
    <row r="1055">
      <c r="A1055" s="272"/>
      <c r="B1055" s="273"/>
      <c r="C1055" s="273"/>
      <c r="D1055" s="274"/>
      <c r="E1055" s="274"/>
      <c r="F1055" s="274"/>
      <c r="G1055" s="247"/>
      <c r="H1055" s="247"/>
      <c r="I1055" s="247"/>
      <c r="J1055" s="247"/>
      <c r="K1055" s="272"/>
    </row>
    <row r="1056">
      <c r="A1056" s="272"/>
      <c r="B1056" s="273"/>
      <c r="C1056" s="273"/>
      <c r="D1056" s="274"/>
      <c r="E1056" s="274"/>
      <c r="F1056" s="274"/>
      <c r="G1056" s="247"/>
      <c r="H1056" s="247"/>
      <c r="I1056" s="247"/>
      <c r="J1056" s="247"/>
      <c r="K1056" s="272"/>
    </row>
    <row r="1057">
      <c r="A1057" s="272"/>
      <c r="B1057" s="273"/>
      <c r="C1057" s="273"/>
      <c r="D1057" s="274"/>
      <c r="E1057" s="274"/>
      <c r="F1057" s="274"/>
      <c r="G1057" s="247"/>
      <c r="H1057" s="247"/>
      <c r="I1057" s="247"/>
      <c r="J1057" s="247"/>
      <c r="K1057" s="272"/>
    </row>
    <row r="1058">
      <c r="A1058" s="272"/>
      <c r="B1058" s="273"/>
      <c r="C1058" s="273"/>
      <c r="D1058" s="274"/>
      <c r="E1058" s="274"/>
      <c r="F1058" s="274"/>
      <c r="G1058" s="247"/>
      <c r="H1058" s="247"/>
      <c r="I1058" s="247"/>
      <c r="J1058" s="247"/>
      <c r="K1058" s="272"/>
    </row>
    <row r="1059">
      <c r="A1059" s="272"/>
      <c r="B1059" s="273"/>
      <c r="C1059" s="273"/>
      <c r="D1059" s="274"/>
      <c r="E1059" s="274"/>
      <c r="F1059" s="274"/>
      <c r="G1059" s="247"/>
      <c r="H1059" s="247"/>
      <c r="I1059" s="247"/>
      <c r="J1059" s="247"/>
      <c r="K1059" s="272"/>
    </row>
    <row r="1060">
      <c r="A1060" s="272"/>
      <c r="B1060" s="273"/>
      <c r="C1060" s="273"/>
      <c r="D1060" s="274"/>
      <c r="E1060" s="274"/>
      <c r="F1060" s="274"/>
      <c r="G1060" s="247"/>
      <c r="H1060" s="247"/>
      <c r="I1060" s="247"/>
      <c r="J1060" s="247"/>
      <c r="K1060" s="272"/>
    </row>
    <row r="1061">
      <c r="A1061" s="272"/>
      <c r="B1061" s="273"/>
      <c r="C1061" s="273"/>
      <c r="D1061" s="274"/>
      <c r="E1061" s="274"/>
      <c r="F1061" s="274"/>
      <c r="G1061" s="247"/>
      <c r="H1061" s="247"/>
      <c r="I1061" s="247"/>
      <c r="J1061" s="247"/>
      <c r="K1061" s="272"/>
    </row>
    <row r="1062">
      <c r="A1062" s="272"/>
      <c r="B1062" s="273"/>
      <c r="C1062" s="273"/>
      <c r="D1062" s="274"/>
      <c r="E1062" s="274"/>
      <c r="F1062" s="274"/>
      <c r="G1062" s="247"/>
      <c r="H1062" s="247"/>
      <c r="I1062" s="247"/>
      <c r="J1062" s="247"/>
      <c r="K1062" s="272"/>
    </row>
    <row r="1063">
      <c r="A1063" s="272"/>
      <c r="B1063" s="273"/>
      <c r="C1063" s="273"/>
      <c r="D1063" s="274"/>
      <c r="E1063" s="274"/>
      <c r="F1063" s="274"/>
      <c r="G1063" s="247"/>
      <c r="H1063" s="247"/>
      <c r="I1063" s="247"/>
      <c r="J1063" s="247"/>
      <c r="K1063" s="272"/>
    </row>
    <row r="1064">
      <c r="A1064" s="272"/>
      <c r="B1064" s="273"/>
      <c r="C1064" s="273"/>
      <c r="D1064" s="274"/>
      <c r="E1064" s="274"/>
      <c r="F1064" s="274"/>
      <c r="G1064" s="247"/>
      <c r="H1064" s="247"/>
      <c r="I1064" s="247"/>
      <c r="J1064" s="247"/>
      <c r="K1064" s="272"/>
    </row>
    <row r="1065">
      <c r="A1065" s="272"/>
      <c r="B1065" s="273"/>
      <c r="C1065" s="273"/>
      <c r="D1065" s="274"/>
      <c r="E1065" s="274"/>
      <c r="F1065" s="274"/>
      <c r="G1065" s="247"/>
      <c r="H1065" s="247"/>
      <c r="I1065" s="247"/>
      <c r="J1065" s="247"/>
      <c r="K1065" s="272"/>
    </row>
    <row r="1066">
      <c r="A1066" s="272"/>
      <c r="B1066" s="273"/>
      <c r="C1066" s="273"/>
      <c r="D1066" s="274"/>
      <c r="E1066" s="274"/>
      <c r="F1066" s="274"/>
      <c r="G1066" s="247"/>
      <c r="H1066" s="247"/>
      <c r="I1066" s="247"/>
      <c r="J1066" s="247"/>
      <c r="K1066" s="272"/>
    </row>
    <row r="1067">
      <c r="A1067" s="272"/>
      <c r="B1067" s="273"/>
      <c r="C1067" s="273"/>
      <c r="D1067" s="274"/>
      <c r="E1067" s="274"/>
      <c r="F1067" s="274"/>
      <c r="G1067" s="247"/>
      <c r="H1067" s="247"/>
      <c r="I1067" s="247"/>
      <c r="J1067" s="247"/>
      <c r="K1067" s="272"/>
    </row>
    <row r="1068">
      <c r="A1068" s="272"/>
      <c r="B1068" s="273"/>
      <c r="C1068" s="273"/>
      <c r="D1068" s="274"/>
      <c r="E1068" s="274"/>
      <c r="F1068" s="274"/>
      <c r="G1068" s="247"/>
      <c r="H1068" s="247"/>
      <c r="I1068" s="247"/>
      <c r="J1068" s="247"/>
      <c r="K1068" s="272"/>
    </row>
    <row r="1069">
      <c r="A1069" s="272"/>
      <c r="B1069" s="273"/>
      <c r="C1069" s="273"/>
      <c r="D1069" s="274"/>
      <c r="E1069" s="274"/>
      <c r="F1069" s="274"/>
      <c r="G1069" s="247"/>
      <c r="H1069" s="247"/>
      <c r="I1069" s="247"/>
      <c r="J1069" s="247"/>
      <c r="K1069" s="272"/>
    </row>
    <row r="1070">
      <c r="A1070" s="272"/>
      <c r="B1070" s="273"/>
      <c r="C1070" s="273"/>
      <c r="D1070" s="274"/>
      <c r="E1070" s="274"/>
      <c r="F1070" s="274"/>
      <c r="G1070" s="247"/>
      <c r="H1070" s="247"/>
      <c r="I1070" s="247"/>
      <c r="J1070" s="247"/>
      <c r="K1070" s="272"/>
    </row>
    <row r="1071">
      <c r="A1071" s="272"/>
      <c r="B1071" s="273"/>
      <c r="C1071" s="273"/>
      <c r="D1071" s="274"/>
      <c r="E1071" s="274"/>
      <c r="F1071" s="274"/>
      <c r="G1071" s="247"/>
      <c r="H1071" s="247"/>
      <c r="I1071" s="247"/>
      <c r="J1071" s="247"/>
      <c r="K1071" s="272"/>
    </row>
    <row r="1072">
      <c r="A1072" s="272"/>
      <c r="B1072" s="273"/>
      <c r="C1072" s="273"/>
      <c r="D1072" s="274"/>
      <c r="E1072" s="274"/>
      <c r="F1072" s="274"/>
      <c r="G1072" s="247"/>
      <c r="H1072" s="247"/>
      <c r="I1072" s="247"/>
      <c r="J1072" s="247"/>
      <c r="K1072" s="272"/>
    </row>
    <row r="1073">
      <c r="A1073" s="272"/>
      <c r="B1073" s="273"/>
      <c r="C1073" s="273"/>
      <c r="D1073" s="274"/>
      <c r="E1073" s="274"/>
      <c r="F1073" s="274"/>
      <c r="G1073" s="247"/>
      <c r="H1073" s="247"/>
      <c r="I1073" s="247"/>
      <c r="J1073" s="247"/>
      <c r="K1073" s="272"/>
    </row>
    <row r="1074">
      <c r="A1074" s="272"/>
      <c r="B1074" s="273"/>
      <c r="C1074" s="273"/>
      <c r="D1074" s="274"/>
      <c r="E1074" s="274"/>
      <c r="F1074" s="274"/>
      <c r="G1074" s="247"/>
      <c r="H1074" s="247"/>
      <c r="I1074" s="247"/>
      <c r="J1074" s="247"/>
      <c r="K1074" s="272"/>
    </row>
    <row r="1075">
      <c r="A1075" s="272"/>
      <c r="B1075" s="273"/>
      <c r="C1075" s="273"/>
      <c r="D1075" s="274"/>
      <c r="E1075" s="274"/>
      <c r="F1075" s="274"/>
      <c r="G1075" s="247"/>
      <c r="H1075" s="247"/>
      <c r="I1075" s="247"/>
      <c r="J1075" s="247"/>
      <c r="K1075" s="272"/>
    </row>
    <row r="1076">
      <c r="A1076" s="272"/>
      <c r="B1076" s="273"/>
      <c r="C1076" s="273"/>
      <c r="D1076" s="274"/>
      <c r="E1076" s="274"/>
      <c r="F1076" s="274"/>
      <c r="G1076" s="247"/>
      <c r="H1076" s="247"/>
      <c r="I1076" s="247"/>
      <c r="J1076" s="247"/>
      <c r="K1076" s="272"/>
    </row>
    <row r="1077">
      <c r="A1077" s="272"/>
      <c r="B1077" s="273"/>
      <c r="C1077" s="273"/>
      <c r="D1077" s="274"/>
      <c r="E1077" s="274"/>
      <c r="F1077" s="274"/>
      <c r="G1077" s="247"/>
      <c r="H1077" s="247"/>
      <c r="I1077" s="247"/>
      <c r="J1077" s="247"/>
      <c r="K1077" s="272"/>
    </row>
    <row r="1078">
      <c r="A1078" s="272"/>
      <c r="B1078" s="273"/>
      <c r="C1078" s="273"/>
      <c r="D1078" s="274"/>
      <c r="E1078" s="274"/>
      <c r="F1078" s="274"/>
      <c r="G1078" s="247"/>
      <c r="H1078" s="247"/>
      <c r="I1078" s="247"/>
      <c r="J1078" s="247"/>
      <c r="K1078" s="272"/>
    </row>
    <row r="1079">
      <c r="A1079" s="272"/>
      <c r="B1079" s="273"/>
      <c r="C1079" s="273"/>
      <c r="D1079" s="274"/>
      <c r="E1079" s="274"/>
      <c r="F1079" s="274"/>
      <c r="G1079" s="247"/>
      <c r="H1079" s="247"/>
      <c r="I1079" s="247"/>
      <c r="J1079" s="247"/>
      <c r="K1079" s="272"/>
    </row>
    <row r="1080">
      <c r="A1080" s="272"/>
      <c r="B1080" s="273"/>
      <c r="C1080" s="273"/>
      <c r="D1080" s="274"/>
      <c r="E1080" s="274"/>
      <c r="F1080" s="274"/>
      <c r="G1080" s="247"/>
      <c r="H1080" s="247"/>
      <c r="I1080" s="247"/>
      <c r="J1080" s="247"/>
      <c r="K1080" s="272"/>
    </row>
    <row r="1081">
      <c r="A1081" s="272"/>
      <c r="B1081" s="273"/>
      <c r="C1081" s="273"/>
      <c r="D1081" s="274"/>
      <c r="E1081" s="274"/>
      <c r="F1081" s="274"/>
      <c r="G1081" s="247"/>
      <c r="H1081" s="247"/>
      <c r="I1081" s="247"/>
      <c r="J1081" s="247"/>
      <c r="K1081" s="272"/>
    </row>
    <row r="1082">
      <c r="A1082" s="272"/>
      <c r="B1082" s="273"/>
      <c r="C1082" s="273"/>
      <c r="D1082" s="274"/>
      <c r="E1082" s="274"/>
      <c r="F1082" s="274"/>
      <c r="G1082" s="247"/>
      <c r="H1082" s="247"/>
      <c r="I1082" s="247"/>
      <c r="J1082" s="247"/>
      <c r="K1082" s="272"/>
    </row>
    <row r="1083">
      <c r="A1083" s="272"/>
      <c r="B1083" s="273"/>
      <c r="C1083" s="273"/>
      <c r="D1083" s="274"/>
      <c r="E1083" s="274"/>
      <c r="F1083" s="274"/>
      <c r="G1083" s="247"/>
      <c r="H1083" s="247"/>
      <c r="I1083" s="247"/>
      <c r="J1083" s="247"/>
      <c r="K1083" s="272"/>
    </row>
    <row r="1084">
      <c r="A1084" s="272"/>
      <c r="B1084" s="273"/>
      <c r="C1084" s="273"/>
      <c r="D1084" s="274"/>
      <c r="E1084" s="274"/>
      <c r="F1084" s="274"/>
      <c r="G1084" s="247"/>
      <c r="H1084" s="247"/>
      <c r="I1084" s="247"/>
      <c r="J1084" s="247"/>
      <c r="K1084" s="272"/>
    </row>
    <row r="1085">
      <c r="A1085" s="272"/>
      <c r="B1085" s="273"/>
      <c r="C1085" s="273"/>
      <c r="D1085" s="274"/>
      <c r="E1085" s="274"/>
      <c r="F1085" s="274"/>
      <c r="G1085" s="247"/>
      <c r="H1085" s="247"/>
      <c r="I1085" s="247"/>
      <c r="J1085" s="247"/>
      <c r="K1085" s="272"/>
    </row>
    <row r="1086">
      <c r="A1086" s="272"/>
      <c r="B1086" s="273"/>
      <c r="C1086" s="273"/>
      <c r="D1086" s="274"/>
      <c r="E1086" s="274"/>
      <c r="F1086" s="274"/>
      <c r="G1086" s="247"/>
      <c r="H1086" s="247"/>
      <c r="I1086" s="247"/>
      <c r="J1086" s="247"/>
      <c r="K1086" s="272"/>
    </row>
    <row r="1087">
      <c r="A1087" s="272"/>
      <c r="B1087" s="273"/>
      <c r="C1087" s="273"/>
      <c r="D1087" s="274"/>
      <c r="E1087" s="274"/>
      <c r="F1087" s="274"/>
      <c r="G1087" s="247"/>
      <c r="H1087" s="247"/>
      <c r="I1087" s="247"/>
      <c r="J1087" s="247"/>
      <c r="K1087" s="272"/>
    </row>
    <row r="1088">
      <c r="A1088" s="272"/>
      <c r="B1088" s="273"/>
      <c r="C1088" s="273"/>
      <c r="D1088" s="274"/>
      <c r="E1088" s="274"/>
      <c r="F1088" s="274"/>
      <c r="G1088" s="247"/>
      <c r="H1088" s="247"/>
      <c r="I1088" s="247"/>
      <c r="J1088" s="247"/>
      <c r="K1088" s="272"/>
    </row>
    <row r="1089">
      <c r="A1089" s="272"/>
      <c r="B1089" s="273"/>
      <c r="C1089" s="273"/>
      <c r="D1089" s="274"/>
      <c r="E1089" s="274"/>
      <c r="F1089" s="274"/>
      <c r="G1089" s="247"/>
      <c r="H1089" s="247"/>
      <c r="I1089" s="247"/>
      <c r="J1089" s="247"/>
      <c r="K1089" s="272"/>
    </row>
    <row r="1090">
      <c r="A1090" s="272"/>
      <c r="B1090" s="273"/>
      <c r="C1090" s="273"/>
      <c r="D1090" s="274"/>
      <c r="E1090" s="274"/>
      <c r="F1090" s="274"/>
      <c r="G1090" s="247"/>
      <c r="H1090" s="247"/>
      <c r="I1090" s="247"/>
      <c r="J1090" s="247"/>
      <c r="K1090" s="272"/>
    </row>
    <row r="1091">
      <c r="A1091" s="272"/>
      <c r="B1091" s="273"/>
      <c r="C1091" s="273"/>
      <c r="D1091" s="274"/>
      <c r="E1091" s="274"/>
      <c r="F1091" s="274"/>
      <c r="G1091" s="247"/>
      <c r="H1091" s="247"/>
      <c r="I1091" s="247"/>
      <c r="J1091" s="247"/>
      <c r="K1091" s="272"/>
    </row>
    <row r="1092">
      <c r="A1092" s="272"/>
      <c r="B1092" s="273"/>
      <c r="C1092" s="273"/>
      <c r="D1092" s="274"/>
      <c r="E1092" s="274"/>
      <c r="F1092" s="274"/>
      <c r="G1092" s="247"/>
      <c r="H1092" s="247"/>
      <c r="I1092" s="247"/>
      <c r="J1092" s="247"/>
      <c r="K1092" s="272"/>
    </row>
    <row r="1093">
      <c r="A1093" s="272"/>
      <c r="B1093" s="273"/>
      <c r="C1093" s="273"/>
      <c r="D1093" s="274"/>
      <c r="E1093" s="274"/>
      <c r="F1093" s="274"/>
      <c r="G1093" s="247"/>
      <c r="H1093" s="247"/>
      <c r="I1093" s="247"/>
      <c r="J1093" s="247"/>
      <c r="K1093" s="272"/>
    </row>
    <row r="1094">
      <c r="A1094" s="272"/>
      <c r="B1094" s="273"/>
      <c r="C1094" s="273"/>
      <c r="D1094" s="274"/>
      <c r="E1094" s="274"/>
      <c r="F1094" s="274"/>
      <c r="G1094" s="247"/>
      <c r="H1094" s="247"/>
      <c r="I1094" s="247"/>
      <c r="J1094" s="247"/>
      <c r="K1094" s="272"/>
    </row>
    <row r="1095">
      <c r="A1095" s="272"/>
      <c r="B1095" s="273"/>
      <c r="C1095" s="273"/>
      <c r="D1095" s="274"/>
      <c r="E1095" s="274"/>
      <c r="F1095" s="274"/>
      <c r="G1095" s="247"/>
      <c r="H1095" s="247"/>
      <c r="I1095" s="247"/>
      <c r="J1095" s="247"/>
      <c r="K1095" s="272"/>
    </row>
    <row r="1096">
      <c r="A1096" s="272"/>
      <c r="B1096" s="273"/>
      <c r="C1096" s="273"/>
      <c r="D1096" s="274"/>
      <c r="E1096" s="274"/>
      <c r="F1096" s="274"/>
      <c r="G1096" s="247"/>
      <c r="H1096" s="247"/>
      <c r="I1096" s="247"/>
      <c r="J1096" s="247"/>
      <c r="K1096" s="272"/>
    </row>
    <row r="1097">
      <c r="A1097" s="272"/>
      <c r="B1097" s="273"/>
      <c r="C1097" s="273"/>
      <c r="D1097" s="274"/>
      <c r="E1097" s="274"/>
      <c r="F1097" s="274"/>
      <c r="G1097" s="247"/>
      <c r="H1097" s="247"/>
      <c r="I1097" s="247"/>
      <c r="J1097" s="247"/>
      <c r="K1097" s="272"/>
    </row>
    <row r="1098">
      <c r="A1098" s="272"/>
      <c r="B1098" s="273"/>
      <c r="C1098" s="273"/>
      <c r="D1098" s="274"/>
      <c r="E1098" s="274"/>
      <c r="F1098" s="274"/>
      <c r="G1098" s="247"/>
      <c r="H1098" s="247"/>
      <c r="I1098" s="247"/>
      <c r="J1098" s="247"/>
      <c r="K1098" s="272"/>
    </row>
    <row r="1099">
      <c r="A1099" s="272"/>
      <c r="B1099" s="273"/>
      <c r="C1099" s="273"/>
      <c r="D1099" s="274"/>
      <c r="E1099" s="274"/>
      <c r="F1099" s="274"/>
      <c r="G1099" s="247"/>
      <c r="H1099" s="247"/>
      <c r="I1099" s="247"/>
      <c r="J1099" s="247"/>
      <c r="K1099" s="272"/>
    </row>
    <row r="1100">
      <c r="A1100" s="272"/>
      <c r="B1100" s="273"/>
      <c r="C1100" s="273"/>
      <c r="D1100" s="274"/>
      <c r="E1100" s="274"/>
      <c r="F1100" s="274"/>
      <c r="G1100" s="247"/>
      <c r="H1100" s="247"/>
      <c r="I1100" s="247"/>
      <c r="J1100" s="247"/>
      <c r="K1100" s="272"/>
    </row>
    <row r="1101">
      <c r="A1101" s="272"/>
      <c r="B1101" s="273"/>
      <c r="C1101" s="273"/>
      <c r="D1101" s="274"/>
      <c r="E1101" s="274"/>
      <c r="F1101" s="274"/>
      <c r="G1101" s="247"/>
      <c r="H1101" s="247"/>
      <c r="I1101" s="247"/>
      <c r="J1101" s="247"/>
      <c r="K1101" s="272"/>
    </row>
    <row r="1102">
      <c r="A1102" s="272"/>
      <c r="B1102" s="273"/>
      <c r="C1102" s="273"/>
      <c r="D1102" s="274"/>
      <c r="E1102" s="274"/>
      <c r="F1102" s="274"/>
      <c r="G1102" s="247"/>
      <c r="H1102" s="247"/>
      <c r="I1102" s="247"/>
      <c r="J1102" s="247"/>
      <c r="K1102" s="272"/>
    </row>
    <row r="1103">
      <c r="A1103" s="272"/>
      <c r="B1103" s="273"/>
      <c r="C1103" s="273"/>
      <c r="D1103" s="274"/>
      <c r="E1103" s="274"/>
      <c r="F1103" s="274"/>
      <c r="G1103" s="247"/>
      <c r="H1103" s="247"/>
      <c r="I1103" s="247"/>
      <c r="J1103" s="247"/>
      <c r="K1103" s="272"/>
    </row>
    <row r="1104">
      <c r="A1104" s="272"/>
      <c r="B1104" s="273"/>
      <c r="C1104" s="273"/>
      <c r="D1104" s="274"/>
      <c r="E1104" s="274"/>
      <c r="F1104" s="274"/>
      <c r="G1104" s="247"/>
      <c r="H1104" s="247"/>
      <c r="I1104" s="247"/>
      <c r="J1104" s="247"/>
      <c r="K1104" s="272"/>
    </row>
    <row r="1105">
      <c r="A1105" s="272"/>
      <c r="B1105" s="273"/>
      <c r="C1105" s="273"/>
      <c r="D1105" s="274"/>
      <c r="E1105" s="274"/>
      <c r="F1105" s="274"/>
      <c r="G1105" s="247"/>
      <c r="H1105" s="247"/>
      <c r="I1105" s="247"/>
      <c r="J1105" s="247"/>
      <c r="K1105" s="272"/>
    </row>
    <row r="1106">
      <c r="A1106" s="272"/>
      <c r="B1106" s="273"/>
      <c r="C1106" s="273"/>
      <c r="D1106" s="274"/>
      <c r="E1106" s="274"/>
      <c r="F1106" s="274"/>
      <c r="G1106" s="247"/>
      <c r="H1106" s="247"/>
      <c r="I1106" s="247"/>
      <c r="J1106" s="247"/>
      <c r="K1106" s="272"/>
    </row>
    <row r="1107">
      <c r="A1107" s="272"/>
      <c r="B1107" s="273"/>
      <c r="C1107" s="273"/>
      <c r="D1107" s="274"/>
      <c r="E1107" s="274"/>
      <c r="F1107" s="274"/>
      <c r="G1107" s="247"/>
      <c r="H1107" s="247"/>
      <c r="I1107" s="247"/>
      <c r="J1107" s="247"/>
      <c r="K1107" s="272"/>
    </row>
    <row r="1108">
      <c r="A1108" s="272"/>
      <c r="B1108" s="273"/>
      <c r="C1108" s="273"/>
      <c r="D1108" s="274"/>
      <c r="E1108" s="274"/>
      <c r="F1108" s="274"/>
      <c r="G1108" s="247"/>
      <c r="H1108" s="247"/>
      <c r="I1108" s="247"/>
      <c r="J1108" s="247"/>
      <c r="K1108" s="272"/>
    </row>
    <row r="1109">
      <c r="A1109" s="272"/>
      <c r="B1109" s="273"/>
      <c r="C1109" s="273"/>
      <c r="D1109" s="274"/>
      <c r="E1109" s="274"/>
      <c r="F1109" s="274"/>
      <c r="G1109" s="247"/>
      <c r="H1109" s="247"/>
      <c r="I1109" s="247"/>
      <c r="J1109" s="247"/>
      <c r="K1109" s="272"/>
    </row>
    <row r="1110">
      <c r="A1110" s="272"/>
      <c r="B1110" s="273"/>
      <c r="C1110" s="273"/>
      <c r="D1110" s="274"/>
      <c r="E1110" s="274"/>
      <c r="F1110" s="274"/>
      <c r="G1110" s="247"/>
      <c r="H1110" s="247"/>
      <c r="I1110" s="247"/>
      <c r="J1110" s="247"/>
      <c r="K1110" s="272"/>
    </row>
    <row r="1111">
      <c r="A1111" s="272"/>
      <c r="B1111" s="273"/>
      <c r="C1111" s="273"/>
      <c r="D1111" s="274"/>
      <c r="E1111" s="274"/>
      <c r="F1111" s="274"/>
      <c r="G1111" s="247"/>
      <c r="H1111" s="247"/>
      <c r="I1111" s="247"/>
      <c r="J1111" s="247"/>
      <c r="K1111" s="272"/>
    </row>
    <row r="1112">
      <c r="A1112" s="272"/>
      <c r="B1112" s="273"/>
      <c r="C1112" s="273"/>
      <c r="D1112" s="274"/>
      <c r="E1112" s="274"/>
      <c r="F1112" s="274"/>
      <c r="G1112" s="247"/>
      <c r="H1112" s="247"/>
      <c r="I1112" s="247"/>
      <c r="J1112" s="247"/>
      <c r="K1112" s="272"/>
    </row>
    <row r="1113">
      <c r="A1113" s="272"/>
      <c r="B1113" s="273"/>
      <c r="C1113" s="273"/>
      <c r="D1113" s="274"/>
      <c r="E1113" s="274"/>
      <c r="F1113" s="274"/>
      <c r="G1113" s="247"/>
      <c r="H1113" s="247"/>
      <c r="I1113" s="247"/>
      <c r="J1113" s="247"/>
      <c r="K1113" s="272"/>
    </row>
    <row r="1114">
      <c r="A1114" s="272"/>
      <c r="B1114" s="273"/>
      <c r="C1114" s="273"/>
      <c r="D1114" s="274"/>
      <c r="E1114" s="274"/>
      <c r="F1114" s="274"/>
      <c r="G1114" s="247"/>
      <c r="H1114" s="247"/>
      <c r="I1114" s="247"/>
      <c r="J1114" s="247"/>
      <c r="K1114" s="272"/>
    </row>
    <row r="1115">
      <c r="A1115" s="272"/>
      <c r="B1115" s="273"/>
      <c r="C1115" s="273"/>
      <c r="D1115" s="274"/>
      <c r="E1115" s="274"/>
      <c r="F1115" s="274"/>
      <c r="G1115" s="247"/>
      <c r="H1115" s="247"/>
      <c r="I1115" s="247"/>
      <c r="J1115" s="247"/>
      <c r="K1115" s="272"/>
    </row>
    <row r="1116">
      <c r="A1116" s="272"/>
      <c r="B1116" s="273"/>
      <c r="C1116" s="273"/>
      <c r="D1116" s="274"/>
      <c r="E1116" s="274"/>
      <c r="F1116" s="274"/>
      <c r="G1116" s="247"/>
      <c r="H1116" s="247"/>
      <c r="I1116" s="247"/>
      <c r="J1116" s="247"/>
      <c r="K1116" s="272"/>
    </row>
    <row r="1117">
      <c r="A1117" s="272"/>
      <c r="B1117" s="273"/>
      <c r="C1117" s="273"/>
      <c r="D1117" s="274"/>
      <c r="E1117" s="274"/>
      <c r="F1117" s="274"/>
      <c r="G1117" s="247"/>
      <c r="H1117" s="247"/>
      <c r="I1117" s="247"/>
      <c r="J1117" s="247"/>
      <c r="K1117" s="272"/>
    </row>
    <row r="1118">
      <c r="A1118" s="272"/>
      <c r="B1118" s="273"/>
      <c r="C1118" s="273"/>
      <c r="D1118" s="274"/>
      <c r="E1118" s="274"/>
      <c r="F1118" s="274"/>
      <c r="G1118" s="247"/>
      <c r="H1118" s="247"/>
      <c r="I1118" s="247"/>
      <c r="J1118" s="247"/>
      <c r="K1118" s="272"/>
    </row>
    <row r="1119">
      <c r="A1119" s="272"/>
      <c r="B1119" s="273"/>
      <c r="C1119" s="273"/>
      <c r="D1119" s="274"/>
      <c r="E1119" s="274"/>
      <c r="F1119" s="274"/>
      <c r="G1119" s="247"/>
      <c r="H1119" s="247"/>
      <c r="I1119" s="247"/>
      <c r="J1119" s="247"/>
      <c r="K1119" s="272"/>
    </row>
    <row r="1120">
      <c r="A1120" s="272"/>
      <c r="B1120" s="273"/>
      <c r="C1120" s="273"/>
      <c r="D1120" s="274"/>
      <c r="E1120" s="274"/>
      <c r="F1120" s="274"/>
      <c r="G1120" s="247"/>
      <c r="H1120" s="247"/>
      <c r="I1120" s="247"/>
      <c r="J1120" s="247"/>
      <c r="K1120" s="272"/>
    </row>
    <row r="1121">
      <c r="A1121" s="272"/>
      <c r="B1121" s="273"/>
      <c r="C1121" s="273"/>
      <c r="D1121" s="274"/>
      <c r="E1121" s="274"/>
      <c r="F1121" s="274"/>
      <c r="G1121" s="247"/>
      <c r="H1121" s="247"/>
      <c r="I1121" s="247"/>
      <c r="J1121" s="247"/>
      <c r="K1121" s="272"/>
    </row>
    <row r="1122">
      <c r="A1122" s="272"/>
      <c r="B1122" s="273"/>
      <c r="C1122" s="273"/>
      <c r="D1122" s="274"/>
      <c r="E1122" s="274"/>
      <c r="F1122" s="274"/>
      <c r="G1122" s="247"/>
      <c r="H1122" s="247"/>
      <c r="I1122" s="247"/>
      <c r="J1122" s="247"/>
      <c r="K1122" s="272"/>
    </row>
    <row r="1123">
      <c r="A1123" s="272"/>
      <c r="B1123" s="273"/>
      <c r="C1123" s="273"/>
      <c r="D1123" s="274"/>
      <c r="E1123" s="274"/>
      <c r="F1123" s="274"/>
      <c r="G1123" s="247"/>
      <c r="H1123" s="247"/>
      <c r="I1123" s="247"/>
      <c r="J1123" s="247"/>
      <c r="K1123" s="272"/>
    </row>
    <row r="1124">
      <c r="A1124" s="272"/>
      <c r="B1124" s="273"/>
      <c r="C1124" s="273"/>
      <c r="D1124" s="274"/>
      <c r="E1124" s="274"/>
      <c r="F1124" s="274"/>
      <c r="G1124" s="247"/>
      <c r="H1124" s="247"/>
      <c r="I1124" s="247"/>
      <c r="J1124" s="247"/>
      <c r="K1124" s="272"/>
    </row>
    <row r="1125">
      <c r="A1125" s="272"/>
      <c r="B1125" s="273"/>
      <c r="C1125" s="273"/>
      <c r="D1125" s="274"/>
      <c r="E1125" s="274"/>
      <c r="F1125" s="274"/>
      <c r="G1125" s="247"/>
      <c r="H1125" s="247"/>
      <c r="I1125" s="247"/>
      <c r="J1125" s="247"/>
      <c r="K1125" s="272"/>
    </row>
    <row r="1126">
      <c r="A1126" s="272"/>
      <c r="B1126" s="273"/>
      <c r="C1126" s="273"/>
      <c r="D1126" s="274"/>
      <c r="E1126" s="274"/>
      <c r="F1126" s="274"/>
      <c r="G1126" s="247"/>
      <c r="H1126" s="247"/>
      <c r="I1126" s="247"/>
      <c r="J1126" s="247"/>
      <c r="K1126" s="272"/>
    </row>
    <row r="1127">
      <c r="A1127" s="272"/>
      <c r="B1127" s="273"/>
      <c r="C1127" s="273"/>
      <c r="D1127" s="274"/>
      <c r="E1127" s="274"/>
      <c r="F1127" s="274"/>
      <c r="G1127" s="247"/>
      <c r="H1127" s="247"/>
      <c r="I1127" s="247"/>
      <c r="J1127" s="247"/>
      <c r="K1127" s="272"/>
    </row>
    <row r="1128">
      <c r="A1128" s="272"/>
      <c r="B1128" s="273"/>
      <c r="C1128" s="273"/>
      <c r="D1128" s="274"/>
      <c r="E1128" s="274"/>
      <c r="F1128" s="274"/>
      <c r="G1128" s="247"/>
      <c r="H1128" s="247"/>
      <c r="I1128" s="247"/>
      <c r="J1128" s="247"/>
      <c r="K1128" s="272"/>
    </row>
    <row r="1129">
      <c r="A1129" s="272"/>
      <c r="B1129" s="273"/>
      <c r="C1129" s="273"/>
      <c r="D1129" s="274"/>
      <c r="E1129" s="274"/>
      <c r="F1129" s="274"/>
      <c r="G1129" s="247"/>
      <c r="H1129" s="247"/>
      <c r="I1129" s="247"/>
      <c r="J1129" s="247"/>
      <c r="K1129" s="272"/>
    </row>
    <row r="1130">
      <c r="A1130" s="272"/>
      <c r="B1130" s="273"/>
      <c r="C1130" s="273"/>
      <c r="D1130" s="274"/>
      <c r="E1130" s="274"/>
      <c r="F1130" s="274"/>
      <c r="G1130" s="247"/>
      <c r="H1130" s="247"/>
      <c r="I1130" s="247"/>
      <c r="J1130" s="247"/>
      <c r="K1130" s="272"/>
    </row>
    <row r="1131">
      <c r="A1131" s="272"/>
      <c r="B1131" s="273"/>
      <c r="C1131" s="273"/>
      <c r="D1131" s="274"/>
      <c r="E1131" s="274"/>
      <c r="F1131" s="274"/>
      <c r="G1131" s="247"/>
      <c r="H1131" s="247"/>
      <c r="I1131" s="247"/>
      <c r="J1131" s="247"/>
      <c r="K1131" s="272"/>
    </row>
    <row r="1132">
      <c r="A1132" s="272"/>
      <c r="B1132" s="273"/>
      <c r="C1132" s="273"/>
      <c r="D1132" s="274"/>
      <c r="E1132" s="274"/>
      <c r="F1132" s="274"/>
      <c r="G1132" s="247"/>
      <c r="H1132" s="247"/>
      <c r="I1132" s="247"/>
      <c r="J1132" s="247"/>
      <c r="K1132" s="272"/>
    </row>
    <row r="1133">
      <c r="A1133" s="272"/>
      <c r="B1133" s="273"/>
      <c r="C1133" s="273"/>
      <c r="D1133" s="274"/>
      <c r="E1133" s="274"/>
      <c r="F1133" s="274"/>
      <c r="G1133" s="247"/>
      <c r="H1133" s="247"/>
      <c r="I1133" s="247"/>
      <c r="J1133" s="247"/>
      <c r="K1133" s="272"/>
    </row>
    <row r="1134">
      <c r="A1134" s="272"/>
      <c r="B1134" s="273"/>
      <c r="C1134" s="273"/>
      <c r="D1134" s="274"/>
      <c r="E1134" s="274"/>
      <c r="F1134" s="274"/>
      <c r="G1134" s="247"/>
      <c r="H1134" s="247"/>
      <c r="I1134" s="247"/>
      <c r="J1134" s="247"/>
      <c r="K1134" s="272"/>
    </row>
    <row r="1135">
      <c r="A1135" s="272"/>
      <c r="B1135" s="273"/>
      <c r="C1135" s="273"/>
      <c r="D1135" s="274"/>
      <c r="E1135" s="274"/>
      <c r="F1135" s="274"/>
      <c r="G1135" s="247"/>
      <c r="H1135" s="247"/>
      <c r="I1135" s="247"/>
      <c r="J1135" s="247"/>
      <c r="K1135" s="272"/>
    </row>
    <row r="1136">
      <c r="A1136" s="272"/>
      <c r="B1136" s="273"/>
      <c r="C1136" s="273"/>
      <c r="D1136" s="274"/>
      <c r="E1136" s="274"/>
      <c r="F1136" s="274"/>
      <c r="G1136" s="247"/>
      <c r="H1136" s="247"/>
      <c r="I1136" s="247"/>
      <c r="J1136" s="247"/>
      <c r="K1136" s="272"/>
    </row>
    <row r="1137">
      <c r="A1137" s="272"/>
      <c r="B1137" s="273"/>
      <c r="C1137" s="273"/>
      <c r="D1137" s="274"/>
      <c r="E1137" s="274"/>
      <c r="F1137" s="274"/>
      <c r="G1137" s="247"/>
      <c r="H1137" s="247"/>
      <c r="I1137" s="247"/>
      <c r="J1137" s="247"/>
      <c r="K1137" s="272"/>
    </row>
    <row r="1138">
      <c r="A1138" s="272"/>
      <c r="B1138" s="273"/>
      <c r="C1138" s="273"/>
      <c r="D1138" s="274"/>
      <c r="E1138" s="274"/>
      <c r="F1138" s="274"/>
      <c r="G1138" s="247"/>
      <c r="H1138" s="247"/>
      <c r="I1138" s="247"/>
      <c r="J1138" s="247"/>
      <c r="K1138" s="272"/>
    </row>
    <row r="1139">
      <c r="A1139" s="272"/>
      <c r="B1139" s="273"/>
      <c r="C1139" s="273"/>
      <c r="D1139" s="274"/>
      <c r="E1139" s="274"/>
      <c r="F1139" s="274"/>
      <c r="G1139" s="247"/>
      <c r="H1139" s="247"/>
      <c r="I1139" s="247"/>
      <c r="J1139" s="247"/>
      <c r="K1139" s="272"/>
    </row>
    <row r="1140">
      <c r="A1140" s="272"/>
      <c r="B1140" s="273"/>
      <c r="C1140" s="273"/>
      <c r="D1140" s="274"/>
      <c r="E1140" s="274"/>
      <c r="F1140" s="274"/>
      <c r="G1140" s="247"/>
      <c r="H1140" s="247"/>
      <c r="I1140" s="247"/>
      <c r="J1140" s="247"/>
      <c r="K1140" s="272"/>
    </row>
    <row r="1141">
      <c r="A1141" s="272"/>
      <c r="B1141" s="273"/>
      <c r="C1141" s="273"/>
      <c r="D1141" s="274"/>
      <c r="E1141" s="274"/>
      <c r="F1141" s="274"/>
      <c r="G1141" s="247"/>
      <c r="H1141" s="247"/>
      <c r="I1141" s="247"/>
      <c r="J1141" s="247"/>
      <c r="K1141" s="272"/>
    </row>
    <row r="1142">
      <c r="A1142" s="272"/>
      <c r="B1142" s="273"/>
      <c r="C1142" s="273"/>
      <c r="D1142" s="274"/>
      <c r="E1142" s="274"/>
      <c r="F1142" s="274"/>
      <c r="G1142" s="247"/>
      <c r="H1142" s="247"/>
      <c r="I1142" s="247"/>
      <c r="J1142" s="247"/>
      <c r="K1142" s="272"/>
    </row>
    <row r="1143">
      <c r="A1143" s="272"/>
      <c r="B1143" s="273"/>
      <c r="C1143" s="273"/>
      <c r="D1143" s="274"/>
      <c r="E1143" s="274"/>
      <c r="F1143" s="274"/>
      <c r="G1143" s="247"/>
      <c r="H1143" s="247"/>
      <c r="I1143" s="247"/>
      <c r="J1143" s="247"/>
      <c r="K1143" s="272"/>
    </row>
    <row r="1144">
      <c r="A1144" s="272"/>
      <c r="B1144" s="273"/>
      <c r="C1144" s="273"/>
      <c r="D1144" s="274"/>
      <c r="E1144" s="274"/>
      <c r="F1144" s="274"/>
      <c r="G1144" s="247"/>
      <c r="H1144" s="247"/>
      <c r="I1144" s="247"/>
      <c r="J1144" s="247"/>
      <c r="K1144" s="272"/>
    </row>
    <row r="1145">
      <c r="A1145" s="272"/>
      <c r="B1145" s="273"/>
      <c r="C1145" s="273"/>
      <c r="D1145" s="274"/>
      <c r="E1145" s="274"/>
      <c r="F1145" s="274"/>
      <c r="G1145" s="247"/>
      <c r="H1145" s="247"/>
      <c r="I1145" s="247"/>
      <c r="J1145" s="247"/>
      <c r="K1145" s="272"/>
    </row>
    <row r="1146">
      <c r="A1146" s="272"/>
      <c r="B1146" s="273"/>
      <c r="C1146" s="273"/>
      <c r="D1146" s="274"/>
      <c r="E1146" s="274"/>
      <c r="F1146" s="274"/>
      <c r="G1146" s="247"/>
      <c r="H1146" s="247"/>
      <c r="I1146" s="247"/>
      <c r="J1146" s="247"/>
      <c r="K1146" s="272"/>
    </row>
    <row r="1147">
      <c r="A1147" s="272"/>
      <c r="B1147" s="273"/>
      <c r="C1147" s="273"/>
      <c r="D1147" s="274"/>
      <c r="E1147" s="274"/>
      <c r="F1147" s="274"/>
      <c r="G1147" s="247"/>
      <c r="H1147" s="247"/>
      <c r="I1147" s="247"/>
      <c r="J1147" s="247"/>
      <c r="K1147" s="272"/>
    </row>
    <row r="1148">
      <c r="A1148" s="272"/>
      <c r="B1148" s="273"/>
      <c r="C1148" s="273"/>
      <c r="D1148" s="274"/>
      <c r="E1148" s="274"/>
      <c r="F1148" s="274"/>
      <c r="G1148" s="247"/>
      <c r="H1148" s="247"/>
      <c r="I1148" s="247"/>
      <c r="J1148" s="247"/>
      <c r="K1148" s="272"/>
    </row>
    <row r="1149">
      <c r="A1149" s="272"/>
      <c r="B1149" s="273"/>
      <c r="C1149" s="273"/>
      <c r="D1149" s="274"/>
      <c r="E1149" s="274"/>
      <c r="F1149" s="274"/>
      <c r="G1149" s="247"/>
      <c r="H1149" s="247"/>
      <c r="I1149" s="247"/>
      <c r="J1149" s="247"/>
      <c r="K1149" s="272"/>
    </row>
    <row r="1150">
      <c r="A1150" s="272"/>
      <c r="B1150" s="273"/>
      <c r="C1150" s="273"/>
      <c r="D1150" s="274"/>
      <c r="E1150" s="274"/>
      <c r="F1150" s="274"/>
      <c r="G1150" s="247"/>
      <c r="H1150" s="247"/>
      <c r="I1150" s="247"/>
      <c r="J1150" s="247"/>
      <c r="K1150" s="272"/>
    </row>
    <row r="1151">
      <c r="A1151" s="272"/>
      <c r="B1151" s="273"/>
      <c r="C1151" s="273"/>
      <c r="D1151" s="274"/>
      <c r="E1151" s="274"/>
      <c r="F1151" s="274"/>
      <c r="G1151" s="247"/>
      <c r="H1151" s="247"/>
      <c r="I1151" s="247"/>
      <c r="J1151" s="247"/>
      <c r="K1151" s="272"/>
    </row>
    <row r="1152">
      <c r="A1152" s="272"/>
      <c r="B1152" s="273"/>
      <c r="C1152" s="273"/>
      <c r="D1152" s="274"/>
      <c r="E1152" s="274"/>
      <c r="F1152" s="274"/>
      <c r="G1152" s="247"/>
      <c r="H1152" s="247"/>
      <c r="I1152" s="247"/>
      <c r="J1152" s="247"/>
      <c r="K1152" s="272"/>
    </row>
    <row r="1153">
      <c r="A1153" s="272"/>
      <c r="B1153" s="273"/>
      <c r="C1153" s="273"/>
      <c r="D1153" s="274"/>
      <c r="E1153" s="274"/>
      <c r="F1153" s="274"/>
      <c r="G1153" s="247"/>
      <c r="H1153" s="247"/>
      <c r="I1153" s="247"/>
      <c r="J1153" s="247"/>
      <c r="K1153" s="272"/>
    </row>
    <row r="1154">
      <c r="A1154" s="272"/>
      <c r="B1154" s="273"/>
      <c r="C1154" s="273"/>
      <c r="D1154" s="274"/>
      <c r="E1154" s="274"/>
      <c r="F1154" s="274"/>
      <c r="G1154" s="247"/>
      <c r="H1154" s="247"/>
      <c r="I1154" s="247"/>
      <c r="J1154" s="247"/>
      <c r="K1154" s="272"/>
    </row>
    <row r="1155">
      <c r="A1155" s="272"/>
      <c r="B1155" s="273"/>
      <c r="C1155" s="273"/>
      <c r="D1155" s="274"/>
      <c r="E1155" s="274"/>
      <c r="F1155" s="274"/>
      <c r="G1155" s="247"/>
      <c r="H1155" s="247"/>
      <c r="I1155" s="247"/>
      <c r="J1155" s="247"/>
      <c r="K1155" s="272"/>
    </row>
    <row r="1156">
      <c r="A1156" s="272"/>
      <c r="B1156" s="273"/>
      <c r="C1156" s="273"/>
      <c r="D1156" s="274"/>
      <c r="E1156" s="274"/>
      <c r="F1156" s="274"/>
      <c r="G1156" s="247"/>
      <c r="H1156" s="247"/>
      <c r="I1156" s="247"/>
      <c r="J1156" s="247"/>
      <c r="K1156" s="272"/>
    </row>
    <row r="1157">
      <c r="A1157" s="272"/>
      <c r="B1157" s="273"/>
      <c r="C1157" s="273"/>
      <c r="D1157" s="274"/>
      <c r="E1157" s="274"/>
      <c r="F1157" s="274"/>
      <c r="G1157" s="247"/>
      <c r="H1157" s="247"/>
      <c r="I1157" s="247"/>
      <c r="J1157" s="247"/>
      <c r="K1157" s="272"/>
    </row>
    <row r="1158">
      <c r="A1158" s="272"/>
      <c r="B1158" s="273"/>
      <c r="C1158" s="273"/>
      <c r="D1158" s="274"/>
      <c r="E1158" s="274"/>
      <c r="F1158" s="274"/>
      <c r="G1158" s="247"/>
      <c r="H1158" s="247"/>
      <c r="I1158" s="247"/>
      <c r="J1158" s="247"/>
      <c r="K1158" s="272"/>
    </row>
    <row r="1159">
      <c r="A1159" s="272"/>
      <c r="B1159" s="273"/>
      <c r="C1159" s="273"/>
      <c r="D1159" s="274"/>
      <c r="E1159" s="274"/>
      <c r="F1159" s="274"/>
      <c r="G1159" s="247"/>
      <c r="H1159" s="247"/>
      <c r="I1159" s="247"/>
      <c r="J1159" s="247"/>
      <c r="K1159" s="272"/>
    </row>
    <row r="1160">
      <c r="A1160" s="272"/>
      <c r="B1160" s="273"/>
      <c r="C1160" s="273"/>
      <c r="D1160" s="274"/>
      <c r="E1160" s="274"/>
      <c r="F1160" s="274"/>
      <c r="G1160" s="247"/>
      <c r="H1160" s="247"/>
      <c r="I1160" s="247"/>
      <c r="J1160" s="247"/>
      <c r="K1160" s="272"/>
    </row>
    <row r="1161">
      <c r="A1161" s="272"/>
      <c r="B1161" s="273"/>
      <c r="C1161" s="273"/>
      <c r="D1161" s="274"/>
      <c r="E1161" s="274"/>
      <c r="F1161" s="274"/>
      <c r="G1161" s="247"/>
      <c r="H1161" s="247"/>
      <c r="I1161" s="247"/>
      <c r="J1161" s="247"/>
      <c r="K1161" s="272"/>
    </row>
    <row r="1162">
      <c r="A1162" s="272"/>
      <c r="B1162" s="273"/>
      <c r="C1162" s="273"/>
      <c r="D1162" s="274"/>
      <c r="E1162" s="274"/>
      <c r="F1162" s="274"/>
      <c r="G1162" s="247"/>
      <c r="H1162" s="247"/>
      <c r="I1162" s="247"/>
      <c r="J1162" s="247"/>
      <c r="K1162" s="272"/>
    </row>
    <row r="1163">
      <c r="A1163" s="272"/>
      <c r="B1163" s="273"/>
      <c r="C1163" s="273"/>
      <c r="D1163" s="274"/>
      <c r="E1163" s="274"/>
      <c r="F1163" s="274"/>
      <c r="G1163" s="247"/>
      <c r="H1163" s="247"/>
      <c r="I1163" s="247"/>
      <c r="J1163" s="247"/>
      <c r="K1163" s="272"/>
    </row>
    <row r="1164">
      <c r="A1164" s="272"/>
      <c r="B1164" s="273"/>
      <c r="C1164" s="273"/>
      <c r="D1164" s="274"/>
      <c r="E1164" s="274"/>
      <c r="F1164" s="274"/>
      <c r="G1164" s="247"/>
      <c r="H1164" s="247"/>
      <c r="I1164" s="247"/>
      <c r="J1164" s="247"/>
      <c r="K1164" s="272"/>
    </row>
    <row r="1165">
      <c r="A1165" s="272"/>
      <c r="B1165" s="273"/>
      <c r="C1165" s="273"/>
      <c r="D1165" s="274"/>
      <c r="E1165" s="274"/>
      <c r="F1165" s="274"/>
      <c r="G1165" s="247"/>
      <c r="H1165" s="247"/>
      <c r="I1165" s="247"/>
      <c r="J1165" s="247"/>
      <c r="K1165" s="272"/>
    </row>
    <row r="1166">
      <c r="A1166" s="272"/>
      <c r="B1166" s="273"/>
      <c r="C1166" s="273"/>
      <c r="D1166" s="274"/>
      <c r="E1166" s="274"/>
      <c r="F1166" s="274"/>
      <c r="G1166" s="247"/>
      <c r="H1166" s="247"/>
      <c r="I1166" s="247"/>
      <c r="J1166" s="247"/>
      <c r="K1166" s="272"/>
    </row>
    <row r="1167">
      <c r="A1167" s="272"/>
      <c r="B1167" s="273"/>
      <c r="C1167" s="273"/>
      <c r="D1167" s="274"/>
      <c r="E1167" s="274"/>
      <c r="F1167" s="274"/>
      <c r="G1167" s="247"/>
      <c r="H1167" s="247"/>
      <c r="I1167" s="247"/>
      <c r="J1167" s="247"/>
      <c r="K1167" s="272"/>
    </row>
    <row r="1168">
      <c r="A1168" s="272"/>
      <c r="B1168" s="273"/>
      <c r="C1168" s="273"/>
      <c r="D1168" s="274"/>
      <c r="E1168" s="274"/>
      <c r="F1168" s="274"/>
      <c r="G1168" s="247"/>
      <c r="H1168" s="247"/>
      <c r="I1168" s="247"/>
      <c r="J1168" s="247"/>
      <c r="K1168" s="272"/>
    </row>
    <row r="1169">
      <c r="A1169" s="272"/>
      <c r="B1169" s="273"/>
      <c r="C1169" s="273"/>
      <c r="D1169" s="274"/>
      <c r="E1169" s="274"/>
      <c r="F1169" s="274"/>
      <c r="G1169" s="247"/>
      <c r="H1169" s="247"/>
      <c r="I1169" s="247"/>
      <c r="J1169" s="247"/>
      <c r="K1169" s="272"/>
    </row>
    <row r="1170">
      <c r="A1170" s="272"/>
      <c r="B1170" s="273"/>
      <c r="C1170" s="273"/>
      <c r="D1170" s="274"/>
      <c r="E1170" s="274"/>
      <c r="F1170" s="274"/>
      <c r="G1170" s="247"/>
      <c r="H1170" s="247"/>
      <c r="I1170" s="247"/>
      <c r="J1170" s="247"/>
      <c r="K1170" s="272"/>
    </row>
    <row r="1171">
      <c r="A1171" s="272"/>
      <c r="B1171" s="273"/>
      <c r="C1171" s="273"/>
      <c r="D1171" s="274"/>
      <c r="E1171" s="274"/>
      <c r="F1171" s="274"/>
      <c r="G1171" s="247"/>
      <c r="H1171" s="247"/>
      <c r="I1171" s="247"/>
      <c r="J1171" s="247"/>
      <c r="K1171" s="272"/>
    </row>
    <row r="1172">
      <c r="A1172" s="272"/>
      <c r="B1172" s="273"/>
      <c r="C1172" s="273"/>
      <c r="D1172" s="274"/>
      <c r="E1172" s="274"/>
      <c r="F1172" s="274"/>
      <c r="G1172" s="247"/>
      <c r="H1172" s="247"/>
      <c r="I1172" s="247"/>
      <c r="J1172" s="247"/>
      <c r="K1172" s="272"/>
    </row>
    <row r="1173">
      <c r="A1173" s="272"/>
      <c r="B1173" s="273"/>
      <c r="C1173" s="273"/>
      <c r="D1173" s="274"/>
      <c r="E1173" s="274"/>
      <c r="F1173" s="274"/>
      <c r="G1173" s="247"/>
      <c r="H1173" s="247"/>
      <c r="I1173" s="247"/>
      <c r="J1173" s="247"/>
      <c r="K1173" s="272"/>
    </row>
    <row r="1174">
      <c r="A1174" s="272"/>
      <c r="B1174" s="273"/>
      <c r="C1174" s="273"/>
      <c r="D1174" s="274"/>
      <c r="E1174" s="274"/>
      <c r="F1174" s="274"/>
      <c r="G1174" s="247"/>
      <c r="H1174" s="247"/>
      <c r="I1174" s="247"/>
      <c r="J1174" s="247"/>
      <c r="K1174" s="272"/>
    </row>
    <row r="1175">
      <c r="A1175" s="272"/>
      <c r="B1175" s="273"/>
      <c r="C1175" s="273"/>
      <c r="D1175" s="274"/>
      <c r="E1175" s="274"/>
      <c r="F1175" s="274"/>
      <c r="G1175" s="247"/>
      <c r="H1175" s="247"/>
      <c r="I1175" s="247"/>
      <c r="J1175" s="247"/>
      <c r="K1175" s="272"/>
    </row>
    <row r="1176">
      <c r="A1176" s="272"/>
      <c r="B1176" s="273"/>
      <c r="C1176" s="273"/>
      <c r="D1176" s="274"/>
      <c r="E1176" s="274"/>
      <c r="F1176" s="274"/>
      <c r="G1176" s="247"/>
      <c r="H1176" s="247"/>
      <c r="I1176" s="247"/>
      <c r="J1176" s="247"/>
      <c r="K1176" s="272"/>
    </row>
    <row r="1177">
      <c r="A1177" s="272"/>
      <c r="B1177" s="273"/>
      <c r="C1177" s="273"/>
      <c r="D1177" s="274"/>
      <c r="E1177" s="274"/>
      <c r="F1177" s="274"/>
      <c r="G1177" s="247"/>
      <c r="H1177" s="247"/>
      <c r="I1177" s="247"/>
      <c r="J1177" s="247"/>
      <c r="K1177" s="272"/>
    </row>
    <row r="1178">
      <c r="A1178" s="272"/>
      <c r="B1178" s="273"/>
      <c r="C1178" s="273"/>
      <c r="D1178" s="274"/>
      <c r="E1178" s="274"/>
      <c r="F1178" s="274"/>
      <c r="G1178" s="247"/>
      <c r="H1178" s="247"/>
      <c r="I1178" s="247"/>
      <c r="J1178" s="247"/>
      <c r="K1178" s="272"/>
    </row>
    <row r="1179">
      <c r="A1179" s="272"/>
      <c r="B1179" s="273"/>
      <c r="C1179" s="273"/>
      <c r="D1179" s="274"/>
      <c r="E1179" s="274"/>
      <c r="F1179" s="274"/>
      <c r="G1179" s="247"/>
      <c r="H1179" s="247"/>
      <c r="I1179" s="247"/>
      <c r="J1179" s="247"/>
      <c r="K1179" s="272"/>
    </row>
    <row r="1180">
      <c r="A1180" s="272"/>
      <c r="B1180" s="273"/>
      <c r="C1180" s="273"/>
      <c r="D1180" s="274"/>
      <c r="E1180" s="274"/>
      <c r="F1180" s="274"/>
      <c r="G1180" s="247"/>
      <c r="H1180" s="247"/>
      <c r="I1180" s="247"/>
      <c r="J1180" s="247"/>
      <c r="K1180" s="272"/>
    </row>
    <row r="1181">
      <c r="A1181" s="272"/>
      <c r="B1181" s="273"/>
      <c r="C1181" s="273"/>
      <c r="D1181" s="274"/>
      <c r="E1181" s="274"/>
      <c r="F1181" s="274"/>
      <c r="G1181" s="247"/>
      <c r="H1181" s="247"/>
      <c r="I1181" s="247"/>
      <c r="J1181" s="247"/>
      <c r="K1181" s="272"/>
    </row>
    <row r="1182">
      <c r="A1182" s="272"/>
      <c r="B1182" s="273"/>
      <c r="C1182" s="273"/>
      <c r="D1182" s="274"/>
      <c r="E1182" s="274"/>
      <c r="F1182" s="274"/>
      <c r="G1182" s="247"/>
      <c r="H1182" s="247"/>
      <c r="I1182" s="247"/>
      <c r="J1182" s="247"/>
      <c r="K1182" s="272"/>
    </row>
    <row r="1183">
      <c r="A1183" s="272"/>
      <c r="B1183" s="273"/>
      <c r="C1183" s="273"/>
      <c r="D1183" s="274"/>
      <c r="E1183" s="274"/>
      <c r="F1183" s="274"/>
      <c r="G1183" s="247"/>
      <c r="H1183" s="247"/>
      <c r="I1183" s="247"/>
      <c r="J1183" s="247"/>
      <c r="K1183" s="272"/>
    </row>
    <row r="1184">
      <c r="A1184" s="272"/>
      <c r="B1184" s="273"/>
      <c r="C1184" s="273"/>
      <c r="D1184" s="274"/>
      <c r="E1184" s="274"/>
      <c r="F1184" s="274"/>
      <c r="G1184" s="247"/>
      <c r="H1184" s="247"/>
      <c r="I1184" s="247"/>
      <c r="J1184" s="247"/>
      <c r="K1184" s="272"/>
    </row>
    <row r="1185">
      <c r="A1185" s="272"/>
      <c r="B1185" s="273"/>
      <c r="C1185" s="273"/>
      <c r="D1185" s="274"/>
      <c r="E1185" s="274"/>
      <c r="F1185" s="274"/>
      <c r="G1185" s="247"/>
      <c r="H1185" s="247"/>
      <c r="I1185" s="247"/>
      <c r="J1185" s="247"/>
      <c r="K1185" s="272"/>
    </row>
    <row r="1186">
      <c r="A1186" s="272"/>
      <c r="B1186" s="273"/>
      <c r="C1186" s="273"/>
      <c r="D1186" s="274"/>
      <c r="E1186" s="274"/>
      <c r="F1186" s="274"/>
      <c r="G1186" s="247"/>
      <c r="H1186" s="247"/>
      <c r="I1186" s="247"/>
      <c r="J1186" s="247"/>
      <c r="K1186" s="272"/>
    </row>
    <row r="1187">
      <c r="A1187" s="272"/>
      <c r="B1187" s="273"/>
      <c r="C1187" s="273"/>
      <c r="D1187" s="274"/>
      <c r="E1187" s="274"/>
      <c r="F1187" s="274"/>
      <c r="G1187" s="247"/>
      <c r="H1187" s="247"/>
      <c r="I1187" s="247"/>
      <c r="J1187" s="247"/>
      <c r="K1187" s="272"/>
    </row>
    <row r="1188">
      <c r="A1188" s="272"/>
      <c r="B1188" s="273"/>
      <c r="C1188" s="273"/>
      <c r="D1188" s="274"/>
      <c r="E1188" s="274"/>
      <c r="F1188" s="274"/>
      <c r="G1188" s="247"/>
      <c r="H1188" s="247"/>
      <c r="I1188" s="247"/>
      <c r="J1188" s="247"/>
      <c r="K1188" s="272"/>
    </row>
    <row r="1189">
      <c r="A1189" s="272"/>
      <c r="B1189" s="273"/>
      <c r="C1189" s="273"/>
      <c r="D1189" s="274"/>
      <c r="E1189" s="274"/>
      <c r="F1189" s="274"/>
      <c r="G1189" s="247"/>
      <c r="H1189" s="247"/>
      <c r="I1189" s="247"/>
      <c r="J1189" s="247"/>
      <c r="K1189" s="272"/>
    </row>
    <row r="1190">
      <c r="A1190" s="272"/>
      <c r="B1190" s="273"/>
      <c r="C1190" s="273"/>
      <c r="D1190" s="274"/>
      <c r="E1190" s="274"/>
      <c r="F1190" s="274"/>
      <c r="G1190" s="247"/>
      <c r="H1190" s="247"/>
      <c r="I1190" s="247"/>
      <c r="J1190" s="247"/>
      <c r="K1190" s="272"/>
    </row>
    <row r="1191">
      <c r="A1191" s="264"/>
      <c r="B1191" s="303"/>
      <c r="C1191" s="303"/>
      <c r="D1191" s="304"/>
      <c r="E1191" s="304"/>
      <c r="F1191" s="304"/>
      <c r="G1191" s="267"/>
      <c r="H1191" s="267"/>
      <c r="I1191" s="267"/>
      <c r="J1191" s="267"/>
      <c r="K1191" s="264"/>
    </row>
    <row r="1192">
      <c r="A1192" s="264"/>
      <c r="B1192" s="303"/>
      <c r="C1192" s="303"/>
      <c r="D1192" s="304"/>
      <c r="E1192" s="304"/>
      <c r="F1192" s="304"/>
      <c r="G1192" s="267"/>
      <c r="H1192" s="267"/>
      <c r="I1192" s="267"/>
      <c r="J1192" s="267"/>
      <c r="K1192" s="264"/>
    </row>
    <row r="1193">
      <c r="A1193" s="264"/>
      <c r="B1193" s="303"/>
      <c r="C1193" s="303"/>
      <c r="D1193" s="304"/>
      <c r="E1193" s="304"/>
      <c r="F1193" s="304"/>
      <c r="G1193" s="267"/>
      <c r="H1193" s="267"/>
      <c r="I1193" s="267"/>
      <c r="J1193" s="267"/>
      <c r="K1193" s="264"/>
    </row>
    <row r="1194">
      <c r="A1194" s="264"/>
      <c r="B1194" s="303"/>
      <c r="C1194" s="303"/>
      <c r="D1194" s="304"/>
      <c r="E1194" s="304"/>
      <c r="F1194" s="304"/>
      <c r="G1194" s="267"/>
      <c r="H1194" s="267"/>
      <c r="I1194" s="267"/>
      <c r="J1194" s="267"/>
      <c r="K1194" s="264"/>
    </row>
    <row r="1195">
      <c r="A1195" s="264"/>
      <c r="B1195" s="303"/>
      <c r="C1195" s="303"/>
      <c r="D1195" s="304"/>
      <c r="E1195" s="304"/>
      <c r="F1195" s="304"/>
      <c r="G1195" s="267"/>
      <c r="H1195" s="267"/>
      <c r="I1195" s="267"/>
      <c r="J1195" s="267"/>
      <c r="K1195" s="264"/>
    </row>
    <row r="1196">
      <c r="A1196" s="264"/>
      <c r="B1196" s="303"/>
      <c r="C1196" s="303"/>
      <c r="D1196" s="304"/>
      <c r="E1196" s="304"/>
      <c r="F1196" s="304"/>
      <c r="G1196" s="267"/>
      <c r="H1196" s="267"/>
      <c r="I1196" s="267"/>
      <c r="J1196" s="267"/>
      <c r="K1196" s="264"/>
    </row>
    <row r="1197">
      <c r="A1197" s="264"/>
      <c r="B1197" s="303"/>
      <c r="C1197" s="303"/>
      <c r="D1197" s="304"/>
      <c r="E1197" s="304"/>
      <c r="F1197" s="304"/>
      <c r="G1197" s="267"/>
      <c r="H1197" s="267"/>
      <c r="I1197" s="267"/>
      <c r="J1197" s="267"/>
      <c r="K1197" s="264"/>
    </row>
    <row r="1198">
      <c r="A1198" s="264"/>
      <c r="B1198" s="303"/>
      <c r="C1198" s="303"/>
      <c r="D1198" s="304"/>
      <c r="E1198" s="304"/>
      <c r="F1198" s="304"/>
      <c r="G1198" s="267"/>
      <c r="H1198" s="267"/>
      <c r="I1198" s="267"/>
      <c r="J1198" s="267"/>
      <c r="K1198" s="264"/>
    </row>
    <row r="1199">
      <c r="A1199" s="264"/>
      <c r="B1199" s="303"/>
      <c r="C1199" s="303"/>
      <c r="D1199" s="304"/>
      <c r="E1199" s="304"/>
      <c r="F1199" s="304"/>
      <c r="G1199" s="267"/>
      <c r="H1199" s="267"/>
      <c r="I1199" s="267"/>
      <c r="J1199" s="267"/>
      <c r="K1199" s="264"/>
    </row>
    <row r="1200">
      <c r="A1200" s="264"/>
      <c r="B1200" s="303"/>
      <c r="C1200" s="303"/>
      <c r="D1200" s="304"/>
      <c r="E1200" s="304"/>
      <c r="F1200" s="304"/>
      <c r="G1200" s="267"/>
      <c r="H1200" s="267"/>
      <c r="I1200" s="267"/>
      <c r="J1200" s="267"/>
      <c r="K1200" s="264"/>
    </row>
    <row r="1201">
      <c r="A1201" s="264"/>
      <c r="B1201" s="303"/>
      <c r="C1201" s="303"/>
      <c r="D1201" s="304"/>
      <c r="E1201" s="304"/>
      <c r="F1201" s="304"/>
      <c r="G1201" s="267"/>
      <c r="H1201" s="267"/>
      <c r="I1201" s="267"/>
      <c r="J1201" s="267"/>
      <c r="K1201" s="264"/>
    </row>
    <row r="1202">
      <c r="A1202" s="264"/>
      <c r="B1202" s="303"/>
      <c r="C1202" s="303"/>
      <c r="D1202" s="304"/>
      <c r="E1202" s="304"/>
      <c r="F1202" s="304"/>
      <c r="G1202" s="267"/>
      <c r="H1202" s="267"/>
      <c r="I1202" s="267"/>
      <c r="J1202" s="267"/>
      <c r="K1202" s="264"/>
    </row>
    <row r="1203">
      <c r="A1203" s="264"/>
      <c r="B1203" s="303"/>
      <c r="C1203" s="303"/>
      <c r="D1203" s="304"/>
      <c r="E1203" s="304"/>
      <c r="F1203" s="304"/>
      <c r="G1203" s="267"/>
      <c r="H1203" s="267"/>
      <c r="I1203" s="267"/>
      <c r="J1203" s="267"/>
      <c r="K1203" s="264"/>
    </row>
    <row r="1204">
      <c r="A1204" s="264"/>
      <c r="B1204" s="303"/>
      <c r="C1204" s="303"/>
      <c r="D1204" s="304"/>
      <c r="E1204" s="304"/>
      <c r="F1204" s="304"/>
      <c r="G1204" s="267"/>
      <c r="H1204" s="267"/>
      <c r="I1204" s="267"/>
      <c r="J1204" s="267"/>
      <c r="K1204" s="264"/>
    </row>
    <row r="1205">
      <c r="A1205" s="264"/>
      <c r="B1205" s="303"/>
      <c r="C1205" s="303"/>
      <c r="D1205" s="304"/>
      <c r="E1205" s="304"/>
      <c r="F1205" s="304"/>
      <c r="G1205" s="267"/>
      <c r="H1205" s="267"/>
      <c r="I1205" s="267"/>
      <c r="J1205" s="267"/>
      <c r="K1205" s="264"/>
    </row>
    <row r="1206">
      <c r="A1206" s="264"/>
      <c r="B1206" s="303"/>
      <c r="C1206" s="303"/>
      <c r="D1206" s="304"/>
      <c r="E1206" s="304"/>
      <c r="F1206" s="304"/>
      <c r="G1206" s="267"/>
      <c r="H1206" s="267"/>
      <c r="I1206" s="267"/>
      <c r="J1206" s="267"/>
      <c r="K1206" s="264"/>
    </row>
    <row r="1207">
      <c r="A1207" s="264"/>
      <c r="B1207" s="303"/>
      <c r="C1207" s="303"/>
      <c r="D1207" s="304"/>
      <c r="E1207" s="304"/>
      <c r="F1207" s="304"/>
      <c r="G1207" s="267"/>
      <c r="H1207" s="267"/>
      <c r="I1207" s="267"/>
      <c r="J1207" s="267"/>
      <c r="K1207" s="264"/>
    </row>
    <row r="1208">
      <c r="A1208" s="264"/>
      <c r="B1208" s="303"/>
      <c r="C1208" s="303"/>
      <c r="D1208" s="304"/>
      <c r="E1208" s="304"/>
      <c r="F1208" s="304"/>
      <c r="G1208" s="267"/>
      <c r="H1208" s="267"/>
      <c r="I1208" s="267"/>
      <c r="J1208" s="267"/>
      <c r="K1208" s="264"/>
    </row>
    <row r="1209">
      <c r="A1209" s="264"/>
      <c r="B1209" s="303"/>
      <c r="C1209" s="303"/>
      <c r="D1209" s="304"/>
      <c r="E1209" s="304"/>
      <c r="F1209" s="304"/>
      <c r="G1209" s="267"/>
      <c r="H1209" s="267"/>
      <c r="I1209" s="267"/>
      <c r="J1209" s="267"/>
      <c r="K1209" s="264"/>
    </row>
    <row r="1210">
      <c r="A1210" s="264"/>
      <c r="B1210" s="303"/>
      <c r="C1210" s="303"/>
      <c r="D1210" s="304"/>
      <c r="E1210" s="304"/>
      <c r="F1210" s="304"/>
      <c r="G1210" s="267"/>
      <c r="H1210" s="267"/>
      <c r="I1210" s="267"/>
      <c r="J1210" s="267"/>
      <c r="K1210" s="264"/>
    </row>
    <row r="1211">
      <c r="A1211" s="264"/>
      <c r="B1211" s="303"/>
      <c r="C1211" s="303"/>
      <c r="D1211" s="304"/>
      <c r="E1211" s="304"/>
      <c r="F1211" s="304"/>
      <c r="G1211" s="267"/>
      <c r="H1211" s="267"/>
      <c r="I1211" s="267"/>
      <c r="J1211" s="267"/>
      <c r="K1211" s="264"/>
    </row>
    <row r="1212">
      <c r="A1212" s="264"/>
      <c r="B1212" s="303"/>
      <c r="C1212" s="303"/>
      <c r="D1212" s="304"/>
      <c r="E1212" s="304"/>
      <c r="F1212" s="304"/>
      <c r="G1212" s="267"/>
      <c r="H1212" s="267"/>
      <c r="I1212" s="267"/>
      <c r="J1212" s="267"/>
      <c r="K1212" s="264"/>
    </row>
    <row r="1213">
      <c r="A1213" s="264"/>
      <c r="B1213" s="303"/>
      <c r="C1213" s="303"/>
      <c r="D1213" s="304"/>
      <c r="E1213" s="304"/>
      <c r="F1213" s="304"/>
      <c r="G1213" s="267"/>
      <c r="H1213" s="267"/>
      <c r="I1213" s="267"/>
      <c r="J1213" s="267"/>
      <c r="K1213" s="264"/>
    </row>
    <row r="1214">
      <c r="A1214" s="264"/>
      <c r="B1214" s="303"/>
      <c r="C1214" s="303"/>
      <c r="D1214" s="304"/>
      <c r="E1214" s="304"/>
      <c r="F1214" s="304"/>
      <c r="G1214" s="267"/>
      <c r="H1214" s="267"/>
      <c r="I1214" s="267"/>
      <c r="J1214" s="267"/>
      <c r="K1214" s="264"/>
    </row>
    <row r="1215">
      <c r="A1215" s="264"/>
      <c r="B1215" s="303"/>
      <c r="C1215" s="303"/>
      <c r="D1215" s="304"/>
      <c r="E1215" s="304"/>
      <c r="F1215" s="304"/>
      <c r="G1215" s="267"/>
      <c r="H1215" s="267"/>
      <c r="I1215" s="267"/>
      <c r="J1215" s="267"/>
      <c r="K1215" s="264"/>
    </row>
    <row r="1216">
      <c r="A1216" s="264"/>
      <c r="B1216" s="303"/>
      <c r="C1216" s="303"/>
      <c r="D1216" s="304"/>
      <c r="E1216" s="304"/>
      <c r="F1216" s="304"/>
      <c r="G1216" s="267"/>
      <c r="H1216" s="267"/>
      <c r="I1216" s="267"/>
      <c r="J1216" s="267"/>
      <c r="K1216" s="264"/>
    </row>
    <row r="1217">
      <c r="A1217" s="264"/>
      <c r="B1217" s="303"/>
      <c r="C1217" s="303"/>
      <c r="D1217" s="304"/>
      <c r="E1217" s="304"/>
      <c r="F1217" s="304"/>
      <c r="G1217" s="267"/>
      <c r="H1217" s="267"/>
      <c r="I1217" s="267"/>
      <c r="J1217" s="267"/>
      <c r="K1217" s="264"/>
    </row>
    <row r="1218">
      <c r="A1218" s="264"/>
      <c r="B1218" s="303"/>
      <c r="C1218" s="303"/>
      <c r="D1218" s="304"/>
      <c r="E1218" s="304"/>
      <c r="F1218" s="304"/>
      <c r="G1218" s="267"/>
      <c r="H1218" s="267"/>
      <c r="I1218" s="267"/>
      <c r="J1218" s="267"/>
      <c r="K1218" s="264"/>
    </row>
    <row r="1219">
      <c r="A1219" s="264"/>
      <c r="B1219" s="303"/>
      <c r="C1219" s="303"/>
      <c r="D1219" s="304"/>
      <c r="E1219" s="304"/>
      <c r="F1219" s="304"/>
      <c r="G1219" s="267"/>
      <c r="H1219" s="267"/>
      <c r="I1219" s="267"/>
      <c r="J1219" s="267"/>
      <c r="K1219" s="264"/>
    </row>
    <row r="1220">
      <c r="A1220" s="264"/>
      <c r="B1220" s="303"/>
      <c r="C1220" s="303"/>
      <c r="D1220" s="304"/>
      <c r="E1220" s="304"/>
      <c r="F1220" s="304"/>
      <c r="G1220" s="267"/>
      <c r="H1220" s="267"/>
      <c r="I1220" s="267"/>
      <c r="J1220" s="267"/>
      <c r="K1220" s="264"/>
    </row>
    <row r="1221">
      <c r="A1221" s="264"/>
      <c r="B1221" s="303"/>
      <c r="C1221" s="303"/>
      <c r="D1221" s="304"/>
      <c r="E1221" s="304"/>
      <c r="F1221" s="304"/>
      <c r="G1221" s="267"/>
      <c r="H1221" s="267"/>
      <c r="I1221" s="267"/>
      <c r="J1221" s="267"/>
      <c r="K1221" s="264"/>
    </row>
    <row r="1222">
      <c r="A1222" s="264"/>
      <c r="B1222" s="303"/>
      <c r="C1222" s="303"/>
      <c r="D1222" s="304"/>
      <c r="E1222" s="304"/>
      <c r="F1222" s="304"/>
      <c r="G1222" s="267"/>
      <c r="H1222" s="267"/>
      <c r="I1222" s="267"/>
      <c r="J1222" s="267"/>
      <c r="K1222" s="264"/>
    </row>
    <row r="1223">
      <c r="A1223" s="264"/>
      <c r="B1223" s="303"/>
      <c r="C1223" s="303"/>
      <c r="D1223" s="304"/>
      <c r="E1223" s="304"/>
      <c r="F1223" s="304"/>
      <c r="G1223" s="267"/>
      <c r="H1223" s="267"/>
      <c r="I1223" s="267"/>
      <c r="J1223" s="267"/>
      <c r="K1223" s="264"/>
    </row>
    <row r="1224">
      <c r="A1224" s="264"/>
      <c r="B1224" s="303"/>
      <c r="C1224" s="303"/>
      <c r="D1224" s="304"/>
      <c r="E1224" s="304"/>
      <c r="F1224" s="304"/>
      <c r="G1224" s="267"/>
      <c r="H1224" s="267"/>
      <c r="I1224" s="267"/>
      <c r="J1224" s="267"/>
      <c r="K1224" s="264"/>
    </row>
    <row r="1225">
      <c r="A1225" s="264"/>
      <c r="B1225" s="303"/>
      <c r="C1225" s="303"/>
      <c r="D1225" s="304"/>
      <c r="E1225" s="304"/>
      <c r="F1225" s="304"/>
      <c r="G1225" s="267"/>
      <c r="H1225" s="267"/>
      <c r="I1225" s="267"/>
      <c r="J1225" s="267"/>
      <c r="K1225" s="264"/>
    </row>
    <row r="1226">
      <c r="A1226" s="264"/>
      <c r="B1226" s="303"/>
      <c r="C1226" s="303"/>
      <c r="D1226" s="304"/>
      <c r="E1226" s="304"/>
      <c r="F1226" s="304"/>
      <c r="G1226" s="267"/>
      <c r="H1226" s="267"/>
      <c r="I1226" s="267"/>
      <c r="J1226" s="267"/>
      <c r="K1226" s="264"/>
    </row>
    <row r="1227">
      <c r="A1227" s="264"/>
      <c r="B1227" s="303"/>
      <c r="C1227" s="303"/>
      <c r="D1227" s="304"/>
      <c r="E1227" s="304"/>
      <c r="F1227" s="304"/>
      <c r="G1227" s="267"/>
      <c r="H1227" s="267"/>
      <c r="I1227" s="267"/>
      <c r="J1227" s="267"/>
      <c r="K1227" s="264"/>
    </row>
    <row r="1228">
      <c r="A1228" s="264"/>
      <c r="B1228" s="303"/>
      <c r="C1228" s="303"/>
      <c r="D1228" s="304"/>
      <c r="E1228" s="304"/>
      <c r="F1228" s="304"/>
      <c r="G1228" s="267"/>
      <c r="H1228" s="267"/>
      <c r="I1228" s="267"/>
      <c r="J1228" s="267"/>
      <c r="K1228" s="264"/>
    </row>
    <row r="1229">
      <c r="A1229" s="264"/>
      <c r="B1229" s="303"/>
      <c r="C1229" s="303"/>
      <c r="D1229" s="304"/>
      <c r="E1229" s="304"/>
      <c r="F1229" s="304"/>
      <c r="G1229" s="267"/>
      <c r="H1229" s="267"/>
      <c r="I1229" s="267"/>
      <c r="J1229" s="267"/>
      <c r="K1229" s="264"/>
    </row>
    <row r="1230">
      <c r="A1230" s="264"/>
      <c r="B1230" s="303"/>
      <c r="C1230" s="303"/>
      <c r="D1230" s="304"/>
      <c r="E1230" s="304"/>
      <c r="F1230" s="304"/>
      <c r="G1230" s="267"/>
      <c r="H1230" s="267"/>
      <c r="I1230" s="267"/>
      <c r="J1230" s="267"/>
      <c r="K1230" s="264"/>
    </row>
    <row r="1231">
      <c r="A1231" s="264"/>
      <c r="B1231" s="303"/>
      <c r="C1231" s="303"/>
      <c r="D1231" s="304"/>
      <c r="E1231" s="304"/>
      <c r="F1231" s="304"/>
      <c r="G1231" s="267"/>
      <c r="H1231" s="267"/>
      <c r="I1231" s="267"/>
      <c r="J1231" s="267"/>
      <c r="K1231" s="264"/>
    </row>
    <row r="1232">
      <c r="A1232" s="264"/>
      <c r="B1232" s="303"/>
      <c r="C1232" s="303"/>
      <c r="D1232" s="304"/>
      <c r="E1232" s="304"/>
      <c r="F1232" s="304"/>
      <c r="G1232" s="267"/>
      <c r="H1232" s="267"/>
      <c r="I1232" s="267"/>
      <c r="J1232" s="267"/>
      <c r="K1232" s="264"/>
    </row>
    <row r="1233">
      <c r="A1233" s="264"/>
      <c r="B1233" s="303"/>
      <c r="C1233" s="303"/>
      <c r="D1233" s="304"/>
      <c r="E1233" s="304"/>
      <c r="F1233" s="304"/>
      <c r="G1233" s="267"/>
      <c r="H1233" s="267"/>
      <c r="I1233" s="267"/>
      <c r="J1233" s="267"/>
      <c r="K1233" s="264"/>
    </row>
    <row r="1234">
      <c r="A1234" s="264"/>
      <c r="B1234" s="303"/>
      <c r="C1234" s="303"/>
      <c r="D1234" s="304"/>
      <c r="E1234" s="304"/>
      <c r="F1234" s="304"/>
      <c r="G1234" s="267"/>
      <c r="H1234" s="267"/>
      <c r="I1234" s="267"/>
      <c r="J1234" s="267"/>
      <c r="K1234" s="264"/>
    </row>
    <row r="1235">
      <c r="A1235" s="264"/>
      <c r="B1235" s="303"/>
      <c r="C1235" s="303"/>
      <c r="D1235" s="304"/>
      <c r="E1235" s="304"/>
      <c r="F1235" s="304"/>
      <c r="G1235" s="267"/>
      <c r="H1235" s="267"/>
      <c r="I1235" s="267"/>
      <c r="J1235" s="267"/>
      <c r="K1235" s="264"/>
    </row>
    <row r="1236">
      <c r="A1236" s="264"/>
      <c r="B1236" s="303"/>
      <c r="C1236" s="303"/>
      <c r="D1236" s="304"/>
      <c r="E1236" s="304"/>
      <c r="F1236" s="304"/>
      <c r="G1236" s="267"/>
      <c r="H1236" s="267"/>
      <c r="I1236" s="267"/>
      <c r="J1236" s="267"/>
      <c r="K1236" s="264"/>
    </row>
    <row r="1237">
      <c r="A1237" s="264"/>
      <c r="B1237" s="303"/>
      <c r="C1237" s="303"/>
      <c r="D1237" s="304"/>
      <c r="E1237" s="304"/>
      <c r="F1237" s="304"/>
      <c r="G1237" s="267"/>
      <c r="H1237" s="267"/>
      <c r="I1237" s="267"/>
      <c r="J1237" s="267"/>
      <c r="K1237" s="264"/>
    </row>
    <row r="1238">
      <c r="A1238" s="264"/>
      <c r="B1238" s="303"/>
      <c r="C1238" s="303"/>
      <c r="D1238" s="304"/>
      <c r="E1238" s="304"/>
      <c r="F1238" s="304"/>
      <c r="G1238" s="267"/>
      <c r="H1238" s="267"/>
      <c r="I1238" s="267"/>
      <c r="J1238" s="267"/>
      <c r="K1238" s="264"/>
    </row>
    <row r="1239">
      <c r="A1239" s="264"/>
      <c r="B1239" s="303"/>
      <c r="C1239" s="303"/>
      <c r="D1239" s="304"/>
      <c r="E1239" s="304"/>
      <c r="F1239" s="304"/>
      <c r="G1239" s="267"/>
      <c r="H1239" s="267"/>
      <c r="I1239" s="267"/>
      <c r="J1239" s="267"/>
      <c r="K1239" s="264"/>
    </row>
    <row r="1240">
      <c r="A1240" s="264"/>
      <c r="B1240" s="303"/>
      <c r="C1240" s="303"/>
      <c r="D1240" s="304"/>
      <c r="E1240" s="304"/>
      <c r="F1240" s="304"/>
      <c r="G1240" s="267"/>
      <c r="H1240" s="267"/>
      <c r="I1240" s="267"/>
      <c r="J1240" s="267"/>
      <c r="K1240" s="264"/>
    </row>
    <row r="1241">
      <c r="A1241" s="264"/>
      <c r="B1241" s="303"/>
      <c r="C1241" s="303"/>
      <c r="D1241" s="304"/>
      <c r="E1241" s="304"/>
      <c r="F1241" s="304"/>
      <c r="G1241" s="267"/>
      <c r="H1241" s="267"/>
      <c r="I1241" s="267"/>
      <c r="J1241" s="267"/>
      <c r="K1241" s="264"/>
    </row>
    <row r="1242">
      <c r="A1242" s="264"/>
      <c r="B1242" s="303"/>
      <c r="C1242" s="303"/>
      <c r="D1242" s="304"/>
      <c r="E1242" s="304"/>
      <c r="F1242" s="304"/>
      <c r="G1242" s="267"/>
      <c r="H1242" s="267"/>
      <c r="I1242" s="267"/>
      <c r="J1242" s="267"/>
      <c r="K1242" s="264"/>
    </row>
    <row r="1243">
      <c r="A1243" s="264"/>
      <c r="B1243" s="303"/>
      <c r="C1243" s="303"/>
      <c r="D1243" s="304"/>
      <c r="E1243" s="304"/>
      <c r="F1243" s="304"/>
      <c r="G1243" s="267"/>
      <c r="H1243" s="267"/>
      <c r="I1243" s="267"/>
      <c r="J1243" s="267"/>
      <c r="K1243" s="264"/>
    </row>
    <row r="1244">
      <c r="A1244" s="264"/>
      <c r="B1244" s="303"/>
      <c r="C1244" s="303"/>
      <c r="D1244" s="304"/>
      <c r="E1244" s="304"/>
      <c r="F1244" s="304"/>
      <c r="G1244" s="267"/>
      <c r="H1244" s="267"/>
      <c r="I1244" s="267"/>
      <c r="J1244" s="267"/>
      <c r="K1244" s="264"/>
    </row>
    <row r="1245">
      <c r="A1245" s="264"/>
      <c r="B1245" s="303"/>
      <c r="C1245" s="303"/>
      <c r="D1245" s="304"/>
      <c r="E1245" s="304"/>
      <c r="F1245" s="304"/>
      <c r="G1245" s="267"/>
      <c r="H1245" s="267"/>
      <c r="I1245" s="267"/>
      <c r="J1245" s="267"/>
      <c r="K1245" s="264"/>
    </row>
    <row r="1246">
      <c r="A1246" s="264"/>
      <c r="B1246" s="303"/>
      <c r="C1246" s="303"/>
      <c r="D1246" s="304"/>
      <c r="E1246" s="304"/>
      <c r="F1246" s="304"/>
      <c r="G1246" s="267"/>
      <c r="H1246" s="267"/>
      <c r="I1246" s="267"/>
      <c r="J1246" s="267"/>
      <c r="K1246" s="264"/>
    </row>
    <row r="1247">
      <c r="A1247" s="264"/>
      <c r="B1247" s="303"/>
      <c r="C1247" s="303"/>
      <c r="D1247" s="304"/>
      <c r="E1247" s="304"/>
      <c r="F1247" s="304"/>
      <c r="G1247" s="267"/>
      <c r="H1247" s="267"/>
      <c r="I1247" s="267"/>
      <c r="J1247" s="267"/>
      <c r="K1247" s="264"/>
    </row>
    <row r="1248">
      <c r="A1248" s="264"/>
      <c r="B1248" s="303"/>
      <c r="C1248" s="303"/>
      <c r="D1248" s="304"/>
      <c r="E1248" s="304"/>
      <c r="F1248" s="304"/>
      <c r="G1248" s="267"/>
      <c r="H1248" s="267"/>
      <c r="I1248" s="267"/>
      <c r="J1248" s="267"/>
      <c r="K1248" s="264"/>
    </row>
    <row r="1249">
      <c r="A1249" s="264"/>
      <c r="B1249" s="303"/>
      <c r="C1249" s="303"/>
      <c r="D1249" s="304"/>
      <c r="E1249" s="304"/>
      <c r="F1249" s="304"/>
      <c r="G1249" s="267"/>
      <c r="H1249" s="267"/>
      <c r="I1249" s="267"/>
      <c r="J1249" s="267"/>
      <c r="K1249" s="264"/>
    </row>
    <row r="1250">
      <c r="A1250" s="264"/>
      <c r="B1250" s="303"/>
      <c r="C1250" s="303"/>
      <c r="D1250" s="304"/>
      <c r="E1250" s="304"/>
      <c r="F1250" s="304"/>
      <c r="G1250" s="267"/>
      <c r="H1250" s="267"/>
      <c r="I1250" s="267"/>
      <c r="J1250" s="267"/>
      <c r="K1250" s="264"/>
    </row>
    <row r="1251">
      <c r="A1251" s="264"/>
      <c r="B1251" s="303"/>
      <c r="C1251" s="303"/>
      <c r="D1251" s="304"/>
      <c r="E1251" s="304"/>
      <c r="F1251" s="304"/>
      <c r="G1251" s="267"/>
      <c r="H1251" s="267"/>
      <c r="I1251" s="267"/>
      <c r="J1251" s="267"/>
      <c r="K1251" s="264"/>
    </row>
    <row r="1252">
      <c r="A1252" s="264"/>
      <c r="B1252" s="303"/>
      <c r="C1252" s="303"/>
      <c r="D1252" s="304"/>
      <c r="E1252" s="304"/>
      <c r="F1252" s="304"/>
      <c r="G1252" s="267"/>
      <c r="H1252" s="267"/>
      <c r="I1252" s="267"/>
      <c r="J1252" s="267"/>
      <c r="K1252" s="264"/>
    </row>
    <row r="1253">
      <c r="A1253" s="264"/>
      <c r="B1253" s="303"/>
      <c r="C1253" s="303"/>
      <c r="D1253" s="304"/>
      <c r="E1253" s="304"/>
      <c r="F1253" s="304"/>
      <c r="G1253" s="267"/>
      <c r="H1253" s="267"/>
      <c r="I1253" s="267"/>
      <c r="J1253" s="267"/>
      <c r="K1253" s="264"/>
    </row>
    <row r="1254">
      <c r="A1254" s="264"/>
      <c r="B1254" s="303"/>
      <c r="C1254" s="303"/>
      <c r="D1254" s="304"/>
      <c r="E1254" s="304"/>
      <c r="F1254" s="304"/>
      <c r="G1254" s="267"/>
      <c r="H1254" s="267"/>
      <c r="I1254" s="267"/>
      <c r="J1254" s="267"/>
      <c r="K1254" s="264"/>
    </row>
    <row r="1255">
      <c r="A1255" s="264"/>
      <c r="B1255" s="303"/>
      <c r="C1255" s="303"/>
      <c r="D1255" s="304"/>
      <c r="E1255" s="304"/>
      <c r="F1255" s="304"/>
      <c r="G1255" s="267"/>
      <c r="H1255" s="267"/>
      <c r="I1255" s="267"/>
      <c r="J1255" s="267"/>
      <c r="K1255" s="264"/>
    </row>
    <row r="1256">
      <c r="A1256" s="264"/>
      <c r="B1256" s="303"/>
      <c r="C1256" s="303"/>
      <c r="D1256" s="304"/>
      <c r="E1256" s="304"/>
      <c r="F1256" s="304"/>
      <c r="G1256" s="267"/>
      <c r="H1256" s="267"/>
      <c r="I1256" s="267"/>
      <c r="J1256" s="267"/>
      <c r="K1256" s="264"/>
    </row>
    <row r="1257">
      <c r="A1257" s="264"/>
      <c r="B1257" s="303"/>
      <c r="C1257" s="303"/>
      <c r="D1257" s="304"/>
      <c r="E1257" s="304"/>
      <c r="F1257" s="304"/>
      <c r="G1257" s="267"/>
      <c r="H1257" s="267"/>
      <c r="I1257" s="267"/>
      <c r="J1257" s="267"/>
      <c r="K1257" s="264"/>
    </row>
    <row r="1258">
      <c r="A1258" s="264"/>
      <c r="B1258" s="303"/>
      <c r="C1258" s="303"/>
      <c r="D1258" s="304"/>
      <c r="E1258" s="304"/>
      <c r="F1258" s="304"/>
      <c r="G1258" s="267"/>
      <c r="H1258" s="267"/>
      <c r="I1258" s="267"/>
      <c r="J1258" s="267"/>
      <c r="K1258" s="264"/>
    </row>
    <row r="1259">
      <c r="A1259" s="264"/>
      <c r="B1259" s="303"/>
      <c r="C1259" s="303"/>
      <c r="D1259" s="304"/>
      <c r="E1259" s="304"/>
      <c r="F1259" s="304"/>
      <c r="G1259" s="267"/>
      <c r="H1259" s="267"/>
      <c r="I1259" s="267"/>
      <c r="J1259" s="267"/>
      <c r="K1259" s="264"/>
    </row>
    <row r="1260">
      <c r="A1260" s="264"/>
      <c r="B1260" s="303"/>
      <c r="C1260" s="303"/>
      <c r="D1260" s="304"/>
      <c r="E1260" s="304"/>
      <c r="F1260" s="304"/>
      <c r="G1260" s="267"/>
      <c r="H1260" s="267"/>
      <c r="I1260" s="267"/>
      <c r="J1260" s="267"/>
      <c r="K1260" s="264"/>
    </row>
    <row r="1261">
      <c r="A1261" s="264"/>
      <c r="B1261" s="303"/>
      <c r="C1261" s="303"/>
      <c r="D1261" s="304"/>
      <c r="E1261" s="304"/>
      <c r="F1261" s="304"/>
      <c r="G1261" s="267"/>
      <c r="H1261" s="267"/>
      <c r="I1261" s="267"/>
      <c r="J1261" s="267"/>
      <c r="K1261" s="264"/>
    </row>
    <row r="1262">
      <c r="A1262" s="264"/>
      <c r="B1262" s="303"/>
      <c r="C1262" s="303"/>
      <c r="D1262" s="304"/>
      <c r="E1262" s="304"/>
      <c r="F1262" s="304"/>
      <c r="G1262" s="267"/>
      <c r="H1262" s="267"/>
      <c r="I1262" s="267"/>
      <c r="J1262" s="267"/>
      <c r="K1262" s="264"/>
    </row>
    <row r="1263">
      <c r="A1263" s="264"/>
      <c r="B1263" s="303"/>
      <c r="C1263" s="303"/>
      <c r="D1263" s="304"/>
      <c r="E1263" s="304"/>
      <c r="F1263" s="304"/>
      <c r="G1263" s="267"/>
      <c r="H1263" s="267"/>
      <c r="I1263" s="267"/>
      <c r="J1263" s="267"/>
      <c r="K1263" s="264"/>
    </row>
    <row r="1264">
      <c r="A1264" s="264"/>
      <c r="B1264" s="303"/>
      <c r="C1264" s="303"/>
      <c r="D1264" s="304"/>
      <c r="E1264" s="304"/>
      <c r="F1264" s="304"/>
      <c r="G1264" s="267"/>
      <c r="H1264" s="267"/>
      <c r="I1264" s="267"/>
      <c r="J1264" s="267"/>
      <c r="K1264" s="264"/>
    </row>
    <row r="1265">
      <c r="A1265" s="264"/>
      <c r="B1265" s="303"/>
      <c r="C1265" s="303"/>
      <c r="D1265" s="304"/>
      <c r="E1265" s="304"/>
      <c r="F1265" s="304"/>
      <c r="G1265" s="267"/>
      <c r="H1265" s="267"/>
      <c r="I1265" s="267"/>
      <c r="J1265" s="267"/>
      <c r="K1265" s="264"/>
    </row>
    <row r="1266">
      <c r="A1266" s="264"/>
      <c r="B1266" s="303"/>
      <c r="C1266" s="303"/>
      <c r="D1266" s="304"/>
      <c r="E1266" s="304"/>
      <c r="F1266" s="304"/>
      <c r="G1266" s="267"/>
      <c r="H1266" s="267"/>
      <c r="I1266" s="267"/>
      <c r="J1266" s="267"/>
      <c r="K1266" s="264"/>
    </row>
    <row r="1267">
      <c r="A1267" s="264"/>
      <c r="B1267" s="303"/>
      <c r="C1267" s="303"/>
      <c r="D1267" s="304"/>
      <c r="E1267" s="304"/>
      <c r="F1267" s="304"/>
      <c r="G1267" s="267"/>
      <c r="H1267" s="267"/>
      <c r="I1267" s="267"/>
      <c r="J1267" s="267"/>
      <c r="K1267" s="264"/>
    </row>
    <row r="1268">
      <c r="A1268" s="264"/>
      <c r="B1268" s="303"/>
      <c r="C1268" s="303"/>
      <c r="D1268" s="304"/>
      <c r="E1268" s="304"/>
      <c r="F1268" s="304"/>
      <c r="G1268" s="267"/>
      <c r="H1268" s="267"/>
      <c r="I1268" s="267"/>
      <c r="J1268" s="267"/>
      <c r="K1268" s="264"/>
    </row>
    <row r="1269">
      <c r="A1269" s="264"/>
      <c r="B1269" s="303"/>
      <c r="C1269" s="303"/>
      <c r="D1269" s="304"/>
      <c r="E1269" s="304"/>
      <c r="F1269" s="304"/>
      <c r="G1269" s="267"/>
      <c r="H1269" s="267"/>
      <c r="I1269" s="267"/>
      <c r="J1269" s="267"/>
      <c r="K1269" s="264"/>
    </row>
    <row r="1270">
      <c r="A1270" s="264"/>
      <c r="B1270" s="303"/>
      <c r="C1270" s="303"/>
      <c r="D1270" s="304"/>
      <c r="E1270" s="304"/>
      <c r="F1270" s="304"/>
      <c r="G1270" s="267"/>
      <c r="H1270" s="267"/>
      <c r="I1270" s="267"/>
      <c r="J1270" s="267"/>
      <c r="K1270" s="264"/>
    </row>
    <row r="1271">
      <c r="A1271" s="264"/>
      <c r="B1271" s="303"/>
      <c r="C1271" s="303"/>
      <c r="D1271" s="304"/>
      <c r="E1271" s="304"/>
      <c r="F1271" s="304"/>
      <c r="G1271" s="267"/>
      <c r="H1271" s="267"/>
      <c r="I1271" s="267"/>
      <c r="J1271" s="267"/>
      <c r="K1271" s="264"/>
    </row>
    <row r="1272">
      <c r="A1272" s="264"/>
      <c r="B1272" s="303"/>
      <c r="C1272" s="303"/>
      <c r="D1272" s="304"/>
      <c r="E1272" s="304"/>
      <c r="F1272" s="304"/>
      <c r="G1272" s="267"/>
      <c r="H1272" s="267"/>
      <c r="I1272" s="267"/>
      <c r="J1272" s="267"/>
      <c r="K1272" s="264"/>
    </row>
    <row r="1273">
      <c r="A1273" s="264"/>
      <c r="B1273" s="303"/>
      <c r="C1273" s="303"/>
      <c r="D1273" s="304"/>
      <c r="E1273" s="304"/>
      <c r="F1273" s="304"/>
      <c r="G1273" s="267"/>
      <c r="H1273" s="267"/>
      <c r="I1273" s="267"/>
      <c r="J1273" s="267"/>
      <c r="K1273" s="264"/>
    </row>
    <row r="1274">
      <c r="A1274" s="264"/>
      <c r="B1274" s="303"/>
      <c r="C1274" s="303"/>
      <c r="D1274" s="304"/>
      <c r="E1274" s="304"/>
      <c r="F1274" s="304"/>
      <c r="G1274" s="267"/>
      <c r="H1274" s="267"/>
      <c r="I1274" s="267"/>
      <c r="J1274" s="267"/>
      <c r="K1274" s="264"/>
    </row>
    <row r="1275">
      <c r="A1275" s="264"/>
      <c r="B1275" s="303"/>
      <c r="C1275" s="303"/>
      <c r="D1275" s="304"/>
      <c r="E1275" s="304"/>
      <c r="F1275" s="304"/>
      <c r="G1275" s="267"/>
      <c r="H1275" s="267"/>
      <c r="I1275" s="267"/>
      <c r="J1275" s="267"/>
      <c r="K1275" s="264"/>
    </row>
    <row r="1276">
      <c r="A1276" s="264"/>
      <c r="B1276" s="303"/>
      <c r="C1276" s="303"/>
      <c r="D1276" s="304"/>
      <c r="E1276" s="304"/>
      <c r="F1276" s="304"/>
      <c r="G1276" s="267"/>
      <c r="H1276" s="267"/>
      <c r="I1276" s="267"/>
      <c r="J1276" s="267"/>
      <c r="K1276" s="264"/>
    </row>
    <row r="1277">
      <c r="A1277" s="264"/>
      <c r="B1277" s="303"/>
      <c r="C1277" s="303"/>
      <c r="D1277" s="304"/>
      <c r="E1277" s="304"/>
      <c r="F1277" s="304"/>
      <c r="G1277" s="267"/>
      <c r="H1277" s="267"/>
      <c r="I1277" s="267"/>
      <c r="J1277" s="267"/>
      <c r="K1277" s="264"/>
    </row>
    <row r="1278">
      <c r="A1278" s="264"/>
      <c r="B1278" s="303"/>
      <c r="C1278" s="303"/>
      <c r="D1278" s="304"/>
      <c r="E1278" s="304"/>
      <c r="F1278" s="304"/>
      <c r="G1278" s="267"/>
      <c r="H1278" s="267"/>
      <c r="I1278" s="267"/>
      <c r="J1278" s="267"/>
      <c r="K1278" s="264"/>
    </row>
    <row r="1279">
      <c r="A1279" s="264"/>
      <c r="B1279" s="303"/>
      <c r="C1279" s="303"/>
      <c r="D1279" s="304"/>
      <c r="E1279" s="304"/>
      <c r="F1279" s="304"/>
      <c r="G1279" s="267"/>
      <c r="H1279" s="267"/>
      <c r="I1279" s="267"/>
      <c r="J1279" s="267"/>
      <c r="K1279" s="264"/>
    </row>
    <row r="1280">
      <c r="A1280" s="264"/>
      <c r="B1280" s="303"/>
      <c r="C1280" s="303"/>
      <c r="D1280" s="304"/>
      <c r="E1280" s="304"/>
      <c r="F1280" s="304"/>
      <c r="G1280" s="267"/>
      <c r="H1280" s="267"/>
      <c r="I1280" s="267"/>
      <c r="J1280" s="267"/>
      <c r="K1280" s="264"/>
    </row>
    <row r="1281">
      <c r="A1281" s="264"/>
      <c r="B1281" s="303"/>
      <c r="C1281" s="303"/>
      <c r="D1281" s="304"/>
      <c r="E1281" s="304"/>
      <c r="F1281" s="304"/>
      <c r="G1281" s="267"/>
      <c r="H1281" s="267"/>
      <c r="I1281" s="267"/>
      <c r="J1281" s="267"/>
      <c r="K1281" s="264"/>
    </row>
    <row r="1282">
      <c r="A1282" s="264"/>
      <c r="B1282" s="303"/>
      <c r="C1282" s="303"/>
      <c r="D1282" s="304"/>
      <c r="E1282" s="304"/>
      <c r="F1282" s="304"/>
      <c r="G1282" s="267"/>
      <c r="H1282" s="267"/>
      <c r="I1282" s="267"/>
      <c r="J1282" s="267"/>
      <c r="K1282" s="264"/>
    </row>
    <row r="1283">
      <c r="A1283" s="264"/>
      <c r="B1283" s="303"/>
      <c r="C1283" s="303"/>
      <c r="D1283" s="304"/>
      <c r="E1283" s="304"/>
      <c r="F1283" s="304"/>
      <c r="G1283" s="267"/>
      <c r="H1283" s="267"/>
      <c r="I1283" s="267"/>
      <c r="J1283" s="267"/>
      <c r="K1283" s="264"/>
    </row>
    <row r="1284">
      <c r="A1284" s="264"/>
      <c r="B1284" s="303"/>
      <c r="C1284" s="303"/>
      <c r="D1284" s="304"/>
      <c r="E1284" s="304"/>
      <c r="F1284" s="304"/>
      <c r="G1284" s="267"/>
      <c r="H1284" s="267"/>
      <c r="I1284" s="267"/>
      <c r="J1284" s="267"/>
      <c r="K1284" s="264"/>
    </row>
    <row r="1285">
      <c r="A1285" s="264"/>
      <c r="B1285" s="303"/>
      <c r="C1285" s="303"/>
      <c r="D1285" s="304"/>
      <c r="E1285" s="304"/>
      <c r="F1285" s="304"/>
      <c r="G1285" s="267"/>
      <c r="H1285" s="267"/>
      <c r="I1285" s="267"/>
      <c r="J1285" s="267"/>
      <c r="K1285" s="264"/>
    </row>
    <row r="1286">
      <c r="A1286" s="264"/>
      <c r="B1286" s="303"/>
      <c r="C1286" s="303"/>
      <c r="D1286" s="304"/>
      <c r="E1286" s="304"/>
      <c r="F1286" s="304"/>
      <c r="G1286" s="267"/>
      <c r="H1286" s="267"/>
      <c r="I1286" s="267"/>
      <c r="J1286" s="267"/>
      <c r="K1286" s="264"/>
    </row>
    <row r="1287">
      <c r="A1287" s="264"/>
      <c r="B1287" s="303"/>
      <c r="C1287" s="303"/>
      <c r="D1287" s="304"/>
      <c r="E1287" s="304"/>
      <c r="F1287" s="304"/>
      <c r="G1287" s="267"/>
      <c r="H1287" s="267"/>
      <c r="I1287" s="267"/>
      <c r="J1287" s="267"/>
      <c r="K1287" s="264"/>
    </row>
    <row r="1288">
      <c r="A1288" s="264"/>
      <c r="B1288" s="303"/>
      <c r="C1288" s="303"/>
      <c r="D1288" s="304"/>
      <c r="E1288" s="304"/>
      <c r="F1288" s="304"/>
      <c r="G1288" s="267"/>
      <c r="H1288" s="267"/>
      <c r="I1288" s="267"/>
      <c r="J1288" s="267"/>
      <c r="K1288" s="264"/>
    </row>
    <row r="1289">
      <c r="A1289" s="264"/>
      <c r="B1289" s="303"/>
      <c r="C1289" s="303"/>
      <c r="D1289" s="304"/>
      <c r="E1289" s="304"/>
      <c r="F1289" s="304"/>
      <c r="G1289" s="267"/>
      <c r="H1289" s="267"/>
      <c r="I1289" s="267"/>
      <c r="J1289" s="267"/>
      <c r="K1289" s="264"/>
    </row>
    <row r="1290">
      <c r="A1290" s="264"/>
      <c r="B1290" s="303"/>
      <c r="C1290" s="303"/>
      <c r="D1290" s="304"/>
      <c r="E1290" s="304"/>
      <c r="F1290" s="304"/>
      <c r="G1290" s="267"/>
      <c r="H1290" s="267"/>
      <c r="I1290" s="267"/>
      <c r="J1290" s="267"/>
      <c r="K1290" s="264"/>
    </row>
    <row r="1291">
      <c r="A1291" s="264"/>
      <c r="B1291" s="303"/>
      <c r="C1291" s="303"/>
      <c r="D1291" s="304"/>
      <c r="E1291" s="304"/>
      <c r="F1291" s="304"/>
      <c r="G1291" s="267"/>
      <c r="H1291" s="267"/>
      <c r="I1291" s="267"/>
      <c r="J1291" s="267"/>
      <c r="K1291" s="264"/>
    </row>
    <row r="1292">
      <c r="A1292" s="264"/>
      <c r="B1292" s="303"/>
      <c r="C1292" s="303"/>
      <c r="D1292" s="304"/>
      <c r="E1292" s="304"/>
      <c r="F1292" s="304"/>
      <c r="G1292" s="267"/>
      <c r="H1292" s="267"/>
      <c r="I1292" s="267"/>
      <c r="J1292" s="267"/>
      <c r="K1292" s="264"/>
    </row>
    <row r="1293">
      <c r="A1293" s="264"/>
      <c r="B1293" s="303"/>
      <c r="C1293" s="303"/>
      <c r="D1293" s="304"/>
      <c r="E1293" s="304"/>
      <c r="F1293" s="304"/>
      <c r="G1293" s="267"/>
      <c r="H1293" s="267"/>
      <c r="I1293" s="267"/>
      <c r="J1293" s="267"/>
      <c r="K1293" s="264"/>
    </row>
    <row r="1294">
      <c r="A1294" s="264"/>
      <c r="B1294" s="303"/>
      <c r="C1294" s="303"/>
      <c r="D1294" s="304"/>
      <c r="E1294" s="304"/>
      <c r="F1294" s="304"/>
      <c r="G1294" s="267"/>
      <c r="H1294" s="267"/>
      <c r="I1294" s="267"/>
      <c r="J1294" s="267"/>
      <c r="K1294" s="264"/>
    </row>
    <row r="1295">
      <c r="A1295" s="264"/>
      <c r="B1295" s="303"/>
      <c r="C1295" s="303"/>
      <c r="D1295" s="304"/>
      <c r="E1295" s="304"/>
      <c r="F1295" s="304"/>
      <c r="G1295" s="267"/>
      <c r="H1295" s="267"/>
      <c r="I1295" s="267"/>
      <c r="J1295" s="267"/>
      <c r="K1295" s="264"/>
    </row>
    <row r="1296">
      <c r="A1296" s="264"/>
      <c r="B1296" s="303"/>
      <c r="C1296" s="303"/>
      <c r="D1296" s="304"/>
      <c r="E1296" s="304"/>
      <c r="F1296" s="304"/>
      <c r="G1296" s="267"/>
      <c r="H1296" s="267"/>
      <c r="I1296" s="267"/>
      <c r="J1296" s="267"/>
      <c r="K1296" s="264"/>
    </row>
    <row r="1297">
      <c r="A1297" s="264"/>
      <c r="B1297" s="303"/>
      <c r="C1297" s="303"/>
      <c r="D1297" s="304"/>
      <c r="E1297" s="304"/>
      <c r="F1297" s="304"/>
      <c r="G1297" s="267"/>
      <c r="H1297" s="267"/>
      <c r="I1297" s="267"/>
      <c r="J1297" s="267"/>
      <c r="K1297" s="264"/>
    </row>
    <row r="1298">
      <c r="A1298" s="264"/>
      <c r="B1298" s="303"/>
      <c r="C1298" s="303"/>
      <c r="D1298" s="304"/>
      <c r="E1298" s="304"/>
      <c r="F1298" s="304"/>
      <c r="G1298" s="267"/>
      <c r="H1298" s="267"/>
      <c r="I1298" s="267"/>
      <c r="J1298" s="267"/>
      <c r="K1298" s="264"/>
    </row>
    <row r="1299">
      <c r="A1299" s="264"/>
      <c r="B1299" s="303"/>
      <c r="C1299" s="303"/>
      <c r="D1299" s="304"/>
      <c r="E1299" s="304"/>
      <c r="F1299" s="304"/>
      <c r="G1299" s="267"/>
      <c r="H1299" s="267"/>
      <c r="I1299" s="267"/>
      <c r="J1299" s="267"/>
      <c r="K1299" s="264"/>
    </row>
    <row r="1300">
      <c r="A1300" s="264"/>
      <c r="B1300" s="303"/>
      <c r="C1300" s="303"/>
      <c r="D1300" s="304"/>
      <c r="E1300" s="304"/>
      <c r="F1300" s="304"/>
      <c r="G1300" s="267"/>
      <c r="H1300" s="267"/>
      <c r="I1300" s="267"/>
      <c r="J1300" s="267"/>
      <c r="K1300" s="264"/>
    </row>
    <row r="1301">
      <c r="A1301" s="264"/>
      <c r="B1301" s="303"/>
      <c r="C1301" s="303"/>
      <c r="D1301" s="304"/>
      <c r="E1301" s="304"/>
      <c r="F1301" s="304"/>
      <c r="G1301" s="267"/>
      <c r="H1301" s="267"/>
      <c r="I1301" s="267"/>
      <c r="J1301" s="267"/>
      <c r="K1301" s="264"/>
    </row>
    <row r="1302">
      <c r="A1302" s="264"/>
      <c r="B1302" s="303"/>
      <c r="C1302" s="303"/>
      <c r="D1302" s="304"/>
      <c r="E1302" s="304"/>
      <c r="F1302" s="304"/>
      <c r="G1302" s="267"/>
      <c r="H1302" s="267"/>
      <c r="I1302" s="267"/>
      <c r="J1302" s="267"/>
      <c r="K1302" s="264"/>
    </row>
    <row r="1303">
      <c r="A1303" s="264"/>
      <c r="B1303" s="303"/>
      <c r="C1303" s="303"/>
      <c r="D1303" s="304"/>
      <c r="E1303" s="304"/>
      <c r="F1303" s="304"/>
      <c r="G1303" s="267"/>
      <c r="H1303" s="267"/>
      <c r="I1303" s="267"/>
      <c r="J1303" s="267"/>
      <c r="K1303" s="264"/>
    </row>
    <row r="1304">
      <c r="A1304" s="264"/>
      <c r="B1304" s="303"/>
      <c r="C1304" s="303"/>
      <c r="D1304" s="304"/>
      <c r="E1304" s="304"/>
      <c r="F1304" s="304"/>
      <c r="G1304" s="267"/>
      <c r="H1304" s="267"/>
      <c r="I1304" s="267"/>
      <c r="J1304" s="267"/>
      <c r="K1304" s="264"/>
    </row>
    <row r="1305">
      <c r="A1305" s="264"/>
      <c r="B1305" s="303"/>
      <c r="C1305" s="303"/>
      <c r="D1305" s="304"/>
      <c r="E1305" s="304"/>
      <c r="F1305" s="304"/>
      <c r="G1305" s="267"/>
      <c r="H1305" s="267"/>
      <c r="I1305" s="267"/>
      <c r="J1305" s="267"/>
      <c r="K1305" s="264"/>
    </row>
    <row r="1306">
      <c r="A1306" s="264"/>
      <c r="B1306" s="303"/>
      <c r="C1306" s="303"/>
      <c r="D1306" s="304"/>
      <c r="E1306" s="304"/>
      <c r="F1306" s="304"/>
      <c r="G1306" s="267"/>
      <c r="H1306" s="267"/>
      <c r="I1306" s="267"/>
      <c r="J1306" s="267"/>
      <c r="K1306" s="264"/>
    </row>
    <row r="1307">
      <c r="A1307" s="264"/>
      <c r="B1307" s="303"/>
      <c r="C1307" s="303"/>
      <c r="D1307" s="304"/>
      <c r="E1307" s="304"/>
      <c r="F1307" s="304"/>
      <c r="G1307" s="267"/>
      <c r="H1307" s="267"/>
      <c r="I1307" s="267"/>
      <c r="J1307" s="267"/>
      <c r="K1307" s="264"/>
    </row>
    <row r="1308">
      <c r="A1308" s="264"/>
      <c r="B1308" s="303"/>
      <c r="C1308" s="303"/>
      <c r="D1308" s="304"/>
      <c r="E1308" s="304"/>
      <c r="F1308" s="304"/>
      <c r="G1308" s="267"/>
      <c r="H1308" s="267"/>
      <c r="I1308" s="267"/>
      <c r="J1308" s="267"/>
      <c r="K1308" s="264"/>
    </row>
    <row r="1309">
      <c r="A1309" s="264"/>
      <c r="B1309" s="303"/>
      <c r="C1309" s="303"/>
      <c r="D1309" s="304"/>
      <c r="E1309" s="304"/>
      <c r="F1309" s="304"/>
      <c r="G1309" s="267"/>
      <c r="H1309" s="267"/>
      <c r="I1309" s="267"/>
      <c r="J1309" s="267"/>
      <c r="K1309" s="264"/>
    </row>
    <row r="1310">
      <c r="A1310" s="264"/>
      <c r="B1310" s="303"/>
      <c r="C1310" s="303"/>
      <c r="D1310" s="304"/>
      <c r="E1310" s="304"/>
      <c r="F1310" s="304"/>
      <c r="G1310" s="267"/>
      <c r="H1310" s="267"/>
      <c r="I1310" s="267"/>
      <c r="J1310" s="267"/>
      <c r="K1310" s="264"/>
    </row>
    <row r="1311">
      <c r="A1311" s="264"/>
      <c r="B1311" s="303"/>
      <c r="C1311" s="303"/>
      <c r="D1311" s="304"/>
      <c r="E1311" s="304"/>
      <c r="F1311" s="304"/>
      <c r="G1311" s="267"/>
      <c r="H1311" s="267"/>
      <c r="I1311" s="267"/>
      <c r="J1311" s="267"/>
      <c r="K1311" s="264"/>
    </row>
    <row r="1312">
      <c r="A1312" s="264"/>
      <c r="B1312" s="303"/>
      <c r="C1312" s="303"/>
      <c r="D1312" s="304"/>
      <c r="E1312" s="304"/>
      <c r="F1312" s="304"/>
      <c r="G1312" s="267"/>
      <c r="H1312" s="267"/>
      <c r="I1312" s="267"/>
      <c r="J1312" s="267"/>
      <c r="K1312" s="264"/>
    </row>
    <row r="1313">
      <c r="A1313" s="264"/>
      <c r="B1313" s="303"/>
      <c r="C1313" s="303"/>
      <c r="D1313" s="304"/>
      <c r="E1313" s="304"/>
      <c r="F1313" s="304"/>
      <c r="G1313" s="267"/>
      <c r="H1313" s="267"/>
      <c r="I1313" s="267"/>
      <c r="J1313" s="267"/>
      <c r="K1313" s="264"/>
    </row>
    <row r="1314">
      <c r="A1314" s="264"/>
      <c r="B1314" s="303"/>
      <c r="C1314" s="303"/>
      <c r="D1314" s="304"/>
      <c r="E1314" s="304"/>
      <c r="F1314" s="304"/>
      <c r="G1314" s="267"/>
      <c r="H1314" s="267"/>
      <c r="I1314" s="267"/>
      <c r="J1314" s="267"/>
      <c r="K1314" s="264"/>
    </row>
    <row r="1315">
      <c r="A1315" s="264"/>
      <c r="B1315" s="303"/>
      <c r="C1315" s="303"/>
      <c r="D1315" s="304"/>
      <c r="E1315" s="304"/>
      <c r="F1315" s="304"/>
      <c r="G1315" s="267"/>
      <c r="H1315" s="267"/>
      <c r="I1315" s="267"/>
      <c r="J1315" s="267"/>
      <c r="K1315" s="264"/>
    </row>
    <row r="1316">
      <c r="A1316" s="264"/>
      <c r="B1316" s="303"/>
      <c r="C1316" s="303"/>
      <c r="D1316" s="304"/>
      <c r="E1316" s="304"/>
      <c r="F1316" s="304"/>
      <c r="G1316" s="267"/>
      <c r="H1316" s="267"/>
      <c r="I1316" s="267"/>
      <c r="J1316" s="267"/>
      <c r="K1316" s="264"/>
    </row>
    <row r="1317">
      <c r="A1317" s="264"/>
      <c r="B1317" s="303"/>
      <c r="C1317" s="303"/>
      <c r="D1317" s="304"/>
      <c r="E1317" s="304"/>
      <c r="F1317" s="304"/>
      <c r="G1317" s="267"/>
      <c r="H1317" s="267"/>
      <c r="I1317" s="267"/>
      <c r="J1317" s="267"/>
      <c r="K1317" s="264"/>
    </row>
    <row r="1318">
      <c r="A1318" s="264"/>
      <c r="B1318" s="303"/>
      <c r="C1318" s="303"/>
      <c r="D1318" s="304"/>
      <c r="E1318" s="304"/>
      <c r="F1318" s="304"/>
      <c r="G1318" s="267"/>
      <c r="H1318" s="267"/>
      <c r="I1318" s="267"/>
      <c r="J1318" s="267"/>
      <c r="K1318" s="264"/>
    </row>
    <row r="1319">
      <c r="A1319" s="264"/>
      <c r="B1319" s="303"/>
      <c r="C1319" s="303"/>
      <c r="D1319" s="304"/>
      <c r="E1319" s="304"/>
      <c r="F1319" s="304"/>
      <c r="G1319" s="267"/>
      <c r="H1319" s="267"/>
      <c r="I1319" s="267"/>
      <c r="J1319" s="267"/>
      <c r="K1319" s="264"/>
    </row>
    <row r="1320">
      <c r="A1320" s="264"/>
      <c r="B1320" s="303"/>
      <c r="C1320" s="303"/>
      <c r="D1320" s="304"/>
      <c r="E1320" s="304"/>
      <c r="F1320" s="304"/>
      <c r="G1320" s="267"/>
      <c r="H1320" s="267"/>
      <c r="I1320" s="267"/>
      <c r="J1320" s="267"/>
      <c r="K1320" s="264"/>
    </row>
    <row r="1321">
      <c r="A1321" s="264"/>
      <c r="B1321" s="303"/>
      <c r="C1321" s="303"/>
      <c r="D1321" s="304"/>
      <c r="E1321" s="304"/>
      <c r="F1321" s="304"/>
      <c r="G1321" s="267"/>
      <c r="H1321" s="267"/>
      <c r="I1321" s="267"/>
      <c r="J1321" s="267"/>
      <c r="K1321" s="264"/>
    </row>
    <row r="1322">
      <c r="A1322" s="264"/>
      <c r="B1322" s="303"/>
      <c r="C1322" s="303"/>
      <c r="D1322" s="304"/>
      <c r="E1322" s="304"/>
      <c r="F1322" s="304"/>
      <c r="G1322" s="267"/>
      <c r="H1322" s="267"/>
      <c r="I1322" s="267"/>
      <c r="J1322" s="267"/>
      <c r="K1322" s="264"/>
    </row>
    <row r="1323">
      <c r="A1323" s="264"/>
      <c r="B1323" s="303"/>
      <c r="C1323" s="303"/>
      <c r="D1323" s="304"/>
      <c r="E1323" s="304"/>
      <c r="F1323" s="304"/>
      <c r="G1323" s="267"/>
      <c r="H1323" s="267"/>
      <c r="I1323" s="267"/>
      <c r="J1323" s="267"/>
      <c r="K1323" s="264"/>
    </row>
    <row r="1324">
      <c r="A1324" s="264"/>
      <c r="B1324" s="303"/>
      <c r="C1324" s="303"/>
      <c r="D1324" s="304"/>
      <c r="E1324" s="304"/>
      <c r="F1324" s="304"/>
      <c r="G1324" s="267"/>
      <c r="H1324" s="267"/>
      <c r="I1324" s="267"/>
      <c r="J1324" s="267"/>
      <c r="K1324" s="264"/>
    </row>
    <row r="1325">
      <c r="A1325" s="264"/>
      <c r="B1325" s="303"/>
      <c r="C1325" s="303"/>
      <c r="D1325" s="304"/>
      <c r="E1325" s="304"/>
      <c r="F1325" s="304"/>
      <c r="G1325" s="267"/>
      <c r="H1325" s="267"/>
      <c r="I1325" s="267"/>
      <c r="J1325" s="267"/>
      <c r="K1325" s="264"/>
    </row>
    <row r="1326">
      <c r="A1326" s="264"/>
      <c r="B1326" s="303"/>
      <c r="C1326" s="303"/>
      <c r="D1326" s="304"/>
      <c r="E1326" s="304"/>
      <c r="F1326" s="304"/>
      <c r="G1326" s="267"/>
      <c r="H1326" s="267"/>
      <c r="I1326" s="267"/>
      <c r="J1326" s="267"/>
      <c r="K1326" s="264"/>
    </row>
    <row r="1327">
      <c r="A1327" s="264"/>
      <c r="B1327" s="303"/>
      <c r="C1327" s="303"/>
      <c r="D1327" s="304"/>
      <c r="E1327" s="304"/>
      <c r="F1327" s="304"/>
      <c r="G1327" s="267"/>
      <c r="H1327" s="267"/>
      <c r="I1327" s="267"/>
      <c r="J1327" s="267"/>
      <c r="K1327" s="264"/>
    </row>
    <row r="1328">
      <c r="A1328" s="264"/>
      <c r="B1328" s="303"/>
      <c r="C1328" s="303"/>
      <c r="D1328" s="304"/>
      <c r="E1328" s="304"/>
      <c r="F1328" s="304"/>
      <c r="G1328" s="267"/>
      <c r="H1328" s="267"/>
      <c r="I1328" s="267"/>
      <c r="J1328" s="267"/>
      <c r="K1328" s="264"/>
    </row>
    <row r="1329">
      <c r="A1329" s="264"/>
      <c r="B1329" s="303"/>
      <c r="C1329" s="303"/>
      <c r="D1329" s="304"/>
      <c r="E1329" s="304"/>
      <c r="F1329" s="304"/>
      <c r="G1329" s="267"/>
      <c r="H1329" s="267"/>
      <c r="I1329" s="267"/>
      <c r="J1329" s="267"/>
      <c r="K1329" s="264"/>
    </row>
    <row r="1330">
      <c r="A1330" s="264"/>
      <c r="B1330" s="303"/>
      <c r="C1330" s="303"/>
      <c r="D1330" s="304"/>
      <c r="E1330" s="304"/>
      <c r="F1330" s="304"/>
      <c r="G1330" s="267"/>
      <c r="H1330" s="267"/>
      <c r="I1330" s="267"/>
      <c r="J1330" s="267"/>
      <c r="K1330" s="264"/>
    </row>
    <row r="1331">
      <c r="A1331" s="264"/>
      <c r="B1331" s="303"/>
      <c r="C1331" s="303"/>
      <c r="D1331" s="304"/>
      <c r="E1331" s="304"/>
      <c r="F1331" s="304"/>
      <c r="G1331" s="267"/>
      <c r="H1331" s="267"/>
      <c r="I1331" s="267"/>
      <c r="J1331" s="267"/>
      <c r="K1331" s="264"/>
    </row>
    <row r="1332">
      <c r="A1332" s="264"/>
      <c r="B1332" s="303"/>
      <c r="C1332" s="303"/>
      <c r="D1332" s="304"/>
      <c r="E1332" s="304"/>
      <c r="F1332" s="304"/>
      <c r="G1332" s="267"/>
      <c r="H1332" s="267"/>
      <c r="I1332" s="267"/>
      <c r="J1332" s="267"/>
      <c r="K1332" s="264"/>
    </row>
    <row r="1333">
      <c r="A1333" s="264"/>
      <c r="B1333" s="303"/>
      <c r="C1333" s="303"/>
      <c r="D1333" s="304"/>
      <c r="E1333" s="304"/>
      <c r="F1333" s="304"/>
      <c r="G1333" s="267"/>
      <c r="H1333" s="267"/>
      <c r="I1333" s="267"/>
      <c r="J1333" s="267"/>
      <c r="K1333" s="264"/>
    </row>
    <row r="1334">
      <c r="A1334" s="264"/>
      <c r="B1334" s="303"/>
      <c r="C1334" s="303"/>
      <c r="D1334" s="304"/>
      <c r="E1334" s="304"/>
      <c r="F1334" s="304"/>
      <c r="G1334" s="267"/>
      <c r="H1334" s="267"/>
      <c r="I1334" s="267"/>
      <c r="J1334" s="267"/>
      <c r="K1334" s="264"/>
    </row>
    <row r="1335">
      <c r="A1335" s="264"/>
      <c r="B1335" s="303"/>
      <c r="C1335" s="303"/>
      <c r="D1335" s="304"/>
      <c r="E1335" s="304"/>
      <c r="F1335" s="304"/>
      <c r="G1335" s="267"/>
      <c r="H1335" s="267"/>
      <c r="I1335" s="267"/>
      <c r="J1335" s="267"/>
      <c r="K1335" s="264"/>
    </row>
    <row r="1336">
      <c r="A1336" s="264"/>
      <c r="B1336" s="303"/>
      <c r="C1336" s="303"/>
      <c r="D1336" s="304"/>
      <c r="E1336" s="304"/>
      <c r="F1336" s="304"/>
      <c r="G1336" s="267"/>
      <c r="H1336" s="267"/>
      <c r="I1336" s="267"/>
      <c r="J1336" s="267"/>
      <c r="K1336" s="264"/>
    </row>
    <row r="1337">
      <c r="A1337" s="264"/>
      <c r="B1337" s="303"/>
      <c r="C1337" s="303"/>
      <c r="D1337" s="304"/>
      <c r="E1337" s="304"/>
      <c r="F1337" s="304"/>
      <c r="G1337" s="267"/>
      <c r="H1337" s="267"/>
      <c r="I1337" s="267"/>
      <c r="J1337" s="267"/>
      <c r="K1337" s="264"/>
    </row>
    <row r="1338">
      <c r="A1338" s="264"/>
      <c r="B1338" s="303"/>
      <c r="C1338" s="303"/>
      <c r="D1338" s="304"/>
      <c r="E1338" s="304"/>
      <c r="F1338" s="304"/>
      <c r="G1338" s="267"/>
      <c r="H1338" s="267"/>
      <c r="I1338" s="267"/>
      <c r="J1338" s="267"/>
      <c r="K1338" s="264"/>
    </row>
    <row r="1339">
      <c r="A1339" s="264"/>
      <c r="B1339" s="303"/>
      <c r="C1339" s="303"/>
      <c r="D1339" s="304"/>
      <c r="E1339" s="304"/>
      <c r="F1339" s="304"/>
      <c r="G1339" s="267"/>
      <c r="H1339" s="267"/>
      <c r="I1339" s="267"/>
      <c r="J1339" s="267"/>
      <c r="K1339" s="264"/>
    </row>
    <row r="1340">
      <c r="A1340" s="264"/>
      <c r="B1340" s="303"/>
      <c r="C1340" s="303"/>
      <c r="D1340" s="304"/>
      <c r="E1340" s="304"/>
      <c r="F1340" s="304"/>
      <c r="G1340" s="267"/>
      <c r="H1340" s="267"/>
      <c r="I1340" s="267"/>
      <c r="J1340" s="267"/>
      <c r="K1340" s="264"/>
    </row>
    <row r="1341">
      <c r="A1341" s="264"/>
      <c r="B1341" s="303"/>
      <c r="C1341" s="303"/>
      <c r="D1341" s="304"/>
      <c r="E1341" s="304"/>
      <c r="F1341" s="304"/>
      <c r="G1341" s="267"/>
      <c r="H1341" s="267"/>
      <c r="I1341" s="267"/>
      <c r="J1341" s="267"/>
      <c r="K1341" s="264"/>
    </row>
    <row r="1342">
      <c r="A1342" s="264"/>
      <c r="B1342" s="303"/>
      <c r="C1342" s="303"/>
      <c r="D1342" s="304"/>
      <c r="E1342" s="304"/>
      <c r="F1342" s="304"/>
      <c r="G1342" s="267"/>
      <c r="H1342" s="267"/>
      <c r="I1342" s="267"/>
      <c r="J1342" s="267"/>
      <c r="K1342" s="264"/>
    </row>
    <row r="1343">
      <c r="A1343" s="264"/>
      <c r="B1343" s="303"/>
      <c r="C1343" s="303"/>
      <c r="D1343" s="304"/>
      <c r="E1343" s="304"/>
      <c r="F1343" s="304"/>
      <c r="G1343" s="267"/>
      <c r="H1343" s="267"/>
      <c r="I1343" s="267"/>
      <c r="J1343" s="267"/>
      <c r="K1343" s="264"/>
    </row>
    <row r="1344">
      <c r="A1344" s="264"/>
      <c r="B1344" s="303"/>
      <c r="C1344" s="303"/>
      <c r="D1344" s="304"/>
      <c r="E1344" s="304"/>
      <c r="F1344" s="304"/>
      <c r="G1344" s="267"/>
      <c r="H1344" s="267"/>
      <c r="I1344" s="267"/>
      <c r="J1344" s="267"/>
      <c r="K1344" s="264"/>
    </row>
    <row r="1345">
      <c r="A1345" s="264"/>
      <c r="B1345" s="303"/>
      <c r="C1345" s="303"/>
      <c r="D1345" s="304"/>
      <c r="E1345" s="304"/>
      <c r="F1345" s="304"/>
      <c r="G1345" s="267"/>
      <c r="H1345" s="267"/>
      <c r="I1345" s="267"/>
      <c r="J1345" s="267"/>
      <c r="K1345" s="264"/>
    </row>
    <row r="1346">
      <c r="A1346" s="264"/>
      <c r="B1346" s="303"/>
      <c r="C1346" s="303"/>
      <c r="D1346" s="304"/>
      <c r="E1346" s="304"/>
      <c r="F1346" s="304"/>
      <c r="G1346" s="267"/>
      <c r="H1346" s="267"/>
      <c r="I1346" s="267"/>
      <c r="J1346" s="267"/>
      <c r="K1346" s="264"/>
    </row>
    <row r="1347">
      <c r="A1347" s="264"/>
      <c r="B1347" s="303"/>
      <c r="C1347" s="303"/>
      <c r="D1347" s="304"/>
      <c r="E1347" s="304"/>
      <c r="F1347" s="304"/>
      <c r="G1347" s="267"/>
      <c r="H1347" s="267"/>
      <c r="I1347" s="267"/>
      <c r="J1347" s="267"/>
      <c r="K1347" s="264"/>
    </row>
    <row r="1348">
      <c r="A1348" s="264"/>
      <c r="B1348" s="303"/>
      <c r="C1348" s="303"/>
      <c r="D1348" s="304"/>
      <c r="E1348" s="304"/>
      <c r="F1348" s="304"/>
      <c r="G1348" s="267"/>
      <c r="H1348" s="267"/>
      <c r="I1348" s="267"/>
      <c r="J1348" s="267"/>
      <c r="K1348" s="264"/>
    </row>
    <row r="1349">
      <c r="A1349" s="264"/>
      <c r="B1349" s="303"/>
      <c r="C1349" s="303"/>
      <c r="D1349" s="304"/>
      <c r="E1349" s="304"/>
      <c r="F1349" s="304"/>
      <c r="G1349" s="267"/>
      <c r="H1349" s="267"/>
      <c r="I1349" s="267"/>
      <c r="J1349" s="267"/>
      <c r="K1349" s="264"/>
    </row>
    <row r="1350">
      <c r="A1350" s="264"/>
      <c r="B1350" s="303"/>
      <c r="C1350" s="303"/>
      <c r="D1350" s="304"/>
      <c r="E1350" s="304"/>
      <c r="F1350" s="304"/>
      <c r="G1350" s="267"/>
      <c r="H1350" s="267"/>
      <c r="I1350" s="267"/>
      <c r="J1350" s="267"/>
      <c r="K1350" s="264"/>
    </row>
    <row r="1351">
      <c r="A1351" s="264"/>
      <c r="B1351" s="303"/>
      <c r="C1351" s="303"/>
      <c r="D1351" s="304"/>
      <c r="E1351" s="304"/>
      <c r="F1351" s="304"/>
      <c r="G1351" s="267"/>
      <c r="H1351" s="267"/>
      <c r="I1351" s="267"/>
      <c r="J1351" s="267"/>
      <c r="K1351" s="264"/>
    </row>
    <row r="1352">
      <c r="A1352" s="264"/>
      <c r="B1352" s="303"/>
      <c r="C1352" s="303"/>
      <c r="D1352" s="304"/>
      <c r="E1352" s="304"/>
      <c r="F1352" s="304"/>
      <c r="G1352" s="267"/>
      <c r="H1352" s="267"/>
      <c r="I1352" s="267"/>
      <c r="J1352" s="267"/>
      <c r="K1352" s="264"/>
    </row>
    <row r="1353">
      <c r="A1353" s="264"/>
      <c r="B1353" s="303"/>
      <c r="C1353" s="303"/>
      <c r="D1353" s="304"/>
      <c r="E1353" s="304"/>
      <c r="F1353" s="304"/>
      <c r="G1353" s="267"/>
      <c r="H1353" s="267"/>
      <c r="I1353" s="267"/>
      <c r="J1353" s="267"/>
      <c r="K1353" s="264"/>
    </row>
    <row r="1354">
      <c r="A1354" s="264"/>
      <c r="B1354" s="303"/>
      <c r="C1354" s="303"/>
      <c r="D1354" s="304"/>
      <c r="E1354" s="304"/>
      <c r="F1354" s="304"/>
      <c r="G1354" s="267"/>
      <c r="H1354" s="267"/>
      <c r="I1354" s="267"/>
      <c r="J1354" s="267"/>
      <c r="K1354" s="264"/>
    </row>
    <row r="1355">
      <c r="A1355" s="264"/>
      <c r="B1355" s="303"/>
      <c r="C1355" s="303"/>
      <c r="D1355" s="304"/>
      <c r="E1355" s="304"/>
      <c r="F1355" s="304"/>
      <c r="G1355" s="267"/>
      <c r="H1355" s="267"/>
      <c r="I1355" s="267"/>
      <c r="J1355" s="267"/>
      <c r="K1355" s="264"/>
    </row>
    <row r="1356">
      <c r="A1356" s="264"/>
      <c r="B1356" s="303"/>
      <c r="C1356" s="303"/>
      <c r="D1356" s="304"/>
      <c r="E1356" s="304"/>
      <c r="F1356" s="304"/>
      <c r="G1356" s="267"/>
      <c r="H1356" s="267"/>
      <c r="I1356" s="267"/>
      <c r="J1356" s="267"/>
      <c r="K1356" s="264"/>
    </row>
    <row r="1357">
      <c r="A1357" s="264"/>
      <c r="B1357" s="303"/>
      <c r="C1357" s="303"/>
      <c r="D1357" s="304"/>
      <c r="E1357" s="304"/>
      <c r="F1357" s="304"/>
      <c r="G1357" s="267"/>
      <c r="H1357" s="267"/>
      <c r="I1357" s="267"/>
      <c r="J1357" s="267"/>
      <c r="K1357" s="264"/>
    </row>
    <row r="1358">
      <c r="A1358" s="264"/>
      <c r="B1358" s="303"/>
      <c r="C1358" s="303"/>
      <c r="D1358" s="304"/>
      <c r="E1358" s="304"/>
      <c r="F1358" s="304"/>
      <c r="G1358" s="267"/>
      <c r="H1358" s="267"/>
      <c r="I1358" s="267"/>
      <c r="J1358" s="267"/>
      <c r="K1358" s="264"/>
    </row>
    <row r="1359">
      <c r="A1359" s="264"/>
      <c r="B1359" s="303"/>
      <c r="C1359" s="303"/>
      <c r="D1359" s="304"/>
      <c r="E1359" s="304"/>
      <c r="F1359" s="304"/>
      <c r="G1359" s="267"/>
      <c r="H1359" s="267"/>
      <c r="I1359" s="267"/>
      <c r="J1359" s="267"/>
      <c r="K1359" s="264"/>
    </row>
    <row r="1360">
      <c r="A1360" s="264"/>
      <c r="B1360" s="303"/>
      <c r="C1360" s="303"/>
      <c r="D1360" s="304"/>
      <c r="E1360" s="304"/>
      <c r="F1360" s="304"/>
      <c r="G1360" s="267"/>
      <c r="H1360" s="267"/>
      <c r="I1360" s="267"/>
      <c r="J1360" s="267"/>
      <c r="K1360" s="264"/>
    </row>
    <row r="1361">
      <c r="A1361" s="264"/>
      <c r="B1361" s="303"/>
      <c r="C1361" s="303"/>
      <c r="D1361" s="304"/>
      <c r="E1361" s="304"/>
      <c r="F1361" s="304"/>
      <c r="G1361" s="267"/>
      <c r="H1361" s="267"/>
      <c r="I1361" s="267"/>
      <c r="J1361" s="267"/>
      <c r="K1361" s="264"/>
    </row>
    <row r="1362">
      <c r="A1362" s="264"/>
      <c r="B1362" s="303"/>
      <c r="C1362" s="303"/>
      <c r="D1362" s="304"/>
      <c r="E1362" s="304"/>
      <c r="F1362" s="304"/>
      <c r="G1362" s="267"/>
      <c r="H1362" s="267"/>
      <c r="I1362" s="267"/>
      <c r="J1362" s="267"/>
      <c r="K1362" s="264"/>
    </row>
    <row r="1363">
      <c r="A1363" s="264"/>
      <c r="B1363" s="303"/>
      <c r="C1363" s="303"/>
      <c r="D1363" s="304"/>
      <c r="E1363" s="304"/>
      <c r="F1363" s="304"/>
      <c r="G1363" s="267"/>
      <c r="H1363" s="267"/>
      <c r="I1363" s="267"/>
      <c r="J1363" s="267"/>
      <c r="K1363" s="264"/>
    </row>
    <row r="1364">
      <c r="A1364" s="264"/>
      <c r="B1364" s="303"/>
      <c r="C1364" s="303"/>
      <c r="D1364" s="304"/>
      <c r="E1364" s="304"/>
      <c r="F1364" s="304"/>
      <c r="G1364" s="267"/>
      <c r="H1364" s="267"/>
      <c r="I1364" s="267"/>
      <c r="J1364" s="267"/>
      <c r="K1364" s="264"/>
    </row>
    <row r="1365">
      <c r="A1365" s="264"/>
      <c r="B1365" s="303"/>
      <c r="C1365" s="303"/>
      <c r="D1365" s="304"/>
      <c r="E1365" s="304"/>
      <c r="F1365" s="304"/>
      <c r="G1365" s="267"/>
      <c r="H1365" s="267"/>
      <c r="I1365" s="267"/>
      <c r="J1365" s="267"/>
      <c r="K1365" s="264"/>
    </row>
    <row r="1366">
      <c r="A1366" s="264"/>
      <c r="B1366" s="303"/>
      <c r="C1366" s="303"/>
      <c r="D1366" s="304"/>
      <c r="E1366" s="304"/>
      <c r="F1366" s="304"/>
      <c r="G1366" s="267"/>
      <c r="H1366" s="267"/>
      <c r="I1366" s="267"/>
      <c r="J1366" s="267"/>
      <c r="K1366" s="264"/>
    </row>
    <row r="1367">
      <c r="A1367" s="264"/>
      <c r="B1367" s="303"/>
      <c r="C1367" s="303"/>
      <c r="D1367" s="304"/>
      <c r="E1367" s="304"/>
      <c r="F1367" s="304"/>
      <c r="G1367" s="267"/>
      <c r="H1367" s="267"/>
      <c r="I1367" s="267"/>
      <c r="J1367" s="267"/>
      <c r="K1367" s="264"/>
    </row>
    <row r="1368">
      <c r="A1368" s="264"/>
      <c r="B1368" s="303"/>
      <c r="C1368" s="303"/>
      <c r="D1368" s="304"/>
      <c r="E1368" s="304"/>
      <c r="F1368" s="304"/>
      <c r="G1368" s="267"/>
      <c r="H1368" s="267"/>
      <c r="I1368" s="267"/>
      <c r="J1368" s="267"/>
      <c r="K1368" s="264"/>
    </row>
    <row r="1369">
      <c r="A1369" s="264"/>
      <c r="B1369" s="303"/>
      <c r="C1369" s="303"/>
      <c r="D1369" s="304"/>
      <c r="E1369" s="304"/>
      <c r="F1369" s="304"/>
      <c r="G1369" s="267"/>
      <c r="H1369" s="267"/>
      <c r="I1369" s="267"/>
      <c r="J1369" s="267"/>
      <c r="K1369" s="264"/>
    </row>
    <row r="1370">
      <c r="A1370" s="264"/>
      <c r="B1370" s="303"/>
      <c r="C1370" s="303"/>
      <c r="D1370" s="304"/>
      <c r="E1370" s="304"/>
      <c r="F1370" s="304"/>
      <c r="G1370" s="267"/>
      <c r="H1370" s="267"/>
      <c r="I1370" s="267"/>
      <c r="J1370" s="267"/>
      <c r="K1370" s="264"/>
    </row>
    <row r="1371">
      <c r="A1371" s="264"/>
      <c r="B1371" s="303"/>
      <c r="C1371" s="303"/>
      <c r="D1371" s="304"/>
      <c r="E1371" s="304"/>
      <c r="F1371" s="304"/>
      <c r="G1371" s="267"/>
      <c r="H1371" s="267"/>
      <c r="I1371" s="267"/>
      <c r="J1371" s="267"/>
      <c r="K1371" s="264"/>
    </row>
    <row r="1372">
      <c r="A1372" s="264"/>
      <c r="B1372" s="303"/>
      <c r="C1372" s="303"/>
      <c r="D1372" s="304"/>
      <c r="E1372" s="304"/>
      <c r="F1372" s="304"/>
      <c r="G1372" s="267"/>
      <c r="H1372" s="267"/>
      <c r="I1372" s="267"/>
      <c r="J1372" s="267"/>
      <c r="K1372" s="264"/>
    </row>
    <row r="1373">
      <c r="A1373" s="264"/>
      <c r="B1373" s="303"/>
      <c r="C1373" s="303"/>
      <c r="D1373" s="304"/>
      <c r="E1373" s="304"/>
      <c r="F1373" s="304"/>
      <c r="G1373" s="267"/>
      <c r="H1373" s="267"/>
      <c r="I1373" s="267"/>
      <c r="J1373" s="267"/>
      <c r="K1373" s="264"/>
    </row>
    <row r="1374">
      <c r="A1374" s="264"/>
      <c r="B1374" s="303"/>
      <c r="C1374" s="303"/>
      <c r="D1374" s="304"/>
      <c r="E1374" s="304"/>
      <c r="F1374" s="304"/>
      <c r="G1374" s="267"/>
      <c r="H1374" s="267"/>
      <c r="I1374" s="267"/>
      <c r="J1374" s="267"/>
      <c r="K1374" s="264"/>
    </row>
    <row r="1375">
      <c r="A1375" s="264"/>
      <c r="B1375" s="303"/>
      <c r="C1375" s="303"/>
      <c r="D1375" s="304"/>
      <c r="E1375" s="304"/>
      <c r="F1375" s="304"/>
      <c r="G1375" s="267"/>
      <c r="H1375" s="267"/>
      <c r="I1375" s="267"/>
      <c r="J1375" s="267"/>
      <c r="K1375" s="264"/>
    </row>
    <row r="1376">
      <c r="A1376" s="264"/>
      <c r="B1376" s="303"/>
      <c r="C1376" s="303"/>
      <c r="D1376" s="304"/>
      <c r="E1376" s="304"/>
      <c r="F1376" s="304"/>
      <c r="G1376" s="267"/>
      <c r="H1376" s="267"/>
      <c r="I1376" s="267"/>
      <c r="J1376" s="267"/>
      <c r="K1376" s="264"/>
    </row>
    <row r="1377">
      <c r="A1377" s="264"/>
      <c r="B1377" s="303"/>
      <c r="C1377" s="303"/>
      <c r="D1377" s="304"/>
      <c r="E1377" s="304"/>
      <c r="F1377" s="304"/>
      <c r="G1377" s="267"/>
      <c r="H1377" s="267"/>
      <c r="I1377" s="267"/>
      <c r="J1377" s="267"/>
      <c r="K1377" s="264"/>
    </row>
    <row r="1378">
      <c r="A1378" s="264"/>
      <c r="B1378" s="303"/>
      <c r="C1378" s="303"/>
      <c r="D1378" s="304"/>
      <c r="E1378" s="304"/>
      <c r="F1378" s="304"/>
      <c r="G1378" s="267"/>
      <c r="H1378" s="267"/>
      <c r="I1378" s="267"/>
      <c r="J1378" s="267"/>
      <c r="K1378" s="264"/>
    </row>
    <row r="1379">
      <c r="A1379" s="264"/>
      <c r="B1379" s="303"/>
      <c r="C1379" s="303"/>
      <c r="D1379" s="304"/>
      <c r="E1379" s="304"/>
      <c r="F1379" s="304"/>
      <c r="G1379" s="267"/>
      <c r="H1379" s="267"/>
      <c r="I1379" s="267"/>
      <c r="J1379" s="267"/>
      <c r="K1379" s="264"/>
    </row>
    <row r="1380">
      <c r="A1380" s="264"/>
      <c r="B1380" s="303"/>
      <c r="C1380" s="303"/>
      <c r="D1380" s="304"/>
      <c r="E1380" s="304"/>
      <c r="F1380" s="304"/>
      <c r="G1380" s="267"/>
      <c r="H1380" s="267"/>
      <c r="I1380" s="267"/>
      <c r="J1380" s="267"/>
      <c r="K1380" s="264"/>
    </row>
    <row r="1381">
      <c r="A1381" s="264"/>
      <c r="B1381" s="303"/>
      <c r="C1381" s="303"/>
      <c r="D1381" s="304"/>
      <c r="E1381" s="304"/>
      <c r="F1381" s="304"/>
      <c r="G1381" s="267"/>
      <c r="H1381" s="267"/>
      <c r="I1381" s="267"/>
      <c r="J1381" s="267"/>
      <c r="K1381" s="264"/>
    </row>
    <row r="1382">
      <c r="A1382" s="264"/>
      <c r="B1382" s="303"/>
      <c r="C1382" s="303"/>
      <c r="D1382" s="304"/>
      <c r="E1382" s="304"/>
      <c r="F1382" s="304"/>
      <c r="G1382" s="267"/>
      <c r="H1382" s="267"/>
      <c r="I1382" s="267"/>
      <c r="J1382" s="267"/>
      <c r="K1382" s="264"/>
    </row>
    <row r="1383">
      <c r="A1383" s="264"/>
      <c r="B1383" s="303"/>
      <c r="C1383" s="303"/>
      <c r="D1383" s="304"/>
      <c r="E1383" s="304"/>
      <c r="F1383" s="304"/>
      <c r="G1383" s="267"/>
      <c r="H1383" s="267"/>
      <c r="I1383" s="267"/>
      <c r="J1383" s="267"/>
      <c r="K1383" s="264"/>
    </row>
    <row r="1384">
      <c r="A1384" s="264"/>
      <c r="B1384" s="303"/>
      <c r="C1384" s="303"/>
      <c r="D1384" s="304"/>
      <c r="E1384" s="304"/>
      <c r="F1384" s="304"/>
      <c r="G1384" s="267"/>
      <c r="H1384" s="267"/>
      <c r="I1384" s="267"/>
      <c r="J1384" s="267"/>
      <c r="K1384" s="264"/>
    </row>
    <row r="1385">
      <c r="A1385" s="264"/>
      <c r="B1385" s="303"/>
      <c r="C1385" s="303"/>
      <c r="D1385" s="304"/>
      <c r="E1385" s="304"/>
      <c r="F1385" s="304"/>
      <c r="G1385" s="267"/>
      <c r="H1385" s="267"/>
      <c r="I1385" s="267"/>
      <c r="J1385" s="267"/>
      <c r="K1385" s="264"/>
    </row>
    <row r="1386">
      <c r="A1386" s="264"/>
      <c r="B1386" s="303"/>
      <c r="C1386" s="303"/>
      <c r="D1386" s="304"/>
      <c r="E1386" s="304"/>
      <c r="F1386" s="304"/>
      <c r="G1386" s="267"/>
      <c r="H1386" s="267"/>
      <c r="I1386" s="267"/>
      <c r="J1386" s="267"/>
      <c r="K1386" s="264"/>
    </row>
    <row r="1387">
      <c r="A1387" s="264"/>
      <c r="B1387" s="303"/>
      <c r="C1387" s="303"/>
      <c r="D1387" s="304"/>
      <c r="E1387" s="304"/>
      <c r="F1387" s="304"/>
      <c r="G1387" s="267"/>
      <c r="H1387" s="267"/>
      <c r="I1387" s="267"/>
      <c r="J1387" s="267"/>
      <c r="K1387" s="264"/>
    </row>
    <row r="1388">
      <c r="A1388" s="264"/>
      <c r="B1388" s="303"/>
      <c r="C1388" s="303"/>
      <c r="D1388" s="304"/>
      <c r="E1388" s="304"/>
      <c r="F1388" s="304"/>
      <c r="G1388" s="267"/>
      <c r="H1388" s="267"/>
      <c r="I1388" s="267"/>
      <c r="J1388" s="267"/>
      <c r="K1388" s="264"/>
    </row>
    <row r="1389">
      <c r="A1389" s="264"/>
      <c r="B1389" s="303"/>
      <c r="C1389" s="303"/>
      <c r="D1389" s="304"/>
      <c r="E1389" s="304"/>
      <c r="F1389" s="304"/>
      <c r="G1389" s="267"/>
      <c r="H1389" s="267"/>
      <c r="I1389" s="267"/>
      <c r="J1389" s="267"/>
      <c r="K1389" s="264"/>
    </row>
    <row r="1390">
      <c r="A1390" s="264"/>
      <c r="B1390" s="303"/>
      <c r="C1390" s="303"/>
      <c r="D1390" s="304"/>
      <c r="E1390" s="304"/>
      <c r="F1390" s="304"/>
      <c r="G1390" s="267"/>
      <c r="H1390" s="267"/>
      <c r="I1390" s="267"/>
      <c r="J1390" s="267"/>
      <c r="K1390" s="264"/>
    </row>
    <row r="1391">
      <c r="A1391" s="264"/>
      <c r="B1391" s="303"/>
      <c r="C1391" s="303"/>
      <c r="D1391" s="304"/>
      <c r="E1391" s="304"/>
      <c r="F1391" s="304"/>
      <c r="G1391" s="267"/>
      <c r="H1391" s="267"/>
      <c r="I1391" s="267"/>
      <c r="J1391" s="267"/>
      <c r="K1391" s="264"/>
    </row>
    <row r="1392">
      <c r="A1392" s="264"/>
      <c r="B1392" s="303"/>
      <c r="C1392" s="303"/>
      <c r="D1392" s="304"/>
      <c r="E1392" s="304"/>
      <c r="F1392" s="304"/>
      <c r="G1392" s="267"/>
      <c r="H1392" s="267"/>
      <c r="I1392" s="267"/>
      <c r="J1392" s="267"/>
      <c r="K1392" s="264"/>
    </row>
    <row r="1393">
      <c r="A1393" s="264"/>
      <c r="B1393" s="303"/>
      <c r="C1393" s="303"/>
      <c r="D1393" s="304"/>
      <c r="E1393" s="304"/>
      <c r="F1393" s="304"/>
      <c r="G1393" s="267"/>
      <c r="H1393" s="267"/>
      <c r="I1393" s="267"/>
      <c r="J1393" s="267"/>
      <c r="K1393" s="264"/>
    </row>
    <row r="1394">
      <c r="A1394" s="264"/>
      <c r="B1394" s="303"/>
      <c r="C1394" s="303"/>
      <c r="D1394" s="304"/>
      <c r="E1394" s="304"/>
      <c r="F1394" s="304"/>
      <c r="G1394" s="267"/>
      <c r="H1394" s="267"/>
      <c r="I1394" s="267"/>
      <c r="J1394" s="267"/>
      <c r="K1394" s="264"/>
    </row>
    <row r="1395">
      <c r="A1395" s="264"/>
      <c r="B1395" s="303"/>
      <c r="C1395" s="303"/>
      <c r="D1395" s="304"/>
      <c r="E1395" s="304"/>
      <c r="F1395" s="304"/>
      <c r="G1395" s="267"/>
      <c r="H1395" s="267"/>
      <c r="I1395" s="267"/>
      <c r="J1395" s="267"/>
      <c r="K1395" s="264"/>
    </row>
    <row r="1396">
      <c r="A1396" s="264"/>
      <c r="B1396" s="303"/>
      <c r="C1396" s="303"/>
      <c r="D1396" s="304"/>
      <c r="E1396" s="304"/>
      <c r="F1396" s="304"/>
      <c r="G1396" s="267"/>
      <c r="H1396" s="267"/>
      <c r="I1396" s="267"/>
      <c r="J1396" s="267"/>
      <c r="K1396" s="264"/>
    </row>
    <row r="1397">
      <c r="A1397" s="264"/>
      <c r="B1397" s="303"/>
      <c r="C1397" s="303"/>
      <c r="D1397" s="304"/>
      <c r="E1397" s="304"/>
      <c r="F1397" s="304"/>
      <c r="G1397" s="267"/>
      <c r="H1397" s="267"/>
      <c r="I1397" s="267"/>
      <c r="J1397" s="267"/>
      <c r="K1397" s="264"/>
    </row>
    <row r="1398">
      <c r="A1398" s="264"/>
      <c r="B1398" s="303"/>
      <c r="C1398" s="303"/>
      <c r="D1398" s="304"/>
      <c r="E1398" s="304"/>
      <c r="F1398" s="304"/>
      <c r="G1398" s="267"/>
      <c r="H1398" s="267"/>
      <c r="I1398" s="267"/>
      <c r="J1398" s="267"/>
      <c r="K1398" s="264"/>
    </row>
    <row r="1399">
      <c r="A1399" s="264"/>
      <c r="B1399" s="303"/>
      <c r="C1399" s="303"/>
      <c r="D1399" s="304"/>
      <c r="E1399" s="304"/>
      <c r="F1399" s="304"/>
      <c r="G1399" s="267"/>
      <c r="H1399" s="267"/>
      <c r="I1399" s="267"/>
      <c r="J1399" s="267"/>
      <c r="K1399" s="264"/>
    </row>
    <row r="1400">
      <c r="A1400" s="264"/>
      <c r="B1400" s="303"/>
      <c r="C1400" s="303"/>
      <c r="D1400" s="304"/>
      <c r="E1400" s="304"/>
      <c r="F1400" s="304"/>
      <c r="G1400" s="267"/>
      <c r="H1400" s="267"/>
      <c r="I1400" s="267"/>
      <c r="J1400" s="267"/>
      <c r="K1400" s="264"/>
    </row>
    <row r="1401">
      <c r="A1401" s="264"/>
      <c r="B1401" s="303"/>
      <c r="C1401" s="303"/>
      <c r="D1401" s="304"/>
      <c r="E1401" s="304"/>
      <c r="F1401" s="304"/>
      <c r="G1401" s="267"/>
      <c r="H1401" s="267"/>
      <c r="I1401" s="267"/>
      <c r="J1401" s="267"/>
      <c r="K1401" s="264"/>
    </row>
    <row r="1402">
      <c r="A1402" s="264"/>
      <c r="B1402" s="303"/>
      <c r="C1402" s="303"/>
      <c r="D1402" s="304"/>
      <c r="E1402" s="304"/>
      <c r="F1402" s="304"/>
      <c r="G1402" s="267"/>
      <c r="H1402" s="267"/>
      <c r="I1402" s="267"/>
      <c r="J1402" s="267"/>
      <c r="K1402" s="264"/>
    </row>
    <row r="1403">
      <c r="A1403" s="264"/>
      <c r="B1403" s="303"/>
      <c r="C1403" s="303"/>
      <c r="D1403" s="304"/>
      <c r="E1403" s="304"/>
      <c r="F1403" s="304"/>
      <c r="G1403" s="267"/>
      <c r="H1403" s="267"/>
      <c r="I1403" s="267"/>
      <c r="J1403" s="267"/>
      <c r="K1403" s="264"/>
    </row>
    <row r="1404">
      <c r="A1404" s="264"/>
      <c r="B1404" s="303"/>
      <c r="C1404" s="303"/>
      <c r="D1404" s="304"/>
      <c r="E1404" s="304"/>
      <c r="F1404" s="304"/>
      <c r="G1404" s="267"/>
      <c r="H1404" s="267"/>
      <c r="I1404" s="267"/>
      <c r="J1404" s="267"/>
      <c r="K1404" s="264"/>
    </row>
    <row r="1405">
      <c r="A1405" s="264"/>
      <c r="B1405" s="303"/>
      <c r="C1405" s="303"/>
      <c r="D1405" s="304"/>
      <c r="E1405" s="304"/>
      <c r="F1405" s="304"/>
      <c r="G1405" s="267"/>
      <c r="H1405" s="267"/>
      <c r="I1405" s="267"/>
      <c r="J1405" s="267"/>
      <c r="K1405" s="264"/>
    </row>
    <row r="1406">
      <c r="A1406" s="264"/>
      <c r="B1406" s="303"/>
      <c r="C1406" s="303"/>
      <c r="D1406" s="304"/>
      <c r="E1406" s="304"/>
      <c r="F1406" s="304"/>
      <c r="G1406" s="267"/>
      <c r="H1406" s="267"/>
      <c r="I1406" s="267"/>
      <c r="J1406" s="267"/>
      <c r="K1406" s="264"/>
    </row>
    <row r="1407">
      <c r="A1407" s="264"/>
      <c r="B1407" s="303"/>
      <c r="C1407" s="303"/>
      <c r="D1407" s="304"/>
      <c r="E1407" s="304"/>
      <c r="F1407" s="304"/>
      <c r="G1407" s="267"/>
      <c r="H1407" s="267"/>
      <c r="I1407" s="267"/>
      <c r="J1407" s="267"/>
      <c r="K1407" s="264"/>
    </row>
    <row r="1408">
      <c r="A1408" s="264"/>
      <c r="B1408" s="303"/>
      <c r="C1408" s="303"/>
      <c r="D1408" s="304"/>
      <c r="E1408" s="304"/>
      <c r="F1408" s="304"/>
      <c r="G1408" s="267"/>
      <c r="H1408" s="267"/>
      <c r="I1408" s="267"/>
      <c r="J1408" s="267"/>
      <c r="K1408" s="264"/>
    </row>
    <row r="1409">
      <c r="A1409" s="264"/>
      <c r="B1409" s="303"/>
      <c r="C1409" s="303"/>
      <c r="D1409" s="304"/>
      <c r="E1409" s="304"/>
      <c r="F1409" s="304"/>
      <c r="G1409" s="267"/>
      <c r="H1409" s="267"/>
      <c r="I1409" s="267"/>
      <c r="J1409" s="267"/>
      <c r="K1409" s="264"/>
    </row>
    <row r="1410">
      <c r="A1410" s="264"/>
      <c r="B1410" s="303"/>
      <c r="C1410" s="303"/>
      <c r="D1410" s="304"/>
      <c r="E1410" s="304"/>
      <c r="F1410" s="304"/>
      <c r="G1410" s="267"/>
      <c r="H1410" s="267"/>
      <c r="I1410" s="267"/>
      <c r="J1410" s="267"/>
      <c r="K1410" s="264"/>
    </row>
    <row r="1411">
      <c r="A1411" s="264"/>
      <c r="B1411" s="303"/>
      <c r="C1411" s="303"/>
      <c r="D1411" s="304"/>
      <c r="E1411" s="304"/>
      <c r="F1411" s="304"/>
      <c r="G1411" s="267"/>
      <c r="H1411" s="267"/>
      <c r="I1411" s="267"/>
      <c r="J1411" s="267"/>
      <c r="K1411" s="264"/>
    </row>
    <row r="1412">
      <c r="A1412" s="264"/>
      <c r="B1412" s="303"/>
      <c r="C1412" s="303"/>
      <c r="D1412" s="304"/>
      <c r="E1412" s="304"/>
      <c r="F1412" s="304"/>
      <c r="G1412" s="267"/>
      <c r="H1412" s="267"/>
      <c r="I1412" s="267"/>
      <c r="J1412" s="267"/>
      <c r="K1412" s="264"/>
    </row>
    <row r="1413">
      <c r="A1413" s="264"/>
      <c r="B1413" s="303"/>
      <c r="C1413" s="303"/>
      <c r="D1413" s="304"/>
      <c r="E1413" s="304"/>
      <c r="F1413" s="304"/>
      <c r="G1413" s="267"/>
      <c r="H1413" s="267"/>
      <c r="I1413" s="267"/>
      <c r="J1413" s="267"/>
      <c r="K1413" s="264"/>
    </row>
    <row r="1414">
      <c r="A1414" s="264"/>
      <c r="B1414" s="303"/>
      <c r="C1414" s="303"/>
      <c r="D1414" s="304"/>
      <c r="E1414" s="304"/>
      <c r="F1414" s="304"/>
      <c r="G1414" s="267"/>
      <c r="H1414" s="267"/>
      <c r="I1414" s="267"/>
      <c r="J1414" s="267"/>
      <c r="K1414" s="264"/>
    </row>
    <row r="1415">
      <c r="A1415" s="264"/>
      <c r="B1415" s="303"/>
      <c r="C1415" s="303"/>
      <c r="D1415" s="304"/>
      <c r="E1415" s="304"/>
      <c r="F1415" s="304"/>
      <c r="G1415" s="267"/>
      <c r="H1415" s="267"/>
      <c r="I1415" s="267"/>
      <c r="J1415" s="267"/>
      <c r="K1415" s="264"/>
    </row>
    <row r="1416">
      <c r="A1416" s="264"/>
      <c r="B1416" s="303"/>
      <c r="C1416" s="303"/>
      <c r="D1416" s="304"/>
      <c r="E1416" s="304"/>
      <c r="F1416" s="304"/>
      <c r="G1416" s="267"/>
      <c r="H1416" s="267"/>
      <c r="I1416" s="267"/>
      <c r="J1416" s="267"/>
      <c r="K1416" s="264"/>
    </row>
    <row r="1417">
      <c r="A1417" s="264"/>
      <c r="B1417" s="303"/>
      <c r="C1417" s="303"/>
      <c r="D1417" s="304"/>
      <c r="E1417" s="304"/>
      <c r="F1417" s="304"/>
      <c r="G1417" s="267"/>
      <c r="H1417" s="267"/>
      <c r="I1417" s="267"/>
      <c r="J1417" s="267"/>
      <c r="K1417" s="264"/>
    </row>
    <row r="1418">
      <c r="A1418" s="264"/>
      <c r="B1418" s="303"/>
      <c r="C1418" s="303"/>
      <c r="D1418" s="304"/>
      <c r="E1418" s="304"/>
      <c r="F1418" s="304"/>
      <c r="G1418" s="267"/>
      <c r="H1418" s="267"/>
      <c r="I1418" s="267"/>
      <c r="J1418" s="267"/>
      <c r="K1418" s="264"/>
    </row>
    <row r="1419">
      <c r="A1419" s="264"/>
      <c r="B1419" s="303"/>
      <c r="C1419" s="303"/>
      <c r="D1419" s="304"/>
      <c r="E1419" s="304"/>
      <c r="F1419" s="304"/>
      <c r="G1419" s="267"/>
      <c r="H1419" s="267"/>
      <c r="I1419" s="267"/>
      <c r="J1419" s="267"/>
      <c r="K1419" s="264"/>
    </row>
    <row r="1420">
      <c r="A1420" s="264"/>
      <c r="B1420" s="303"/>
      <c r="C1420" s="303"/>
      <c r="D1420" s="304"/>
      <c r="E1420" s="304"/>
      <c r="F1420" s="304"/>
      <c r="G1420" s="267"/>
      <c r="H1420" s="267"/>
      <c r="I1420" s="267"/>
      <c r="J1420" s="267"/>
      <c r="K1420" s="264"/>
    </row>
    <row r="1421">
      <c r="A1421" s="264"/>
      <c r="B1421" s="303"/>
      <c r="C1421" s="303"/>
      <c r="D1421" s="304"/>
      <c r="E1421" s="304"/>
      <c r="F1421" s="304"/>
      <c r="G1421" s="267"/>
      <c r="H1421" s="267"/>
      <c r="I1421" s="267"/>
      <c r="J1421" s="267"/>
      <c r="K1421" s="264"/>
    </row>
    <row r="1422">
      <c r="A1422" s="264"/>
      <c r="B1422" s="303"/>
      <c r="C1422" s="303"/>
      <c r="D1422" s="304"/>
      <c r="E1422" s="304"/>
      <c r="F1422" s="304"/>
      <c r="G1422" s="267"/>
      <c r="H1422" s="267"/>
      <c r="I1422" s="267"/>
      <c r="J1422" s="267"/>
      <c r="K1422" s="264"/>
    </row>
    <row r="1423">
      <c r="A1423" s="264"/>
      <c r="B1423" s="303"/>
      <c r="C1423" s="303"/>
      <c r="D1423" s="304"/>
      <c r="E1423" s="304"/>
      <c r="F1423" s="304"/>
      <c r="G1423" s="267"/>
      <c r="H1423" s="267"/>
      <c r="I1423" s="267"/>
      <c r="J1423" s="267"/>
      <c r="K1423" s="264"/>
    </row>
    <row r="1424">
      <c r="A1424" s="264"/>
      <c r="B1424" s="303"/>
      <c r="C1424" s="303"/>
      <c r="D1424" s="304"/>
      <c r="E1424" s="304"/>
      <c r="F1424" s="304"/>
      <c r="G1424" s="267"/>
      <c r="H1424" s="267"/>
      <c r="I1424" s="267"/>
      <c r="J1424" s="267"/>
      <c r="K1424" s="264"/>
    </row>
    <row r="1425">
      <c r="A1425" s="264"/>
      <c r="B1425" s="303"/>
      <c r="C1425" s="303"/>
      <c r="D1425" s="304"/>
      <c r="E1425" s="304"/>
      <c r="F1425" s="304"/>
      <c r="G1425" s="267"/>
      <c r="H1425" s="267"/>
      <c r="I1425" s="267"/>
      <c r="J1425" s="267"/>
      <c r="K1425" s="264"/>
    </row>
    <row r="1426">
      <c r="A1426" s="264"/>
      <c r="B1426" s="303"/>
      <c r="C1426" s="303"/>
      <c r="D1426" s="304"/>
      <c r="E1426" s="304"/>
      <c r="F1426" s="304"/>
      <c r="G1426" s="267"/>
      <c r="H1426" s="267"/>
      <c r="I1426" s="267"/>
      <c r="J1426" s="267"/>
      <c r="K1426" s="264"/>
    </row>
    <row r="1427">
      <c r="A1427" s="264"/>
      <c r="B1427" s="303"/>
      <c r="C1427" s="303"/>
      <c r="D1427" s="304"/>
      <c r="E1427" s="304"/>
      <c r="F1427" s="304"/>
      <c r="G1427" s="267"/>
      <c r="H1427" s="267"/>
      <c r="I1427" s="267"/>
      <c r="J1427" s="267"/>
      <c r="K1427" s="264"/>
    </row>
    <row r="1428">
      <c r="A1428" s="264"/>
      <c r="B1428" s="303"/>
      <c r="C1428" s="303"/>
      <c r="D1428" s="304"/>
      <c r="E1428" s="304"/>
      <c r="F1428" s="304"/>
      <c r="G1428" s="267"/>
      <c r="H1428" s="267"/>
      <c r="I1428" s="267"/>
      <c r="J1428" s="267"/>
      <c r="K1428" s="264"/>
    </row>
    <row r="1429">
      <c r="A1429" s="264"/>
      <c r="B1429" s="303"/>
      <c r="C1429" s="303"/>
      <c r="D1429" s="304"/>
      <c r="E1429" s="304"/>
      <c r="F1429" s="304"/>
      <c r="G1429" s="267"/>
      <c r="H1429" s="267"/>
      <c r="I1429" s="267"/>
      <c r="J1429" s="267"/>
      <c r="K1429" s="264"/>
    </row>
    <row r="1430">
      <c r="A1430" s="264"/>
      <c r="B1430" s="303"/>
      <c r="C1430" s="303"/>
      <c r="D1430" s="304"/>
      <c r="E1430" s="304"/>
      <c r="F1430" s="304"/>
      <c r="G1430" s="267"/>
      <c r="H1430" s="267"/>
      <c r="I1430" s="267"/>
      <c r="J1430" s="267"/>
      <c r="K1430" s="264"/>
    </row>
    <row r="1431">
      <c r="A1431" s="264"/>
      <c r="B1431" s="303"/>
      <c r="C1431" s="303"/>
      <c r="D1431" s="304"/>
      <c r="E1431" s="304"/>
      <c r="F1431" s="304"/>
      <c r="G1431" s="267"/>
      <c r="H1431" s="267"/>
      <c r="I1431" s="267"/>
      <c r="J1431" s="267"/>
      <c r="K1431" s="264"/>
    </row>
    <row r="1432">
      <c r="A1432" s="264"/>
      <c r="B1432" s="303"/>
      <c r="C1432" s="303"/>
      <c r="D1432" s="304"/>
      <c r="E1432" s="304"/>
      <c r="F1432" s="304"/>
      <c r="G1432" s="267"/>
      <c r="H1432" s="267"/>
      <c r="I1432" s="267"/>
      <c r="J1432" s="267"/>
      <c r="K1432" s="264"/>
    </row>
    <row r="1433">
      <c r="A1433" s="264"/>
      <c r="B1433" s="303"/>
      <c r="C1433" s="303"/>
      <c r="D1433" s="304"/>
      <c r="E1433" s="304"/>
      <c r="F1433" s="304"/>
      <c r="G1433" s="267"/>
      <c r="H1433" s="267"/>
      <c r="I1433" s="267"/>
      <c r="J1433" s="267"/>
      <c r="K1433" s="264"/>
    </row>
    <row r="1434">
      <c r="A1434" s="264"/>
      <c r="B1434" s="303"/>
      <c r="C1434" s="303"/>
      <c r="D1434" s="304"/>
      <c r="E1434" s="304"/>
      <c r="F1434" s="304"/>
      <c r="G1434" s="267"/>
      <c r="H1434" s="267"/>
      <c r="I1434" s="267"/>
      <c r="J1434" s="267"/>
      <c r="K1434" s="264"/>
    </row>
    <row r="1435">
      <c r="A1435" s="264"/>
      <c r="B1435" s="303"/>
      <c r="C1435" s="303"/>
      <c r="D1435" s="304"/>
      <c r="E1435" s="304"/>
      <c r="F1435" s="304"/>
      <c r="G1435" s="267"/>
      <c r="H1435" s="267"/>
      <c r="I1435" s="267"/>
      <c r="J1435" s="267"/>
      <c r="K1435" s="264"/>
    </row>
    <row r="1436">
      <c r="A1436" s="264"/>
      <c r="B1436" s="303"/>
      <c r="C1436" s="303"/>
      <c r="D1436" s="304"/>
      <c r="E1436" s="304"/>
      <c r="F1436" s="304"/>
      <c r="G1436" s="267"/>
      <c r="H1436" s="267"/>
      <c r="I1436" s="267"/>
      <c r="J1436" s="267"/>
      <c r="K1436" s="264"/>
    </row>
    <row r="1437">
      <c r="A1437" s="264"/>
      <c r="B1437" s="303"/>
      <c r="C1437" s="303"/>
      <c r="D1437" s="304"/>
      <c r="E1437" s="304"/>
      <c r="F1437" s="304"/>
      <c r="G1437" s="267"/>
      <c r="H1437" s="267"/>
      <c r="I1437" s="267"/>
      <c r="J1437" s="267"/>
      <c r="K1437" s="264"/>
    </row>
    <row r="1438">
      <c r="A1438" s="264"/>
      <c r="B1438" s="303"/>
      <c r="C1438" s="303"/>
      <c r="D1438" s="304"/>
      <c r="E1438" s="304"/>
      <c r="F1438" s="304"/>
      <c r="G1438" s="267"/>
      <c r="H1438" s="267"/>
      <c r="I1438" s="267"/>
      <c r="J1438" s="267"/>
      <c r="K1438" s="264"/>
    </row>
    <row r="1439">
      <c r="A1439" s="264"/>
      <c r="B1439" s="303"/>
      <c r="C1439" s="303"/>
      <c r="D1439" s="304"/>
      <c r="E1439" s="304"/>
      <c r="F1439" s="304"/>
      <c r="G1439" s="267"/>
      <c r="H1439" s="267"/>
      <c r="I1439" s="267"/>
      <c r="J1439" s="267"/>
      <c r="K1439" s="264"/>
    </row>
    <row r="1440">
      <c r="A1440" s="264"/>
      <c r="B1440" s="303"/>
      <c r="C1440" s="303"/>
      <c r="D1440" s="304"/>
      <c r="E1440" s="304"/>
      <c r="F1440" s="304"/>
      <c r="G1440" s="267"/>
      <c r="H1440" s="267"/>
      <c r="I1440" s="267"/>
      <c r="J1440" s="267"/>
      <c r="K1440" s="264"/>
    </row>
    <row r="1441">
      <c r="A1441" s="264"/>
      <c r="B1441" s="303"/>
      <c r="C1441" s="303"/>
      <c r="D1441" s="304"/>
      <c r="E1441" s="304"/>
      <c r="F1441" s="304"/>
      <c r="G1441" s="267"/>
      <c r="H1441" s="267"/>
      <c r="I1441" s="267"/>
      <c r="J1441" s="267"/>
      <c r="K1441" s="264"/>
    </row>
    <row r="1442">
      <c r="A1442" s="264"/>
      <c r="B1442" s="303"/>
      <c r="C1442" s="303"/>
      <c r="D1442" s="304"/>
      <c r="E1442" s="304"/>
      <c r="F1442" s="304"/>
      <c r="G1442" s="267"/>
      <c r="H1442" s="267"/>
      <c r="I1442" s="267"/>
      <c r="J1442" s="267"/>
      <c r="K1442" s="264"/>
    </row>
    <row r="1443">
      <c r="A1443" s="264"/>
      <c r="B1443" s="303"/>
      <c r="C1443" s="303"/>
      <c r="D1443" s="304"/>
      <c r="E1443" s="304"/>
      <c r="F1443" s="304"/>
      <c r="G1443" s="267"/>
      <c r="H1443" s="267"/>
      <c r="I1443" s="267"/>
      <c r="J1443" s="267"/>
      <c r="K1443" s="264"/>
    </row>
    <row r="1444">
      <c r="A1444" s="264"/>
      <c r="B1444" s="303"/>
      <c r="C1444" s="303"/>
      <c r="D1444" s="304"/>
      <c r="E1444" s="304"/>
      <c r="F1444" s="304"/>
      <c r="G1444" s="267"/>
      <c r="H1444" s="267"/>
      <c r="I1444" s="267"/>
      <c r="J1444" s="267"/>
      <c r="K1444" s="264"/>
    </row>
    <row r="1445">
      <c r="A1445" s="264"/>
      <c r="B1445" s="303"/>
      <c r="C1445" s="303"/>
      <c r="D1445" s="304"/>
      <c r="E1445" s="304"/>
      <c r="F1445" s="304"/>
      <c r="G1445" s="267"/>
      <c r="H1445" s="267"/>
      <c r="I1445" s="267"/>
      <c r="J1445" s="267"/>
      <c r="K1445" s="264"/>
    </row>
    <row r="1446">
      <c r="A1446" s="264"/>
      <c r="B1446" s="303"/>
      <c r="C1446" s="303"/>
      <c r="D1446" s="304"/>
      <c r="E1446" s="304"/>
      <c r="F1446" s="304"/>
      <c r="G1446" s="267"/>
      <c r="H1446" s="267"/>
      <c r="I1446" s="267"/>
      <c r="J1446" s="267"/>
      <c r="K1446" s="264"/>
    </row>
    <row r="1447">
      <c r="A1447" s="264"/>
      <c r="B1447" s="303"/>
      <c r="C1447" s="303"/>
      <c r="D1447" s="304"/>
      <c r="E1447" s="304"/>
      <c r="F1447" s="304"/>
      <c r="G1447" s="267"/>
      <c r="H1447" s="267"/>
      <c r="I1447" s="267"/>
      <c r="J1447" s="267"/>
      <c r="K1447" s="264"/>
    </row>
    <row r="1448">
      <c r="A1448" s="264"/>
      <c r="B1448" s="303"/>
      <c r="C1448" s="303"/>
      <c r="D1448" s="304"/>
      <c r="E1448" s="304"/>
      <c r="F1448" s="304"/>
      <c r="G1448" s="267"/>
      <c r="H1448" s="267"/>
      <c r="I1448" s="267"/>
      <c r="J1448" s="267"/>
      <c r="K1448" s="264"/>
    </row>
    <row r="1449">
      <c r="A1449" s="264"/>
      <c r="B1449" s="303"/>
      <c r="C1449" s="303"/>
      <c r="D1449" s="304"/>
      <c r="E1449" s="304"/>
      <c r="F1449" s="304"/>
      <c r="G1449" s="267"/>
      <c r="H1449" s="267"/>
      <c r="I1449" s="267"/>
      <c r="J1449" s="267"/>
      <c r="K1449" s="264"/>
    </row>
    <row r="1450">
      <c r="A1450" s="264"/>
      <c r="B1450" s="303"/>
      <c r="C1450" s="303"/>
      <c r="D1450" s="304"/>
      <c r="E1450" s="304"/>
      <c r="F1450" s="304"/>
      <c r="G1450" s="267"/>
      <c r="H1450" s="267"/>
      <c r="I1450" s="267"/>
      <c r="J1450" s="267"/>
      <c r="K1450" s="264"/>
    </row>
    <row r="1451">
      <c r="A1451" s="264"/>
      <c r="B1451" s="303"/>
      <c r="C1451" s="303"/>
      <c r="D1451" s="304"/>
      <c r="E1451" s="304"/>
      <c r="F1451" s="304"/>
      <c r="G1451" s="267"/>
      <c r="H1451" s="267"/>
      <c r="I1451" s="267"/>
      <c r="J1451" s="267"/>
      <c r="K1451" s="264"/>
    </row>
    <row r="1452">
      <c r="A1452" s="264"/>
      <c r="B1452" s="303"/>
      <c r="C1452" s="303"/>
      <c r="D1452" s="304"/>
      <c r="E1452" s="304"/>
      <c r="F1452" s="304"/>
      <c r="G1452" s="267"/>
      <c r="H1452" s="267"/>
      <c r="I1452" s="267"/>
      <c r="J1452" s="267"/>
      <c r="K1452" s="264"/>
    </row>
    <row r="1453">
      <c r="A1453" s="264"/>
      <c r="B1453" s="303"/>
      <c r="C1453" s="303"/>
      <c r="D1453" s="304"/>
      <c r="E1453" s="304"/>
      <c r="F1453" s="304"/>
      <c r="G1453" s="267"/>
      <c r="H1453" s="267"/>
      <c r="I1453" s="267"/>
      <c r="J1453" s="267"/>
      <c r="K1453" s="264"/>
    </row>
    <row r="1454">
      <c r="A1454" s="264"/>
      <c r="B1454" s="303"/>
      <c r="C1454" s="303"/>
      <c r="D1454" s="304"/>
      <c r="E1454" s="304"/>
      <c r="F1454" s="304"/>
      <c r="G1454" s="267"/>
      <c r="H1454" s="267"/>
      <c r="I1454" s="267"/>
      <c r="J1454" s="267"/>
      <c r="K1454" s="264"/>
    </row>
    <row r="1455">
      <c r="A1455" s="264"/>
      <c r="B1455" s="303"/>
      <c r="C1455" s="303"/>
      <c r="D1455" s="304"/>
      <c r="E1455" s="304"/>
      <c r="F1455" s="304"/>
      <c r="G1455" s="267"/>
      <c r="H1455" s="267"/>
      <c r="I1455" s="267"/>
      <c r="J1455" s="267"/>
      <c r="K1455" s="264"/>
    </row>
    <row r="1456">
      <c r="A1456" s="264"/>
      <c r="B1456" s="303"/>
      <c r="C1456" s="303"/>
      <c r="D1456" s="304"/>
      <c r="E1456" s="304"/>
      <c r="F1456" s="304"/>
      <c r="G1456" s="267"/>
      <c r="H1456" s="267"/>
      <c r="I1456" s="267"/>
      <c r="J1456" s="267"/>
      <c r="K1456" s="264"/>
    </row>
    <row r="1457">
      <c r="A1457" s="264"/>
      <c r="B1457" s="303"/>
      <c r="C1457" s="303"/>
      <c r="D1457" s="304"/>
      <c r="E1457" s="304"/>
      <c r="F1457" s="304"/>
      <c r="G1457" s="267"/>
      <c r="H1457" s="267"/>
      <c r="I1457" s="267"/>
      <c r="J1457" s="267"/>
      <c r="K1457" s="264"/>
    </row>
    <row r="1458">
      <c r="A1458" s="264"/>
      <c r="B1458" s="303"/>
      <c r="C1458" s="303"/>
      <c r="D1458" s="304"/>
      <c r="E1458" s="304"/>
      <c r="F1458" s="304"/>
      <c r="G1458" s="267"/>
      <c r="H1458" s="267"/>
      <c r="I1458" s="267"/>
      <c r="J1458" s="267"/>
      <c r="K1458" s="264"/>
    </row>
    <row r="1459">
      <c r="A1459" s="264"/>
      <c r="B1459" s="303"/>
      <c r="C1459" s="303"/>
      <c r="D1459" s="304"/>
      <c r="E1459" s="304"/>
      <c r="F1459" s="304"/>
      <c r="G1459" s="267"/>
      <c r="H1459" s="267"/>
      <c r="I1459" s="267"/>
      <c r="J1459" s="267"/>
      <c r="K1459" s="264"/>
    </row>
    <row r="1460">
      <c r="A1460" s="264"/>
      <c r="B1460" s="303"/>
      <c r="C1460" s="303"/>
      <c r="D1460" s="304"/>
      <c r="E1460" s="304"/>
      <c r="F1460" s="304"/>
      <c r="G1460" s="267"/>
      <c r="H1460" s="267"/>
      <c r="I1460" s="267"/>
      <c r="J1460" s="267"/>
      <c r="K1460" s="264"/>
    </row>
    <row r="1461">
      <c r="A1461" s="264"/>
      <c r="B1461" s="303"/>
      <c r="C1461" s="303"/>
      <c r="D1461" s="304"/>
      <c r="E1461" s="304"/>
      <c r="F1461" s="304"/>
      <c r="G1461" s="267"/>
      <c r="H1461" s="267"/>
      <c r="I1461" s="267"/>
      <c r="J1461" s="267"/>
      <c r="K1461" s="264"/>
    </row>
    <row r="1462">
      <c r="A1462" s="264"/>
      <c r="B1462" s="303"/>
      <c r="C1462" s="303"/>
      <c r="D1462" s="304"/>
      <c r="E1462" s="304"/>
      <c r="F1462" s="304"/>
      <c r="G1462" s="267"/>
      <c r="H1462" s="267"/>
      <c r="I1462" s="267"/>
      <c r="J1462" s="267"/>
      <c r="K1462" s="264"/>
    </row>
    <row r="1463">
      <c r="A1463" s="264"/>
      <c r="B1463" s="303"/>
      <c r="C1463" s="303"/>
      <c r="D1463" s="304"/>
      <c r="E1463" s="304"/>
      <c r="F1463" s="304"/>
      <c r="G1463" s="267"/>
      <c r="H1463" s="267"/>
      <c r="I1463" s="267"/>
      <c r="J1463" s="267"/>
      <c r="K1463" s="264"/>
    </row>
    <row r="1464">
      <c r="A1464" s="264"/>
      <c r="B1464" s="303"/>
      <c r="C1464" s="303"/>
      <c r="D1464" s="304"/>
      <c r="E1464" s="304"/>
      <c r="F1464" s="304"/>
      <c r="G1464" s="267"/>
      <c r="H1464" s="267"/>
      <c r="I1464" s="267"/>
      <c r="J1464" s="267"/>
      <c r="K1464" s="264"/>
    </row>
    <row r="1465">
      <c r="A1465" s="264"/>
      <c r="B1465" s="303"/>
      <c r="C1465" s="303"/>
      <c r="D1465" s="304"/>
      <c r="E1465" s="304"/>
      <c r="F1465" s="304"/>
      <c r="G1465" s="267"/>
      <c r="H1465" s="267"/>
      <c r="I1465" s="267"/>
      <c r="J1465" s="267"/>
      <c r="K1465" s="264"/>
    </row>
    <row r="1466">
      <c r="A1466" s="264"/>
      <c r="B1466" s="303"/>
      <c r="C1466" s="303"/>
      <c r="D1466" s="304"/>
      <c r="E1466" s="304"/>
      <c r="F1466" s="304"/>
      <c r="G1466" s="267"/>
      <c r="H1466" s="267"/>
      <c r="I1466" s="267"/>
      <c r="J1466" s="267"/>
      <c r="K1466" s="264"/>
    </row>
    <row r="1467">
      <c r="A1467" s="264"/>
      <c r="B1467" s="303"/>
      <c r="C1467" s="303"/>
      <c r="D1467" s="304"/>
      <c r="E1467" s="304"/>
      <c r="F1467" s="304"/>
      <c r="G1467" s="267"/>
      <c r="H1467" s="267"/>
      <c r="I1467" s="267"/>
      <c r="J1467" s="267"/>
      <c r="K1467" s="264"/>
    </row>
    <row r="1468">
      <c r="A1468" s="264"/>
      <c r="B1468" s="303"/>
      <c r="C1468" s="303"/>
      <c r="D1468" s="304"/>
      <c r="E1468" s="304"/>
      <c r="F1468" s="304"/>
      <c r="G1468" s="267"/>
      <c r="H1468" s="267"/>
      <c r="I1468" s="267"/>
      <c r="J1468" s="267"/>
      <c r="K1468" s="264"/>
    </row>
    <row r="1469">
      <c r="A1469" s="264"/>
      <c r="B1469" s="303"/>
      <c r="C1469" s="303"/>
      <c r="D1469" s="304"/>
      <c r="E1469" s="304"/>
      <c r="F1469" s="304"/>
      <c r="G1469" s="267"/>
      <c r="H1469" s="267"/>
      <c r="I1469" s="267"/>
      <c r="J1469" s="267"/>
      <c r="K1469" s="264"/>
    </row>
    <row r="1470">
      <c r="A1470" s="264"/>
      <c r="B1470" s="303"/>
      <c r="C1470" s="303"/>
      <c r="D1470" s="304"/>
      <c r="E1470" s="304"/>
      <c r="F1470" s="304"/>
      <c r="G1470" s="267"/>
      <c r="H1470" s="267"/>
      <c r="I1470" s="267"/>
      <c r="J1470" s="267"/>
      <c r="K1470" s="264"/>
    </row>
    <row r="1471">
      <c r="A1471" s="264"/>
      <c r="B1471" s="303"/>
      <c r="C1471" s="303"/>
      <c r="D1471" s="304"/>
      <c r="E1471" s="304"/>
      <c r="F1471" s="304"/>
      <c r="G1471" s="267"/>
      <c r="H1471" s="267"/>
      <c r="I1471" s="267"/>
      <c r="J1471" s="267"/>
      <c r="K1471" s="264"/>
    </row>
    <row r="1472">
      <c r="A1472" s="264"/>
      <c r="B1472" s="303"/>
      <c r="C1472" s="303"/>
      <c r="D1472" s="304"/>
      <c r="E1472" s="304"/>
      <c r="F1472" s="304"/>
      <c r="G1472" s="267"/>
      <c r="H1472" s="267"/>
      <c r="I1472" s="267"/>
      <c r="J1472" s="267"/>
      <c r="K1472" s="264"/>
    </row>
    <row r="1473">
      <c r="A1473" s="264"/>
      <c r="B1473" s="303"/>
      <c r="C1473" s="303"/>
      <c r="D1473" s="304"/>
      <c r="E1473" s="304"/>
      <c r="F1473" s="304"/>
      <c r="G1473" s="267"/>
      <c r="H1473" s="267"/>
      <c r="I1473" s="267"/>
      <c r="J1473" s="267"/>
      <c r="K1473" s="264"/>
    </row>
    <row r="1474">
      <c r="A1474" s="264"/>
      <c r="B1474" s="303"/>
      <c r="C1474" s="303"/>
      <c r="D1474" s="304"/>
      <c r="E1474" s="304"/>
      <c r="F1474" s="304"/>
      <c r="G1474" s="267"/>
      <c r="H1474" s="267"/>
      <c r="I1474" s="267"/>
      <c r="J1474" s="267"/>
      <c r="K1474" s="264"/>
    </row>
    <row r="1475">
      <c r="A1475" s="264"/>
      <c r="B1475" s="303"/>
      <c r="C1475" s="303"/>
      <c r="D1475" s="304"/>
      <c r="E1475" s="304"/>
      <c r="F1475" s="304"/>
      <c r="G1475" s="267"/>
      <c r="H1475" s="267"/>
      <c r="I1475" s="267"/>
      <c r="J1475" s="267"/>
      <c r="K1475" s="264"/>
    </row>
    <row r="1476">
      <c r="A1476" s="264"/>
      <c r="B1476" s="303"/>
      <c r="C1476" s="303"/>
      <c r="D1476" s="304"/>
      <c r="E1476" s="304"/>
      <c r="F1476" s="304"/>
      <c r="G1476" s="267"/>
      <c r="H1476" s="267"/>
      <c r="I1476" s="267"/>
      <c r="J1476" s="267"/>
      <c r="K1476" s="264"/>
    </row>
    <row r="1477">
      <c r="A1477" s="264"/>
      <c r="B1477" s="303"/>
      <c r="C1477" s="303"/>
      <c r="D1477" s="304"/>
      <c r="E1477" s="304"/>
      <c r="F1477" s="304"/>
      <c r="G1477" s="267"/>
      <c r="H1477" s="267"/>
      <c r="I1477" s="267"/>
      <c r="J1477" s="267"/>
      <c r="K1477" s="264"/>
    </row>
    <row r="1478">
      <c r="A1478" s="264"/>
      <c r="B1478" s="303"/>
      <c r="C1478" s="303"/>
      <c r="D1478" s="304"/>
      <c r="E1478" s="304"/>
      <c r="F1478" s="304"/>
      <c r="G1478" s="267"/>
      <c r="H1478" s="267"/>
      <c r="I1478" s="267"/>
      <c r="J1478" s="267"/>
      <c r="K1478" s="264"/>
    </row>
    <row r="1479">
      <c r="A1479" s="264"/>
      <c r="B1479" s="303"/>
      <c r="C1479" s="303"/>
      <c r="D1479" s="304"/>
      <c r="E1479" s="304"/>
      <c r="F1479" s="304"/>
      <c r="G1479" s="267"/>
      <c r="H1479" s="267"/>
      <c r="I1479" s="267"/>
      <c r="J1479" s="267"/>
      <c r="K1479" s="264"/>
    </row>
    <row r="1480">
      <c r="A1480" s="264"/>
      <c r="B1480" s="303"/>
      <c r="C1480" s="303"/>
      <c r="D1480" s="304"/>
      <c r="E1480" s="304"/>
      <c r="F1480" s="304"/>
      <c r="G1480" s="267"/>
      <c r="H1480" s="267"/>
      <c r="I1480" s="267"/>
      <c r="J1480" s="267"/>
      <c r="K1480" s="264"/>
    </row>
    <row r="1481">
      <c r="A1481" s="264"/>
      <c r="B1481" s="303"/>
      <c r="C1481" s="303"/>
      <c r="D1481" s="304"/>
      <c r="E1481" s="304"/>
      <c r="F1481" s="304"/>
      <c r="G1481" s="267"/>
      <c r="H1481" s="267"/>
      <c r="I1481" s="267"/>
      <c r="J1481" s="267"/>
      <c r="K1481" s="264"/>
    </row>
    <row r="1482">
      <c r="A1482" s="264"/>
      <c r="B1482" s="303"/>
      <c r="C1482" s="303"/>
      <c r="D1482" s="304"/>
      <c r="E1482" s="304"/>
      <c r="F1482" s="304"/>
      <c r="G1482" s="267"/>
      <c r="H1482" s="267"/>
      <c r="I1482" s="267"/>
      <c r="J1482" s="267"/>
      <c r="K1482" s="264"/>
    </row>
    <row r="1483">
      <c r="A1483" s="264"/>
      <c r="B1483" s="303"/>
      <c r="C1483" s="303"/>
      <c r="D1483" s="304"/>
      <c r="E1483" s="304"/>
      <c r="F1483" s="304"/>
      <c r="G1483" s="267"/>
      <c r="H1483" s="267"/>
      <c r="I1483" s="267"/>
      <c r="J1483" s="267"/>
      <c r="K1483" s="264"/>
    </row>
    <row r="1484">
      <c r="A1484" s="264"/>
      <c r="B1484" s="303"/>
      <c r="C1484" s="303"/>
      <c r="D1484" s="304"/>
      <c r="E1484" s="304"/>
      <c r="F1484" s="304"/>
      <c r="G1484" s="267"/>
      <c r="H1484" s="267"/>
      <c r="I1484" s="267"/>
      <c r="J1484" s="267"/>
      <c r="K1484" s="264"/>
    </row>
    <row r="1485">
      <c r="A1485" s="264"/>
      <c r="B1485" s="303"/>
      <c r="C1485" s="303"/>
      <c r="D1485" s="304"/>
      <c r="E1485" s="304"/>
      <c r="F1485" s="304"/>
      <c r="G1485" s="267"/>
      <c r="H1485" s="267"/>
      <c r="I1485" s="267"/>
      <c r="J1485" s="267"/>
      <c r="K1485" s="264"/>
    </row>
    <row r="1486">
      <c r="A1486" s="264"/>
      <c r="B1486" s="303"/>
      <c r="C1486" s="303"/>
      <c r="D1486" s="304"/>
      <c r="E1486" s="304"/>
      <c r="F1486" s="304"/>
      <c r="G1486" s="267"/>
      <c r="H1486" s="267"/>
      <c r="I1486" s="267"/>
      <c r="J1486" s="267"/>
      <c r="K1486" s="264"/>
    </row>
    <row r="1487">
      <c r="A1487" s="264"/>
      <c r="B1487" s="303"/>
      <c r="C1487" s="303"/>
      <c r="D1487" s="304"/>
      <c r="E1487" s="304"/>
      <c r="F1487" s="304"/>
      <c r="G1487" s="267"/>
      <c r="H1487" s="267"/>
      <c r="I1487" s="267"/>
      <c r="J1487" s="267"/>
      <c r="K1487" s="264"/>
    </row>
    <row r="1488">
      <c r="A1488" s="264"/>
      <c r="B1488" s="303"/>
      <c r="C1488" s="303"/>
      <c r="D1488" s="304"/>
      <c r="E1488" s="304"/>
      <c r="F1488" s="304"/>
      <c r="G1488" s="267"/>
      <c r="H1488" s="267"/>
      <c r="I1488" s="267"/>
      <c r="J1488" s="267"/>
      <c r="K1488" s="264"/>
    </row>
    <row r="1489">
      <c r="A1489" s="264"/>
      <c r="B1489" s="303"/>
      <c r="C1489" s="303"/>
      <c r="D1489" s="304"/>
      <c r="E1489" s="304"/>
      <c r="F1489" s="304"/>
      <c r="G1489" s="267"/>
      <c r="H1489" s="267"/>
      <c r="I1489" s="267"/>
      <c r="J1489" s="267"/>
      <c r="K1489" s="264"/>
    </row>
    <row r="1490">
      <c r="A1490" s="264"/>
      <c r="B1490" s="303"/>
      <c r="C1490" s="303"/>
      <c r="D1490" s="304"/>
      <c r="E1490" s="304"/>
      <c r="F1490" s="304"/>
      <c r="G1490" s="267"/>
      <c r="H1490" s="267"/>
      <c r="I1490" s="267"/>
      <c r="J1490" s="267"/>
      <c r="K1490" s="264"/>
    </row>
    <row r="1491">
      <c r="A1491" s="264"/>
      <c r="B1491" s="303"/>
      <c r="C1491" s="303"/>
      <c r="D1491" s="304"/>
      <c r="E1491" s="304"/>
      <c r="F1491" s="304"/>
      <c r="G1491" s="267"/>
      <c r="H1491" s="267"/>
      <c r="I1491" s="267"/>
      <c r="J1491" s="267"/>
      <c r="K1491" s="264"/>
    </row>
    <row r="1492">
      <c r="A1492" s="264"/>
      <c r="B1492" s="303"/>
      <c r="C1492" s="303"/>
      <c r="D1492" s="304"/>
      <c r="E1492" s="304"/>
      <c r="F1492" s="304"/>
      <c r="G1492" s="267"/>
      <c r="H1492" s="267"/>
      <c r="I1492" s="267"/>
      <c r="J1492" s="267"/>
      <c r="K1492" s="264"/>
    </row>
    <row r="1493">
      <c r="A1493" s="264"/>
      <c r="B1493" s="303"/>
      <c r="C1493" s="303"/>
      <c r="D1493" s="304"/>
      <c r="E1493" s="304"/>
      <c r="F1493" s="304"/>
      <c r="G1493" s="267"/>
      <c r="H1493" s="267"/>
      <c r="I1493" s="267"/>
      <c r="J1493" s="267"/>
      <c r="K1493" s="264"/>
    </row>
    <row r="1494">
      <c r="A1494" s="264"/>
      <c r="B1494" s="303"/>
      <c r="C1494" s="303"/>
      <c r="D1494" s="304"/>
      <c r="E1494" s="304"/>
      <c r="F1494" s="304"/>
      <c r="G1494" s="267"/>
      <c r="H1494" s="267"/>
      <c r="I1494" s="267"/>
      <c r="J1494" s="267"/>
      <c r="K1494" s="264"/>
    </row>
    <row r="1495">
      <c r="A1495" s="264"/>
      <c r="B1495" s="303"/>
      <c r="C1495" s="303"/>
      <c r="D1495" s="304"/>
      <c r="E1495" s="304"/>
      <c r="F1495" s="304"/>
      <c r="G1495" s="267"/>
      <c r="H1495" s="267"/>
      <c r="I1495" s="267"/>
      <c r="J1495" s="267"/>
      <c r="K1495" s="264"/>
    </row>
    <row r="1496">
      <c r="A1496" s="264"/>
      <c r="B1496" s="303"/>
      <c r="C1496" s="303"/>
      <c r="D1496" s="304"/>
      <c r="E1496" s="304"/>
      <c r="F1496" s="304"/>
      <c r="G1496" s="267"/>
      <c r="H1496" s="267"/>
      <c r="I1496" s="267"/>
      <c r="J1496" s="267"/>
      <c r="K1496" s="264"/>
    </row>
    <row r="1497">
      <c r="A1497" s="264"/>
      <c r="B1497" s="303"/>
      <c r="C1497" s="303"/>
      <c r="D1497" s="304"/>
      <c r="E1497" s="304"/>
      <c r="F1497" s="304"/>
      <c r="G1497" s="267"/>
      <c r="H1497" s="267"/>
      <c r="I1497" s="267"/>
      <c r="J1497" s="267"/>
      <c r="K1497" s="264"/>
    </row>
    <row r="1498">
      <c r="A1498" s="264"/>
      <c r="B1498" s="303"/>
      <c r="C1498" s="303"/>
      <c r="D1498" s="304"/>
      <c r="E1498" s="304"/>
      <c r="F1498" s="304"/>
      <c r="G1498" s="267"/>
      <c r="H1498" s="267"/>
      <c r="I1498" s="267"/>
      <c r="J1498" s="267"/>
      <c r="K1498" s="264"/>
    </row>
    <row r="1499">
      <c r="A1499" s="264"/>
      <c r="B1499" s="303"/>
      <c r="C1499" s="303"/>
      <c r="D1499" s="304"/>
      <c r="E1499" s="304"/>
      <c r="F1499" s="304"/>
      <c r="G1499" s="267"/>
      <c r="H1499" s="267"/>
      <c r="I1499" s="267"/>
      <c r="J1499" s="267"/>
      <c r="K1499" s="264"/>
    </row>
    <row r="1500">
      <c r="A1500" s="264"/>
      <c r="B1500" s="303"/>
      <c r="C1500" s="303"/>
      <c r="D1500" s="304"/>
      <c r="E1500" s="304"/>
      <c r="F1500" s="304"/>
      <c r="G1500" s="267"/>
      <c r="H1500" s="267"/>
      <c r="I1500" s="267"/>
      <c r="J1500" s="267"/>
      <c r="K1500" s="264"/>
    </row>
    <row r="1501">
      <c r="A1501" s="264"/>
      <c r="B1501" s="303"/>
      <c r="C1501" s="303"/>
      <c r="D1501" s="304"/>
      <c r="E1501" s="304"/>
      <c r="F1501" s="304"/>
      <c r="G1501" s="267"/>
      <c r="H1501" s="267"/>
      <c r="I1501" s="267"/>
      <c r="J1501" s="267"/>
      <c r="K1501" s="264"/>
    </row>
    <row r="1502">
      <c r="A1502" s="264"/>
      <c r="B1502" s="303"/>
      <c r="C1502" s="303"/>
      <c r="D1502" s="304"/>
      <c r="E1502" s="304"/>
      <c r="F1502" s="304"/>
      <c r="G1502" s="267"/>
      <c r="H1502" s="267"/>
      <c r="I1502" s="267"/>
      <c r="J1502" s="267"/>
      <c r="K1502" s="264"/>
    </row>
    <row r="1503">
      <c r="A1503" s="264"/>
      <c r="B1503" s="303"/>
      <c r="C1503" s="303"/>
      <c r="D1503" s="304"/>
      <c r="E1503" s="304"/>
      <c r="F1503" s="304"/>
      <c r="G1503" s="267"/>
      <c r="H1503" s="267"/>
      <c r="I1503" s="267"/>
      <c r="J1503" s="267"/>
      <c r="K1503" s="264"/>
    </row>
    <row r="1504">
      <c r="A1504" s="264"/>
      <c r="B1504" s="303"/>
      <c r="C1504" s="303"/>
      <c r="D1504" s="304"/>
      <c r="E1504" s="304"/>
      <c r="F1504" s="304"/>
      <c r="G1504" s="267"/>
      <c r="H1504" s="267"/>
      <c r="I1504" s="267"/>
      <c r="J1504" s="267"/>
      <c r="K1504" s="264"/>
    </row>
    <row r="1505">
      <c r="A1505" s="264"/>
      <c r="B1505" s="303"/>
      <c r="C1505" s="303"/>
      <c r="D1505" s="304"/>
      <c r="E1505" s="304"/>
      <c r="F1505" s="304"/>
      <c r="G1505" s="267"/>
      <c r="H1505" s="267"/>
      <c r="I1505" s="267"/>
      <c r="J1505" s="267"/>
      <c r="K1505" s="264"/>
    </row>
    <row r="1506">
      <c r="A1506" s="264"/>
      <c r="B1506" s="303"/>
      <c r="C1506" s="303"/>
      <c r="D1506" s="304"/>
      <c r="E1506" s="304"/>
      <c r="F1506" s="304"/>
      <c r="G1506" s="267"/>
      <c r="H1506" s="267"/>
      <c r="I1506" s="267"/>
      <c r="J1506" s="267"/>
      <c r="K1506" s="264"/>
    </row>
    <row r="1507">
      <c r="A1507" s="264"/>
      <c r="B1507" s="303"/>
      <c r="C1507" s="303"/>
      <c r="D1507" s="304"/>
      <c r="E1507" s="304"/>
      <c r="F1507" s="304"/>
      <c r="G1507" s="267"/>
      <c r="H1507" s="267"/>
      <c r="I1507" s="267"/>
      <c r="J1507" s="267"/>
      <c r="K1507" s="264"/>
    </row>
    <row r="1508">
      <c r="A1508" s="264"/>
      <c r="B1508" s="303"/>
      <c r="C1508" s="303"/>
      <c r="D1508" s="304"/>
      <c r="E1508" s="304"/>
      <c r="F1508" s="304"/>
      <c r="G1508" s="267"/>
      <c r="H1508" s="267"/>
      <c r="I1508" s="267"/>
      <c r="J1508" s="267"/>
      <c r="K1508" s="264"/>
    </row>
    <row r="1509">
      <c r="A1509" s="264"/>
      <c r="B1509" s="303"/>
      <c r="C1509" s="303"/>
      <c r="D1509" s="304"/>
      <c r="E1509" s="304"/>
      <c r="F1509" s="304"/>
      <c r="G1509" s="267"/>
      <c r="H1509" s="267"/>
      <c r="I1509" s="267"/>
      <c r="J1509" s="267"/>
      <c r="K1509" s="264"/>
    </row>
    <row r="1510">
      <c r="A1510" s="264"/>
      <c r="B1510" s="303"/>
      <c r="C1510" s="303"/>
      <c r="D1510" s="304"/>
      <c r="E1510" s="304"/>
      <c r="F1510" s="304"/>
      <c r="G1510" s="267"/>
      <c r="H1510" s="267"/>
      <c r="I1510" s="267"/>
      <c r="J1510" s="267"/>
      <c r="K1510" s="264"/>
    </row>
    <row r="1511">
      <c r="A1511" s="264"/>
      <c r="B1511" s="303"/>
      <c r="C1511" s="303"/>
      <c r="D1511" s="304"/>
      <c r="E1511" s="304"/>
      <c r="F1511" s="304"/>
      <c r="G1511" s="267"/>
      <c r="H1511" s="267"/>
      <c r="I1511" s="267"/>
      <c r="J1511" s="267"/>
      <c r="K1511" s="264"/>
    </row>
    <row r="1512">
      <c r="A1512" s="264"/>
      <c r="B1512" s="303"/>
      <c r="C1512" s="303"/>
      <c r="D1512" s="304"/>
      <c r="E1512" s="304"/>
      <c r="F1512" s="304"/>
      <c r="G1512" s="267"/>
      <c r="H1512" s="267"/>
      <c r="I1512" s="267"/>
      <c r="J1512" s="267"/>
      <c r="K1512" s="264"/>
    </row>
    <row r="1513">
      <c r="A1513" s="264"/>
      <c r="B1513" s="303"/>
      <c r="C1513" s="303"/>
      <c r="D1513" s="304"/>
      <c r="E1513" s="304"/>
      <c r="F1513" s="304"/>
      <c r="G1513" s="267"/>
      <c r="H1513" s="267"/>
      <c r="I1513" s="267"/>
      <c r="J1513" s="267"/>
      <c r="K1513" s="264"/>
    </row>
    <row r="1514">
      <c r="A1514" s="264"/>
      <c r="B1514" s="303"/>
      <c r="C1514" s="303"/>
      <c r="D1514" s="304"/>
      <c r="E1514" s="304"/>
      <c r="F1514" s="304"/>
      <c r="G1514" s="267"/>
      <c r="H1514" s="267"/>
      <c r="I1514" s="267"/>
      <c r="J1514" s="267"/>
      <c r="K1514" s="264"/>
    </row>
    <row r="1515">
      <c r="A1515" s="264"/>
      <c r="B1515" s="303"/>
      <c r="C1515" s="303"/>
      <c r="D1515" s="304"/>
      <c r="E1515" s="304"/>
      <c r="F1515" s="304"/>
      <c r="G1515" s="267"/>
      <c r="H1515" s="267"/>
      <c r="I1515" s="267"/>
      <c r="J1515" s="267"/>
      <c r="K1515" s="264"/>
    </row>
    <row r="1516">
      <c r="A1516" s="264"/>
      <c r="B1516" s="303"/>
      <c r="C1516" s="303"/>
      <c r="D1516" s="304"/>
      <c r="E1516" s="304"/>
      <c r="F1516" s="304"/>
      <c r="G1516" s="267"/>
      <c r="H1516" s="267"/>
      <c r="I1516" s="267"/>
      <c r="J1516" s="267"/>
      <c r="K1516" s="264"/>
    </row>
    <row r="1517">
      <c r="A1517" s="264"/>
      <c r="B1517" s="303"/>
      <c r="C1517" s="303"/>
      <c r="D1517" s="304"/>
      <c r="E1517" s="304"/>
      <c r="F1517" s="304"/>
      <c r="G1517" s="267"/>
      <c r="H1517" s="267"/>
      <c r="I1517" s="267"/>
      <c r="J1517" s="267"/>
      <c r="K1517" s="264"/>
    </row>
    <row r="1518">
      <c r="A1518" s="264"/>
      <c r="B1518" s="303"/>
      <c r="C1518" s="303"/>
      <c r="D1518" s="304"/>
      <c r="E1518" s="304"/>
      <c r="F1518" s="304"/>
      <c r="G1518" s="267"/>
      <c r="H1518" s="267"/>
      <c r="I1518" s="267"/>
      <c r="J1518" s="267"/>
      <c r="K1518" s="264"/>
    </row>
    <row r="1519">
      <c r="A1519" s="264"/>
      <c r="B1519" s="303"/>
      <c r="C1519" s="303"/>
      <c r="D1519" s="304"/>
      <c r="E1519" s="304"/>
      <c r="F1519" s="304"/>
      <c r="G1519" s="267"/>
      <c r="H1519" s="267"/>
      <c r="I1519" s="267"/>
      <c r="J1519" s="267"/>
      <c r="K1519" s="264"/>
    </row>
    <row r="1520">
      <c r="A1520" s="264"/>
      <c r="B1520" s="303"/>
      <c r="C1520" s="303"/>
      <c r="D1520" s="304"/>
      <c r="E1520" s="304"/>
      <c r="F1520" s="304"/>
      <c r="G1520" s="267"/>
      <c r="H1520" s="267"/>
      <c r="I1520" s="267"/>
      <c r="J1520" s="267"/>
      <c r="K1520" s="264"/>
    </row>
    <row r="1521">
      <c r="A1521" s="264"/>
      <c r="B1521" s="303"/>
      <c r="C1521" s="303"/>
      <c r="D1521" s="304"/>
      <c r="E1521" s="304"/>
      <c r="F1521" s="304"/>
      <c r="G1521" s="267"/>
      <c r="H1521" s="267"/>
      <c r="I1521" s="267"/>
      <c r="J1521" s="267"/>
      <c r="K1521" s="264"/>
    </row>
    <row r="1522">
      <c r="A1522" s="264"/>
      <c r="B1522" s="303"/>
      <c r="C1522" s="303"/>
      <c r="D1522" s="304"/>
      <c r="E1522" s="304"/>
      <c r="F1522" s="304"/>
      <c r="G1522" s="267"/>
      <c r="H1522" s="267"/>
      <c r="I1522" s="267"/>
      <c r="J1522" s="267"/>
      <c r="K1522" s="264"/>
    </row>
    <row r="1523">
      <c r="A1523" s="264"/>
      <c r="B1523" s="303"/>
      <c r="C1523" s="303"/>
      <c r="D1523" s="304"/>
      <c r="E1523" s="304"/>
      <c r="F1523" s="304"/>
      <c r="G1523" s="267"/>
      <c r="H1523" s="267"/>
      <c r="I1523" s="267"/>
      <c r="J1523" s="267"/>
      <c r="K1523" s="264"/>
    </row>
    <row r="1524">
      <c r="A1524" s="264"/>
      <c r="B1524" s="303"/>
      <c r="C1524" s="303"/>
      <c r="D1524" s="304"/>
      <c r="E1524" s="304"/>
      <c r="F1524" s="304"/>
      <c r="G1524" s="267"/>
      <c r="H1524" s="267"/>
      <c r="I1524" s="267"/>
      <c r="J1524" s="267"/>
      <c r="K1524" s="264"/>
    </row>
    <row r="1525">
      <c r="A1525" s="264"/>
      <c r="B1525" s="303"/>
      <c r="C1525" s="303"/>
      <c r="D1525" s="304"/>
      <c r="E1525" s="304"/>
      <c r="F1525" s="304"/>
      <c r="G1525" s="267"/>
      <c r="H1525" s="267"/>
      <c r="I1525" s="267"/>
      <c r="J1525" s="267"/>
      <c r="K1525" s="264"/>
    </row>
    <row r="1526">
      <c r="A1526" s="264"/>
      <c r="B1526" s="303"/>
      <c r="C1526" s="303"/>
      <c r="D1526" s="304"/>
      <c r="E1526" s="304"/>
      <c r="F1526" s="304"/>
      <c r="G1526" s="267"/>
      <c r="H1526" s="267"/>
      <c r="I1526" s="267"/>
      <c r="J1526" s="267"/>
      <c r="K1526" s="264"/>
    </row>
    <row r="1527">
      <c r="A1527" s="264"/>
      <c r="B1527" s="303"/>
      <c r="C1527" s="303"/>
      <c r="D1527" s="304"/>
      <c r="E1527" s="304"/>
      <c r="F1527" s="304"/>
      <c r="G1527" s="267"/>
      <c r="H1527" s="267"/>
      <c r="I1527" s="267"/>
      <c r="J1527" s="267"/>
      <c r="K1527" s="264"/>
    </row>
    <row r="1528">
      <c r="A1528" s="264"/>
      <c r="B1528" s="303"/>
      <c r="C1528" s="303"/>
      <c r="D1528" s="304"/>
      <c r="E1528" s="304"/>
      <c r="F1528" s="304"/>
      <c r="G1528" s="267"/>
      <c r="H1528" s="267"/>
      <c r="I1528" s="267"/>
      <c r="J1528" s="267"/>
      <c r="K1528" s="264"/>
    </row>
    <row r="1529">
      <c r="A1529" s="264"/>
      <c r="B1529" s="303"/>
      <c r="C1529" s="303"/>
      <c r="D1529" s="304"/>
      <c r="E1529" s="304"/>
      <c r="F1529" s="304"/>
      <c r="G1529" s="267"/>
      <c r="H1529" s="267"/>
      <c r="I1529" s="267"/>
      <c r="J1529" s="267"/>
      <c r="K1529" s="264"/>
    </row>
    <row r="1530">
      <c r="A1530" s="264"/>
      <c r="B1530" s="303"/>
      <c r="C1530" s="303"/>
      <c r="D1530" s="304"/>
      <c r="E1530" s="304"/>
      <c r="F1530" s="304"/>
      <c r="G1530" s="267"/>
      <c r="H1530" s="267"/>
      <c r="I1530" s="267"/>
      <c r="J1530" s="267"/>
      <c r="K1530" s="264"/>
    </row>
    <row r="1531">
      <c r="A1531" s="264"/>
      <c r="B1531" s="303"/>
      <c r="C1531" s="303"/>
      <c r="D1531" s="304"/>
      <c r="E1531" s="304"/>
      <c r="F1531" s="304"/>
      <c r="G1531" s="267"/>
      <c r="H1531" s="267"/>
      <c r="I1531" s="267"/>
      <c r="J1531" s="267"/>
      <c r="K1531" s="264"/>
    </row>
    <row r="1532">
      <c r="A1532" s="264"/>
      <c r="B1532" s="303"/>
      <c r="C1532" s="303"/>
      <c r="D1532" s="304"/>
      <c r="E1532" s="304"/>
      <c r="F1532" s="304"/>
      <c r="G1532" s="267"/>
      <c r="H1532" s="267"/>
      <c r="I1532" s="267"/>
      <c r="J1532" s="267"/>
      <c r="K1532" s="264"/>
    </row>
    <row r="1533">
      <c r="A1533" s="264"/>
      <c r="B1533" s="303"/>
      <c r="C1533" s="303"/>
      <c r="D1533" s="304"/>
      <c r="E1533" s="304"/>
      <c r="F1533" s="304"/>
      <c r="G1533" s="267"/>
      <c r="H1533" s="267"/>
      <c r="I1533" s="267"/>
      <c r="J1533" s="267"/>
      <c r="K1533" s="264"/>
    </row>
    <row r="1534">
      <c r="A1534" s="264"/>
      <c r="B1534" s="303"/>
      <c r="C1534" s="303"/>
      <c r="D1534" s="304"/>
      <c r="E1534" s="304"/>
      <c r="F1534" s="304"/>
      <c r="G1534" s="267"/>
      <c r="H1534" s="267"/>
      <c r="I1534" s="267"/>
      <c r="J1534" s="267"/>
      <c r="K1534" s="264"/>
    </row>
    <row r="1535">
      <c r="A1535" s="264"/>
      <c r="B1535" s="303"/>
      <c r="C1535" s="303"/>
      <c r="D1535" s="304"/>
      <c r="E1535" s="304"/>
      <c r="F1535" s="304"/>
      <c r="G1535" s="267"/>
      <c r="H1535" s="267"/>
      <c r="I1535" s="267"/>
      <c r="J1535" s="267"/>
      <c r="K1535" s="264"/>
    </row>
  </sheetData>
  <mergeCells count="76">
    <mergeCell ref="A600:P600"/>
    <mergeCell ref="A610:P610"/>
    <mergeCell ref="A620:P620"/>
    <mergeCell ref="A630:P630"/>
    <mergeCell ref="A640:P640"/>
    <mergeCell ref="A650:P650"/>
    <mergeCell ref="A663:P663"/>
    <mergeCell ref="A673:P673"/>
    <mergeCell ref="A683:P683"/>
    <mergeCell ref="A693:P693"/>
    <mergeCell ref="A703:P703"/>
    <mergeCell ref="A713:P713"/>
    <mergeCell ref="A724:P724"/>
    <mergeCell ref="A733:P733"/>
    <mergeCell ref="A744:P744"/>
    <mergeCell ref="A755:P755"/>
    <mergeCell ref="A766:P766"/>
    <mergeCell ref="A777:P777"/>
    <mergeCell ref="A792:P792"/>
    <mergeCell ref="A802:P802"/>
    <mergeCell ref="A813:P813"/>
    <mergeCell ref="A823:P823"/>
    <mergeCell ref="A833:P833"/>
    <mergeCell ref="A844:P844"/>
    <mergeCell ref="A855:P855"/>
    <mergeCell ref="A865:P865"/>
    <mergeCell ref="A875:P875"/>
    <mergeCell ref="A886:P886"/>
    <mergeCell ref="A2:P2"/>
    <mergeCell ref="A35:P35"/>
    <mergeCell ref="A62:P62"/>
    <mergeCell ref="A89:P89"/>
    <mergeCell ref="A117:P117"/>
    <mergeCell ref="A143:P143"/>
    <mergeCell ref="A169:P169"/>
    <mergeCell ref="A199:P199"/>
    <mergeCell ref="A224:P224"/>
    <mergeCell ref="A251:P251"/>
    <mergeCell ref="A277:P277"/>
    <mergeCell ref="A285:P285"/>
    <mergeCell ref="A295:P295"/>
    <mergeCell ref="A305:P305"/>
    <mergeCell ref="A315:P315"/>
    <mergeCell ref="A326:P326"/>
    <mergeCell ref="A336:P336"/>
    <mergeCell ref="A346:P346"/>
    <mergeCell ref="A356:P356"/>
    <mergeCell ref="A366:P366"/>
    <mergeCell ref="A376:P376"/>
    <mergeCell ref="A386:P386"/>
    <mergeCell ref="A397:P397"/>
    <mergeCell ref="A407:P407"/>
    <mergeCell ref="A418:P418"/>
    <mergeCell ref="A429:P429"/>
    <mergeCell ref="A439:P439"/>
    <mergeCell ref="A449:P449"/>
    <mergeCell ref="A458:P458"/>
    <mergeCell ref="A468:P468"/>
    <mergeCell ref="A480:P480"/>
    <mergeCell ref="A490:P490"/>
    <mergeCell ref="A500:P500"/>
    <mergeCell ref="A509:P509"/>
    <mergeCell ref="A519:P519"/>
    <mergeCell ref="A529:P529"/>
    <mergeCell ref="A540:P540"/>
    <mergeCell ref="A550:P550"/>
    <mergeCell ref="A561:P561"/>
    <mergeCell ref="A570:P570"/>
    <mergeCell ref="A580:P580"/>
    <mergeCell ref="A590:P590"/>
    <mergeCell ref="A897:P897"/>
    <mergeCell ref="A908:P908"/>
    <mergeCell ref="A919:P919"/>
    <mergeCell ref="A932:P932"/>
    <mergeCell ref="A943:P943"/>
    <mergeCell ref="A954:P95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6.43"/>
    <col customWidth="1" min="3" max="3" width="13.71"/>
    <col customWidth="1" min="7" max="7" width="16.57"/>
    <col customWidth="1" min="8" max="9" width="16.43"/>
    <col customWidth="1" min="11" max="11" width="16.71"/>
    <col customWidth="1" min="12" max="13" width="20.71"/>
    <col customWidth="1" min="14" max="16" width="18.57"/>
    <col customWidth="1" min="17" max="17" width="20.71"/>
  </cols>
  <sheetData>
    <row r="1" hidden="1">
      <c r="A1" s="1" t="s">
        <v>0</v>
      </c>
      <c r="B1" s="2" t="s">
        <v>1</v>
      </c>
      <c r="C1" s="3" t="s">
        <v>2</v>
      </c>
      <c r="D1" s="3" t="s">
        <v>3</v>
      </c>
      <c r="E1" s="3"/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/>
      <c r="L1" s="4"/>
      <c r="M1" s="4"/>
      <c r="N1" s="4"/>
      <c r="O1" s="4"/>
      <c r="P1" s="4"/>
      <c r="Q1" s="1" t="s">
        <v>0</v>
      </c>
      <c r="R1" s="2" t="s">
        <v>1</v>
      </c>
      <c r="S1" s="3" t="s">
        <v>2</v>
      </c>
      <c r="T1" s="3" t="s">
        <v>3</v>
      </c>
      <c r="U1" s="3" t="s">
        <v>4</v>
      </c>
      <c r="V1" s="3" t="s">
        <v>9</v>
      </c>
      <c r="W1" s="3" t="s">
        <v>5</v>
      </c>
      <c r="X1" s="3" t="s">
        <v>6</v>
      </c>
      <c r="Y1" s="1" t="s">
        <v>10</v>
      </c>
      <c r="Z1" s="4" t="s">
        <v>7</v>
      </c>
      <c r="AA1" s="4" t="s">
        <v>8</v>
      </c>
      <c r="AB1" s="5" t="s">
        <v>11</v>
      </c>
    </row>
    <row r="2" hidden="1">
      <c r="A2" s="6" t="s">
        <v>12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 hidden="1">
      <c r="A3" s="9">
        <v>43918.0</v>
      </c>
      <c r="B3" s="10">
        <v>8500.0</v>
      </c>
      <c r="C3" s="10">
        <v>7250.0</v>
      </c>
      <c r="D3" s="10">
        <v>6050.0</v>
      </c>
      <c r="E3" s="10"/>
      <c r="F3" s="10">
        <v>6050.0</v>
      </c>
      <c r="G3" s="10">
        <v>5800.0</v>
      </c>
      <c r="H3" s="10">
        <v>5800.0</v>
      </c>
      <c r="I3" s="11">
        <v>0.0</v>
      </c>
      <c r="J3" s="12"/>
      <c r="K3" s="12"/>
      <c r="L3" s="12"/>
      <c r="M3" s="12"/>
      <c r="N3" s="12"/>
      <c r="O3" s="12"/>
      <c r="P3" s="12"/>
      <c r="Q3" s="13">
        <f>SUM(B3:J3)</f>
        <v>39450</v>
      </c>
    </row>
    <row r="4" hidden="1">
      <c r="A4" s="14">
        <v>44108.0</v>
      </c>
      <c r="B4" s="10">
        <v>8500.0</v>
      </c>
      <c r="C4" s="10">
        <v>7250.0</v>
      </c>
      <c r="D4" s="10">
        <v>6050.0</v>
      </c>
      <c r="E4" s="10"/>
      <c r="F4" s="10">
        <v>6050.0</v>
      </c>
      <c r="G4" s="10">
        <v>5800.0</v>
      </c>
      <c r="H4" s="10">
        <v>5800.0</v>
      </c>
      <c r="I4" s="11">
        <v>0.0</v>
      </c>
      <c r="J4" s="12"/>
      <c r="K4" s="12"/>
      <c r="L4" s="12"/>
      <c r="M4" s="12"/>
      <c r="N4" s="12"/>
      <c r="O4" s="12"/>
      <c r="P4" s="12"/>
      <c r="Q4" s="13">
        <f t="shared" ref="Q4:Q7" si="1">SUM(B4:I4)</f>
        <v>39450</v>
      </c>
    </row>
    <row r="5" hidden="1">
      <c r="A5" s="15" t="s">
        <v>13</v>
      </c>
      <c r="B5" s="10">
        <v>8500.0</v>
      </c>
      <c r="C5" s="10">
        <v>7250.0</v>
      </c>
      <c r="D5" s="10">
        <v>6050.0</v>
      </c>
      <c r="E5" s="10"/>
      <c r="F5" s="10">
        <v>6050.0</v>
      </c>
      <c r="G5" s="10">
        <v>5800.0</v>
      </c>
      <c r="H5" s="10">
        <v>5800.0</v>
      </c>
      <c r="I5" s="11">
        <v>0.0</v>
      </c>
      <c r="J5" s="12"/>
      <c r="K5" s="12"/>
      <c r="L5" s="12"/>
      <c r="M5" s="12"/>
      <c r="N5" s="12"/>
      <c r="O5" s="12"/>
      <c r="P5" s="12"/>
      <c r="Q5" s="13">
        <f t="shared" si="1"/>
        <v>39450</v>
      </c>
    </row>
    <row r="6" hidden="1">
      <c r="A6" s="15" t="s">
        <v>14</v>
      </c>
      <c r="B6" s="16">
        <v>8500.0</v>
      </c>
      <c r="C6" s="16">
        <v>7250.0</v>
      </c>
      <c r="D6" s="16">
        <v>6050.0</v>
      </c>
      <c r="E6" s="16"/>
      <c r="F6" s="16">
        <v>6050.0</v>
      </c>
      <c r="G6" s="16">
        <v>5800.0</v>
      </c>
      <c r="H6" s="16">
        <v>5800.0</v>
      </c>
      <c r="I6" s="17">
        <v>0.0</v>
      </c>
      <c r="J6" s="18"/>
      <c r="K6" s="18"/>
      <c r="L6" s="18"/>
      <c r="M6" s="18"/>
      <c r="N6" s="18"/>
      <c r="O6" s="18"/>
      <c r="P6" s="18"/>
      <c r="Q6" s="19">
        <f t="shared" si="1"/>
        <v>39450</v>
      </c>
    </row>
    <row r="7" hidden="1">
      <c r="A7" s="15" t="s">
        <v>14</v>
      </c>
      <c r="B7" s="16">
        <v>8500.0</v>
      </c>
      <c r="C7" s="16">
        <v>7250.0</v>
      </c>
      <c r="D7" s="16">
        <v>6050.0</v>
      </c>
      <c r="E7" s="16"/>
      <c r="F7" s="16">
        <v>6050.0</v>
      </c>
      <c r="G7" s="16">
        <v>5800.0</v>
      </c>
      <c r="H7" s="16">
        <v>5800.0</v>
      </c>
      <c r="I7" s="17">
        <v>0.0</v>
      </c>
      <c r="J7" s="18"/>
      <c r="K7" s="18"/>
      <c r="L7" s="18"/>
      <c r="M7" s="18"/>
      <c r="N7" s="18"/>
      <c r="O7" s="18"/>
      <c r="P7" s="18"/>
      <c r="Q7" s="19">
        <f t="shared" si="1"/>
        <v>39450</v>
      </c>
    </row>
    <row r="8" hidden="1">
      <c r="A8" s="20" t="s">
        <v>15</v>
      </c>
      <c r="B8" s="21">
        <f t="shared" ref="B8:D8" si="2">SUM(B3:B6)</f>
        <v>34000</v>
      </c>
      <c r="C8" s="21">
        <f t="shared" si="2"/>
        <v>29000</v>
      </c>
      <c r="D8" s="21">
        <f t="shared" si="2"/>
        <v>24200</v>
      </c>
      <c r="E8" s="21"/>
      <c r="F8" s="21">
        <f t="shared" ref="F8:I8" si="3">SUM(F3:F6)</f>
        <v>24200</v>
      </c>
      <c r="G8" s="21">
        <f t="shared" si="3"/>
        <v>23200</v>
      </c>
      <c r="H8" s="21">
        <f t="shared" si="3"/>
        <v>23200</v>
      </c>
      <c r="I8" s="21">
        <f t="shared" si="3"/>
        <v>0</v>
      </c>
      <c r="J8" s="21"/>
      <c r="K8" s="21"/>
      <c r="L8" s="21"/>
      <c r="M8" s="21"/>
      <c r="N8" s="21"/>
      <c r="O8" s="21"/>
      <c r="P8" s="21"/>
      <c r="Q8" s="22">
        <f>SUM(Q3:Q6)</f>
        <v>157800</v>
      </c>
    </row>
    <row r="9" hidden="1">
      <c r="A9" s="23" t="s">
        <v>16</v>
      </c>
      <c r="B9" s="24">
        <v>10475.0</v>
      </c>
      <c r="C9" s="24">
        <v>9463.0</v>
      </c>
      <c r="D9" s="24">
        <v>9075.0</v>
      </c>
      <c r="E9" s="24"/>
      <c r="F9" s="24">
        <v>9075.0</v>
      </c>
      <c r="G9" s="24">
        <v>10410.0</v>
      </c>
      <c r="H9" s="24">
        <v>10410.0</v>
      </c>
      <c r="I9" s="24"/>
      <c r="J9" s="24"/>
      <c r="K9" s="25"/>
      <c r="L9" s="25"/>
      <c r="M9" s="25"/>
      <c r="N9" s="25"/>
      <c r="O9" s="25"/>
      <c r="P9" s="25"/>
      <c r="Q9" s="26">
        <f t="shared" ref="Q9:Q12" si="6">SUM(B9:J9)</f>
        <v>58908</v>
      </c>
    </row>
    <row r="10" hidden="1">
      <c r="A10" s="27" t="s">
        <v>17</v>
      </c>
      <c r="B10" s="28">
        <f t="shared" ref="B10:D10" si="4">B8-(B9)</f>
        <v>23525</v>
      </c>
      <c r="C10" s="28">
        <f t="shared" si="4"/>
        <v>19537</v>
      </c>
      <c r="D10" s="28">
        <f t="shared" si="4"/>
        <v>15125</v>
      </c>
      <c r="E10" s="28"/>
      <c r="F10" s="28">
        <f t="shared" ref="F10:I10" si="5">F8-(F9)</f>
        <v>15125</v>
      </c>
      <c r="G10" s="28">
        <f t="shared" si="5"/>
        <v>12790</v>
      </c>
      <c r="H10" s="28">
        <f t="shared" si="5"/>
        <v>12790</v>
      </c>
      <c r="I10" s="28">
        <f t="shared" si="5"/>
        <v>0</v>
      </c>
      <c r="J10" s="28"/>
      <c r="K10" s="29"/>
      <c r="L10" s="29"/>
      <c r="M10" s="29"/>
      <c r="N10" s="29"/>
      <c r="O10" s="29"/>
      <c r="P10" s="29"/>
      <c r="Q10" s="30">
        <f t="shared" si="6"/>
        <v>98892</v>
      </c>
    </row>
    <row r="11" hidden="1">
      <c r="A11" s="23" t="s">
        <v>18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25"/>
      <c r="M11" s="25"/>
      <c r="N11" s="25"/>
      <c r="O11" s="25"/>
      <c r="P11" s="25"/>
      <c r="Q11" s="26">
        <f t="shared" si="6"/>
        <v>0</v>
      </c>
    </row>
    <row r="12" hidden="1">
      <c r="A12" s="9">
        <v>43918.0</v>
      </c>
      <c r="B12" s="10">
        <f t="shared" ref="B12:D12" si="7">B10/3</f>
        <v>7841.666667</v>
      </c>
      <c r="C12" s="10">
        <f t="shared" si="7"/>
        <v>6512.333333</v>
      </c>
      <c r="D12" s="10">
        <f t="shared" si="7"/>
        <v>5041.666667</v>
      </c>
      <c r="E12" s="10"/>
      <c r="F12" s="10">
        <v>7050.0</v>
      </c>
      <c r="G12" s="10">
        <f t="shared" ref="G12:H12" si="8">G10/3</f>
        <v>4263.333333</v>
      </c>
      <c r="H12" s="10">
        <f t="shared" si="8"/>
        <v>4263.333333</v>
      </c>
      <c r="I12" s="11">
        <v>0.0</v>
      </c>
      <c r="J12" s="12"/>
      <c r="K12" s="12"/>
      <c r="L12" s="12"/>
      <c r="M12" s="12"/>
      <c r="N12" s="12"/>
      <c r="O12" s="12"/>
      <c r="P12" s="12"/>
      <c r="Q12" s="13">
        <f t="shared" si="6"/>
        <v>34972.33333</v>
      </c>
    </row>
    <row r="13" hidden="1">
      <c r="A13" s="14">
        <v>44108.0</v>
      </c>
      <c r="B13" s="10">
        <f>B8/4+650</f>
        <v>9150</v>
      </c>
      <c r="C13" s="10">
        <f>C8/4+700</f>
        <v>7950</v>
      </c>
      <c r="D13" s="10">
        <f>D8/4+1000</f>
        <v>7050</v>
      </c>
      <c r="E13" s="10"/>
      <c r="F13" s="10">
        <f>F8/4+1000</f>
        <v>7050</v>
      </c>
      <c r="G13" s="31">
        <f t="shared" ref="G13:H13" si="9">G8/4+1500</f>
        <v>7300</v>
      </c>
      <c r="H13" s="31">
        <f t="shared" si="9"/>
        <v>7300</v>
      </c>
      <c r="I13" s="11">
        <v>0.0</v>
      </c>
      <c r="J13" s="12"/>
      <c r="K13" s="12"/>
      <c r="L13" s="12"/>
      <c r="M13" s="12"/>
      <c r="N13" s="12"/>
      <c r="O13" s="12"/>
      <c r="P13" s="12"/>
      <c r="Q13" s="13">
        <f t="shared" ref="Q13:Q15" si="12">SUM(B13:I13)</f>
        <v>45800</v>
      </c>
    </row>
    <row r="14" hidden="1">
      <c r="A14" s="15" t="s">
        <v>13</v>
      </c>
      <c r="B14" s="10">
        <f t="shared" ref="B14:D14" si="10">B8/4</f>
        <v>8500</v>
      </c>
      <c r="C14" s="10">
        <f t="shared" si="10"/>
        <v>7250</v>
      </c>
      <c r="D14" s="10">
        <f t="shared" si="10"/>
        <v>6050</v>
      </c>
      <c r="E14" s="10"/>
      <c r="F14" s="10">
        <f>F8/4+1000</f>
        <v>7050</v>
      </c>
      <c r="G14" s="10">
        <f t="shared" ref="G14:H14" si="11">G8/4</f>
        <v>5800</v>
      </c>
      <c r="H14" s="10">
        <f t="shared" si="11"/>
        <v>5800</v>
      </c>
      <c r="I14" s="11">
        <v>0.0</v>
      </c>
      <c r="J14" s="12"/>
      <c r="K14" s="12"/>
      <c r="L14" s="12"/>
      <c r="M14" s="12"/>
      <c r="N14" s="12"/>
      <c r="O14" s="12"/>
      <c r="P14" s="12"/>
      <c r="Q14" s="13">
        <f t="shared" si="12"/>
        <v>40450</v>
      </c>
    </row>
    <row r="15" hidden="1">
      <c r="A15" s="15" t="s">
        <v>14</v>
      </c>
      <c r="B15" s="16">
        <f t="shared" ref="B15:D15" si="13">B8/4</f>
        <v>8500</v>
      </c>
      <c r="C15" s="16">
        <f t="shared" si="13"/>
        <v>7250</v>
      </c>
      <c r="D15" s="16">
        <f t="shared" si="13"/>
        <v>6050</v>
      </c>
      <c r="E15" s="16"/>
      <c r="F15" s="16">
        <f t="shared" ref="F15:G15" si="14">F8/4</f>
        <v>6050</v>
      </c>
      <c r="G15" s="16">
        <f t="shared" si="14"/>
        <v>5800</v>
      </c>
      <c r="H15" s="16">
        <f>H8/4+2900</f>
        <v>8700</v>
      </c>
      <c r="I15" s="17">
        <v>0.0</v>
      </c>
      <c r="J15" s="18"/>
      <c r="K15" s="18"/>
      <c r="L15" s="18"/>
      <c r="M15" s="18"/>
      <c r="N15" s="18"/>
      <c r="O15" s="18"/>
      <c r="P15" s="18"/>
      <c r="Q15" s="19">
        <f t="shared" si="12"/>
        <v>42350</v>
      </c>
    </row>
    <row r="16" hidden="1">
      <c r="A16" s="32" t="s">
        <v>19</v>
      </c>
      <c r="B16" s="16">
        <v>8500.0</v>
      </c>
      <c r="C16" s="33">
        <v>7250.0</v>
      </c>
      <c r="D16" s="33">
        <v>6050.0</v>
      </c>
      <c r="E16" s="33"/>
      <c r="F16" s="33">
        <v>6050.0</v>
      </c>
      <c r="G16" s="33">
        <v>5800.0</v>
      </c>
      <c r="H16" s="33">
        <v>8700.0</v>
      </c>
      <c r="I16" s="34"/>
      <c r="J16" s="35"/>
      <c r="K16" s="35"/>
      <c r="L16" s="35"/>
      <c r="M16" s="35"/>
      <c r="N16" s="35"/>
      <c r="O16" s="35"/>
      <c r="P16" s="35"/>
      <c r="Q16" s="35"/>
    </row>
    <row r="17" hidden="1">
      <c r="A17" s="27" t="s">
        <v>20</v>
      </c>
      <c r="B17" s="28"/>
      <c r="C17" s="28"/>
      <c r="D17" s="28"/>
      <c r="E17" s="28"/>
      <c r="F17" s="28"/>
      <c r="G17" s="36" t="s">
        <v>21</v>
      </c>
      <c r="H17" s="36" t="s">
        <v>21</v>
      </c>
      <c r="I17" s="37"/>
      <c r="J17" s="37"/>
      <c r="K17" s="37"/>
      <c r="L17" s="37"/>
      <c r="M17" s="37"/>
      <c r="N17" s="37"/>
      <c r="O17" s="37"/>
      <c r="P17" s="37"/>
      <c r="Q17" s="37"/>
    </row>
    <row r="18" hidden="1">
      <c r="A18" s="37"/>
      <c r="B18" s="38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</row>
    <row r="19" hidden="1">
      <c r="A19" s="39" t="s">
        <v>22</v>
      </c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hidden="1">
      <c r="A20" s="42">
        <v>43918.0</v>
      </c>
      <c r="B20" s="43"/>
      <c r="C20" s="44"/>
      <c r="D20" s="44"/>
      <c r="E20" s="45"/>
      <c r="F20" s="45"/>
      <c r="G20" s="44"/>
      <c r="H20" s="45"/>
      <c r="I20" s="44"/>
      <c r="J20" s="44"/>
      <c r="K20" s="44"/>
      <c r="L20" s="44"/>
      <c r="M20" s="44"/>
      <c r="N20" s="44"/>
      <c r="O20" s="44"/>
      <c r="P20" s="44"/>
      <c r="Q20" s="44"/>
    </row>
    <row r="21" hidden="1">
      <c r="A21" s="42">
        <v>44108.0</v>
      </c>
      <c r="B21" s="46"/>
      <c r="C21" s="45"/>
      <c r="D21" s="45"/>
      <c r="E21" s="45"/>
      <c r="F21" s="45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</row>
    <row r="22" hidden="1">
      <c r="A22" s="39" t="s">
        <v>13</v>
      </c>
      <c r="B22" s="43"/>
      <c r="C22" s="44"/>
      <c r="D22" s="44"/>
      <c r="E22" s="45"/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</row>
    <row r="23" hidden="1">
      <c r="A23" s="39" t="s">
        <v>14</v>
      </c>
      <c r="B23" s="46"/>
      <c r="C23" s="45"/>
      <c r="D23" s="44"/>
      <c r="E23" s="45"/>
      <c r="F23" s="45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</row>
    <row r="24" hidden="1">
      <c r="A24" s="39" t="s">
        <v>19</v>
      </c>
      <c r="B24" s="46"/>
      <c r="C24" s="44"/>
      <c r="D24" s="44"/>
      <c r="E24" s="45"/>
      <c r="F24" s="45">
        <v>1720.0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</row>
    <row r="25" hidden="1">
      <c r="A25" s="37"/>
      <c r="B25" s="38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</row>
    <row r="26" hidden="1">
      <c r="A26" s="47" t="s">
        <v>23</v>
      </c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7" t="s">
        <v>24</v>
      </c>
    </row>
    <row r="27" hidden="1">
      <c r="A27" s="50">
        <v>43918.0</v>
      </c>
      <c r="B27" s="51">
        <f t="shared" ref="B27:D27" si="15">B12-B20</f>
        <v>7841.666667</v>
      </c>
      <c r="C27" s="52">
        <f t="shared" si="15"/>
        <v>6512.333333</v>
      </c>
      <c r="D27" s="52">
        <f t="shared" si="15"/>
        <v>5041.666667</v>
      </c>
      <c r="E27" s="52"/>
      <c r="F27" s="52"/>
      <c r="G27" s="52">
        <f t="shared" ref="G27:H27" si="16">G12-G20</f>
        <v>4263.333333</v>
      </c>
      <c r="H27" s="52">
        <f t="shared" si="16"/>
        <v>4263.333333</v>
      </c>
      <c r="I27" s="52"/>
      <c r="J27" s="52"/>
      <c r="K27" s="52"/>
      <c r="L27" s="52"/>
      <c r="M27" s="52"/>
      <c r="N27" s="52"/>
      <c r="O27" s="52"/>
      <c r="P27" s="52"/>
      <c r="Q27" s="53">
        <f t="shared" ref="Q27:Q29" si="19">SUM(B27:J27)</f>
        <v>27922.33333</v>
      </c>
    </row>
    <row r="28" hidden="1">
      <c r="A28" s="50">
        <v>44108.0</v>
      </c>
      <c r="B28" s="51">
        <f>B13-B20-B21</f>
        <v>9150</v>
      </c>
      <c r="C28" s="52">
        <f t="shared" ref="C28:D28" si="17">C13-C21-C20</f>
        <v>7950</v>
      </c>
      <c r="D28" s="52">
        <f t="shared" si="17"/>
        <v>7050</v>
      </c>
      <c r="E28" s="52"/>
      <c r="F28" s="52">
        <f t="shared" ref="F28:H28" si="18">F13-F21-F20</f>
        <v>7050</v>
      </c>
      <c r="G28" s="52">
        <f t="shared" si="18"/>
        <v>7300</v>
      </c>
      <c r="H28" s="52">
        <f t="shared" si="18"/>
        <v>7300</v>
      </c>
      <c r="I28" s="52"/>
      <c r="J28" s="52"/>
      <c r="K28" s="52"/>
      <c r="L28" s="52"/>
      <c r="M28" s="52"/>
      <c r="N28" s="52"/>
      <c r="O28" s="52"/>
      <c r="P28" s="52"/>
      <c r="Q28" s="53">
        <f t="shared" si="19"/>
        <v>45800</v>
      </c>
    </row>
    <row r="29" hidden="1">
      <c r="A29" s="47" t="s">
        <v>13</v>
      </c>
      <c r="B29" s="51">
        <f t="shared" ref="B29:D29" si="20">B14-B22</f>
        <v>8500</v>
      </c>
      <c r="C29" s="52">
        <f t="shared" si="20"/>
        <v>7250</v>
      </c>
      <c r="D29" s="52">
        <f t="shared" si="20"/>
        <v>6050</v>
      </c>
      <c r="E29" s="52"/>
      <c r="F29" s="52">
        <f t="shared" ref="F29:H29" si="21">F14-F22</f>
        <v>7050</v>
      </c>
      <c r="G29" s="52">
        <f t="shared" si="21"/>
        <v>5800</v>
      </c>
      <c r="H29" s="52">
        <f t="shared" si="21"/>
        <v>5800</v>
      </c>
      <c r="I29" s="52"/>
      <c r="J29" s="52"/>
      <c r="K29" s="52"/>
      <c r="L29" s="52"/>
      <c r="M29" s="52"/>
      <c r="N29" s="52"/>
      <c r="O29" s="52"/>
      <c r="P29" s="52"/>
      <c r="Q29" s="53">
        <f t="shared" si="19"/>
        <v>40450</v>
      </c>
    </row>
    <row r="30" hidden="1">
      <c r="A30" s="47" t="s">
        <v>25</v>
      </c>
      <c r="B30" s="51">
        <f t="shared" ref="B30:D30" si="22">B15-B23</f>
        <v>8500</v>
      </c>
      <c r="C30" s="52">
        <f t="shared" si="22"/>
        <v>7250</v>
      </c>
      <c r="D30" s="52">
        <f t="shared" si="22"/>
        <v>6050</v>
      </c>
      <c r="E30" s="52"/>
      <c r="F30" s="52">
        <f>F16</f>
        <v>6050</v>
      </c>
      <c r="G30" s="52">
        <f t="shared" ref="G30:H30" si="23">G15-G23</f>
        <v>5800</v>
      </c>
      <c r="H30" s="52">
        <f t="shared" si="23"/>
        <v>8700</v>
      </c>
      <c r="I30" s="52"/>
      <c r="J30" s="52"/>
      <c r="K30" s="52"/>
      <c r="L30" s="52"/>
      <c r="M30" s="52"/>
      <c r="N30" s="52"/>
      <c r="O30" s="52"/>
      <c r="P30" s="52"/>
      <c r="Q30" s="53">
        <f>SUM(B30:H30)</f>
        <v>42350</v>
      </c>
    </row>
    <row r="31" hidden="1">
      <c r="A31" s="47" t="s">
        <v>19</v>
      </c>
      <c r="B31" s="54">
        <v>8500.0</v>
      </c>
      <c r="C31" s="52">
        <f t="shared" ref="C31:D31" si="24">C16-C24</f>
        <v>7250</v>
      </c>
      <c r="D31" s="52">
        <f t="shared" si="24"/>
        <v>6050</v>
      </c>
      <c r="E31" s="52"/>
      <c r="F31" s="52">
        <f t="shared" ref="F31:H31" si="25">F16-F24</f>
        <v>4330</v>
      </c>
      <c r="G31" s="52">
        <f t="shared" si="25"/>
        <v>5800</v>
      </c>
      <c r="H31" s="52">
        <f t="shared" si="25"/>
        <v>8700</v>
      </c>
      <c r="I31" s="52"/>
      <c r="J31" s="52"/>
      <c r="K31" s="52"/>
      <c r="L31" s="52"/>
      <c r="M31" s="52"/>
      <c r="N31" s="52"/>
      <c r="O31" s="52"/>
      <c r="P31" s="52"/>
      <c r="Q31" s="52"/>
    </row>
    <row r="32" hidden="1"/>
    <row r="33" hidden="1"/>
    <row r="34" hidden="1">
      <c r="A34" s="1" t="s">
        <v>0</v>
      </c>
      <c r="B34" s="2" t="s">
        <v>1</v>
      </c>
      <c r="C34" s="3" t="s">
        <v>2</v>
      </c>
      <c r="D34" s="3" t="s">
        <v>3</v>
      </c>
      <c r="E34" s="3"/>
      <c r="F34" s="3" t="s">
        <v>4</v>
      </c>
      <c r="G34" s="3" t="s">
        <v>5</v>
      </c>
      <c r="H34" s="3" t="s">
        <v>6</v>
      </c>
      <c r="I34" s="4" t="s">
        <v>7</v>
      </c>
      <c r="J34" s="4" t="s">
        <v>8</v>
      </c>
      <c r="K34" s="4"/>
      <c r="L34" s="4"/>
      <c r="M34" s="4"/>
      <c r="N34" s="4"/>
      <c r="O34" s="4"/>
      <c r="P34" s="4"/>
      <c r="Q34" s="1" t="s">
        <v>0</v>
      </c>
    </row>
    <row r="35" hidden="1">
      <c r="A35" s="6" t="s">
        <v>26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8"/>
    </row>
    <row r="36" hidden="1">
      <c r="A36" s="55" t="s">
        <v>27</v>
      </c>
      <c r="B36" s="10">
        <v>8500.0</v>
      </c>
      <c r="C36" s="10">
        <v>7250.0</v>
      </c>
      <c r="D36" s="56">
        <v>6050.0</v>
      </c>
      <c r="E36" s="10"/>
      <c r="F36" s="10">
        <v>6050.0</v>
      </c>
      <c r="G36" s="10">
        <f>5800+2900</f>
        <v>8700</v>
      </c>
      <c r="H36" s="56">
        <v>6050.0</v>
      </c>
      <c r="I36" s="11">
        <v>0.0</v>
      </c>
      <c r="J36" s="12"/>
      <c r="K36" s="12"/>
      <c r="L36" s="12"/>
      <c r="M36" s="12"/>
      <c r="N36" s="12"/>
      <c r="O36" s="12"/>
      <c r="P36" s="12"/>
      <c r="Q36" s="13">
        <f>SUM(B36:J36)</f>
        <v>42600</v>
      </c>
    </row>
    <row r="37" hidden="1">
      <c r="A37" s="15" t="s">
        <v>28</v>
      </c>
      <c r="B37" s="10">
        <v>8500.0</v>
      </c>
      <c r="C37" s="10">
        <v>7250.0</v>
      </c>
      <c r="D37" s="56">
        <v>6050.0</v>
      </c>
      <c r="E37" s="10"/>
      <c r="F37" s="10">
        <v>6050.0</v>
      </c>
      <c r="G37" s="10">
        <v>6050.0</v>
      </c>
      <c r="H37" s="10">
        <v>6050.0</v>
      </c>
      <c r="I37" s="11">
        <v>0.0</v>
      </c>
      <c r="J37" s="12"/>
      <c r="K37" s="12"/>
      <c r="L37" s="12"/>
      <c r="M37" s="12"/>
      <c r="N37" s="12"/>
      <c r="O37" s="12"/>
      <c r="P37" s="12"/>
      <c r="Q37" s="13">
        <f t="shared" ref="Q37:Q40" si="26">SUM(B37:I37)</f>
        <v>39950</v>
      </c>
    </row>
    <row r="38" hidden="1">
      <c r="A38" s="15" t="s">
        <v>29</v>
      </c>
      <c r="B38" s="10">
        <v>8500.0</v>
      </c>
      <c r="C38" s="10">
        <v>7250.0</v>
      </c>
      <c r="D38" s="10">
        <v>6050.0</v>
      </c>
      <c r="E38" s="10"/>
      <c r="F38" s="10">
        <v>6050.0</v>
      </c>
      <c r="G38" s="10">
        <v>6050.0</v>
      </c>
      <c r="H38" s="10">
        <v>6050.0</v>
      </c>
      <c r="I38" s="11">
        <v>0.0</v>
      </c>
      <c r="J38" s="12"/>
      <c r="K38" s="12"/>
      <c r="L38" s="12"/>
      <c r="M38" s="12"/>
      <c r="N38" s="12"/>
      <c r="O38" s="12"/>
      <c r="P38" s="12"/>
      <c r="Q38" s="13">
        <f t="shared" si="26"/>
        <v>39950</v>
      </c>
    </row>
    <row r="39" hidden="1">
      <c r="A39" s="15" t="s">
        <v>30</v>
      </c>
      <c r="B39" s="16">
        <v>8500.0</v>
      </c>
      <c r="C39" s="16">
        <v>7250.0</v>
      </c>
      <c r="D39" s="16">
        <v>6050.0</v>
      </c>
      <c r="E39" s="16"/>
      <c r="F39" s="16">
        <v>6050.0</v>
      </c>
      <c r="G39" s="16">
        <v>6050.0</v>
      </c>
      <c r="H39" s="16">
        <v>6050.0</v>
      </c>
      <c r="I39" s="17">
        <v>0.0</v>
      </c>
      <c r="J39" s="18"/>
      <c r="K39" s="18"/>
      <c r="L39" s="18"/>
      <c r="M39" s="18"/>
      <c r="N39" s="18"/>
      <c r="O39" s="18"/>
      <c r="P39" s="18"/>
      <c r="Q39" s="19">
        <f t="shared" si="26"/>
        <v>39950</v>
      </c>
    </row>
    <row r="40" hidden="1">
      <c r="A40" s="15"/>
      <c r="B40" s="16"/>
      <c r="C40" s="16"/>
      <c r="D40" s="16"/>
      <c r="E40" s="16"/>
      <c r="F40" s="16"/>
      <c r="G40" s="16"/>
      <c r="H40" s="16"/>
      <c r="I40" s="17">
        <v>0.0</v>
      </c>
      <c r="J40" s="18"/>
      <c r="K40" s="18"/>
      <c r="L40" s="18"/>
      <c r="M40" s="18"/>
      <c r="N40" s="18"/>
      <c r="O40" s="18"/>
      <c r="P40" s="18"/>
      <c r="Q40" s="19">
        <f t="shared" si="26"/>
        <v>0</v>
      </c>
    </row>
    <row r="41" hidden="1">
      <c r="A41" s="20" t="s">
        <v>15</v>
      </c>
      <c r="B41" s="21">
        <f t="shared" ref="B41:D41" si="27">SUM(B36:B39)</f>
        <v>34000</v>
      </c>
      <c r="C41" s="21">
        <f t="shared" si="27"/>
        <v>29000</v>
      </c>
      <c r="D41" s="21">
        <f t="shared" si="27"/>
        <v>24200</v>
      </c>
      <c r="E41" s="21"/>
      <c r="F41" s="21">
        <f t="shared" ref="F41:I41" si="28">SUM(F36:F39)</f>
        <v>24200</v>
      </c>
      <c r="G41" s="21">
        <f t="shared" si="28"/>
        <v>26850</v>
      </c>
      <c r="H41" s="21">
        <f t="shared" si="28"/>
        <v>24200</v>
      </c>
      <c r="I41" s="21">
        <f t="shared" si="28"/>
        <v>0</v>
      </c>
      <c r="J41" s="20" t="s">
        <v>15</v>
      </c>
      <c r="K41" s="20"/>
      <c r="L41" s="20"/>
      <c r="M41" s="20"/>
      <c r="N41" s="20"/>
      <c r="O41" s="20"/>
      <c r="P41" s="20"/>
      <c r="Q41" s="21">
        <f t="shared" ref="Q41:X41" si="29">SUM(Q36:Q39)</f>
        <v>162450</v>
      </c>
      <c r="R41" s="21">
        <f t="shared" si="29"/>
        <v>0</v>
      </c>
      <c r="S41" s="21">
        <f t="shared" si="29"/>
        <v>0</v>
      </c>
      <c r="T41" s="21">
        <f t="shared" si="29"/>
        <v>0</v>
      </c>
      <c r="U41" s="21">
        <f t="shared" si="29"/>
        <v>0</v>
      </c>
      <c r="V41" s="21">
        <f t="shared" si="29"/>
        <v>0</v>
      </c>
      <c r="W41" s="21">
        <f t="shared" si="29"/>
        <v>0</v>
      </c>
      <c r="X41" s="21">
        <f t="shared" si="29"/>
        <v>0</v>
      </c>
    </row>
    <row r="42" hidden="1">
      <c r="A42" s="23" t="s">
        <v>16</v>
      </c>
      <c r="B42" s="24">
        <v>12000.0</v>
      </c>
      <c r="C42" s="24">
        <v>10800.0</v>
      </c>
      <c r="D42" s="24">
        <v>10300.0</v>
      </c>
      <c r="E42" s="24"/>
      <c r="F42" s="24">
        <v>10500.0</v>
      </c>
      <c r="G42" s="24">
        <v>12000.0</v>
      </c>
      <c r="H42" s="24">
        <v>12000.0</v>
      </c>
      <c r="I42" s="24"/>
      <c r="J42" s="21"/>
      <c r="K42" s="21"/>
      <c r="L42" s="21"/>
      <c r="M42" s="21"/>
      <c r="N42" s="21"/>
      <c r="O42" s="21"/>
      <c r="P42" s="21"/>
      <c r="Q42" s="22">
        <f>SUM(Q36:Q39)</f>
        <v>162450</v>
      </c>
    </row>
    <row r="43" hidden="1">
      <c r="A43" s="57" t="s">
        <v>17</v>
      </c>
      <c r="B43" s="58">
        <f t="shared" ref="B43:D43" si="30">B41-(B42)</f>
        <v>22000</v>
      </c>
      <c r="C43" s="58">
        <f t="shared" si="30"/>
        <v>18200</v>
      </c>
      <c r="D43" s="58">
        <f t="shared" si="30"/>
        <v>13900</v>
      </c>
      <c r="E43" s="58"/>
      <c r="F43" s="58">
        <f t="shared" ref="F43:H43" si="31">F41-(F42)</f>
        <v>13700</v>
      </c>
      <c r="G43" s="58">
        <f t="shared" si="31"/>
        <v>14850</v>
      </c>
      <c r="H43" s="58">
        <f t="shared" si="31"/>
        <v>12200</v>
      </c>
      <c r="I43" s="58">
        <f>I40-(I42)</f>
        <v>0</v>
      </c>
      <c r="J43" s="25"/>
      <c r="K43" s="25"/>
      <c r="L43" s="25"/>
      <c r="M43" s="25"/>
      <c r="N43" s="25"/>
      <c r="O43" s="25"/>
      <c r="P43" s="25"/>
      <c r="Q43" s="26">
        <f t="shared" ref="Q43:Q45" si="32">SUM(B43:J43)</f>
        <v>94850</v>
      </c>
    </row>
    <row r="44" hidden="1">
      <c r="A44" s="27"/>
      <c r="B44" s="28"/>
      <c r="C44" s="28"/>
      <c r="D44" s="28"/>
      <c r="E44" s="28"/>
      <c r="F44" s="28"/>
      <c r="G44" s="28"/>
      <c r="H44" s="28"/>
      <c r="I44" s="28"/>
      <c r="J44" s="28"/>
      <c r="K44" s="29"/>
      <c r="L44" s="29"/>
      <c r="M44" s="29"/>
      <c r="N44" s="29"/>
      <c r="O44" s="29"/>
      <c r="P44" s="29"/>
      <c r="Q44" s="30">
        <f t="shared" si="32"/>
        <v>0</v>
      </c>
    </row>
    <row r="45" hidden="1">
      <c r="A45" s="23"/>
      <c r="B45" s="24"/>
      <c r="C45" s="24"/>
      <c r="D45" s="24"/>
      <c r="E45" s="24"/>
      <c r="F45" s="24"/>
      <c r="G45" s="24"/>
      <c r="H45" s="24"/>
      <c r="I45" s="24"/>
      <c r="J45" s="24"/>
      <c r="K45" s="25"/>
      <c r="L45" s="25"/>
      <c r="M45" s="25"/>
      <c r="N45" s="25"/>
      <c r="O45" s="25"/>
      <c r="P45" s="25"/>
      <c r="Q45" s="26">
        <f t="shared" si="32"/>
        <v>0</v>
      </c>
    </row>
    <row r="46" hidden="1">
      <c r="A46" s="37"/>
      <c r="B46" s="38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</row>
    <row r="47" hidden="1">
      <c r="A47" s="39" t="s">
        <v>22</v>
      </c>
      <c r="B47" s="40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</row>
    <row r="48" hidden="1">
      <c r="A48" s="59" t="s">
        <v>27</v>
      </c>
      <c r="B48" s="43"/>
      <c r="C48" s="44"/>
      <c r="D48" s="44"/>
      <c r="E48" s="45"/>
      <c r="F48" s="45">
        <v>200.0</v>
      </c>
      <c r="G48" s="44"/>
      <c r="H48" s="45"/>
      <c r="I48" s="44"/>
      <c r="J48" s="44"/>
      <c r="K48" s="44"/>
      <c r="L48" s="44"/>
      <c r="M48" s="44"/>
      <c r="N48" s="44"/>
      <c r="O48" s="44"/>
      <c r="P48" s="44"/>
      <c r="Q48" s="44"/>
    </row>
    <row r="49" hidden="1">
      <c r="A49" s="60" t="s">
        <v>28</v>
      </c>
      <c r="B49" s="46"/>
      <c r="C49" s="45"/>
      <c r="D49" s="45"/>
      <c r="E49" s="45"/>
      <c r="F49" s="45"/>
      <c r="G49" s="45">
        <v>1000.0</v>
      </c>
      <c r="H49" s="44"/>
      <c r="I49" s="44"/>
      <c r="J49" s="44"/>
      <c r="K49" s="44"/>
      <c r="L49" s="44"/>
      <c r="M49" s="44"/>
      <c r="N49" s="44"/>
      <c r="O49" s="44"/>
      <c r="P49" s="44"/>
      <c r="Q49" s="44"/>
    </row>
    <row r="50" hidden="1">
      <c r="A50" s="60" t="s">
        <v>29</v>
      </c>
      <c r="B50" s="43"/>
      <c r="C50" s="44"/>
      <c r="D50" s="44"/>
      <c r="E50" s="45"/>
      <c r="F50" s="45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</row>
    <row r="51" hidden="1">
      <c r="A51" s="60" t="s">
        <v>30</v>
      </c>
      <c r="B51" s="46"/>
      <c r="C51" s="45"/>
      <c r="D51" s="44"/>
      <c r="E51" s="45"/>
      <c r="F51" s="45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</row>
    <row r="52" hidden="1">
      <c r="A52" s="39"/>
      <c r="B52" s="46"/>
      <c r="C52" s="44"/>
      <c r="D52" s="44"/>
      <c r="E52" s="45"/>
      <c r="F52" s="45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</row>
    <row r="53" hidden="1">
      <c r="A53" s="37"/>
      <c r="B53" s="38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</row>
    <row r="54" hidden="1">
      <c r="A54" s="47" t="s">
        <v>23</v>
      </c>
      <c r="B54" s="48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7" t="s">
        <v>24</v>
      </c>
    </row>
    <row r="55" hidden="1">
      <c r="A55" s="61" t="s">
        <v>27</v>
      </c>
      <c r="B55" s="51">
        <f>B36-B49</f>
        <v>8500</v>
      </c>
      <c r="C55" s="52">
        <f>C36-C48</f>
        <v>7250</v>
      </c>
      <c r="D55" s="62"/>
      <c r="E55" s="52"/>
      <c r="F55" s="52">
        <f t="shared" ref="F55:G55" si="33">F36-F48</f>
        <v>5850</v>
      </c>
      <c r="G55" s="52">
        <f t="shared" si="33"/>
        <v>8700</v>
      </c>
      <c r="H55" s="62">
        <v>5800.0</v>
      </c>
      <c r="I55" s="52"/>
      <c r="J55" s="52"/>
      <c r="K55" s="52"/>
      <c r="L55" s="52"/>
      <c r="M55" s="52"/>
      <c r="N55" s="52"/>
      <c r="O55" s="52"/>
      <c r="P55" s="52"/>
      <c r="Q55" s="53">
        <f t="shared" ref="Q55:Q57" si="34">SUM(B55:J55)</f>
        <v>36100</v>
      </c>
    </row>
    <row r="56" hidden="1">
      <c r="A56" s="63" t="s">
        <v>28</v>
      </c>
      <c r="B56" s="51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3">
        <f t="shared" si="34"/>
        <v>0</v>
      </c>
    </row>
    <row r="57" hidden="1">
      <c r="A57" s="63" t="s">
        <v>29</v>
      </c>
      <c r="B57" s="51">
        <f>(B43-B55)/2</f>
        <v>6750</v>
      </c>
      <c r="C57" s="52"/>
      <c r="D57" s="52">
        <f>(D41-12100-D42)</f>
        <v>1800</v>
      </c>
      <c r="E57" s="52"/>
      <c r="F57" s="52">
        <f>(F43-F55-200)/2</f>
        <v>3825</v>
      </c>
      <c r="G57" s="52">
        <f>(11700-5800)/2-G49</f>
        <v>1950</v>
      </c>
      <c r="H57" s="52">
        <f>(H43-H55)/2</f>
        <v>3200</v>
      </c>
      <c r="I57" s="52"/>
      <c r="J57" s="52"/>
      <c r="K57" s="52"/>
      <c r="L57" s="52"/>
      <c r="M57" s="52"/>
      <c r="N57" s="52"/>
      <c r="O57" s="52"/>
      <c r="P57" s="52"/>
      <c r="Q57" s="53">
        <f t="shared" si="34"/>
        <v>17525</v>
      </c>
    </row>
    <row r="58" hidden="1">
      <c r="A58" s="63" t="s">
        <v>30</v>
      </c>
      <c r="B58" s="51">
        <f>(B43-B55)/2</f>
        <v>6750</v>
      </c>
      <c r="C58" s="52"/>
      <c r="D58" s="52"/>
      <c r="E58" s="52"/>
      <c r="F58" s="52">
        <f>(F43-F55-200)/2</f>
        <v>3825</v>
      </c>
      <c r="G58" s="52">
        <f>(12200-5800)/2</f>
        <v>3200</v>
      </c>
      <c r="H58" s="52">
        <f>(H43-H55)/2</f>
        <v>3200</v>
      </c>
      <c r="I58" s="52"/>
      <c r="J58" s="52"/>
      <c r="K58" s="52"/>
      <c r="L58" s="52"/>
      <c r="M58" s="52"/>
      <c r="N58" s="52"/>
      <c r="O58" s="52"/>
      <c r="P58" s="52"/>
      <c r="Q58" s="53">
        <f>SUM(B58:H58)</f>
        <v>16975</v>
      </c>
    </row>
    <row r="59" hidden="1">
      <c r="A59" s="47"/>
      <c r="B59" s="54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</row>
    <row r="60" hidden="1"/>
    <row r="61" hidden="1">
      <c r="A61" s="1" t="s">
        <v>0</v>
      </c>
      <c r="B61" s="2" t="s">
        <v>1</v>
      </c>
      <c r="C61" s="3" t="s">
        <v>2</v>
      </c>
      <c r="D61" s="3" t="s">
        <v>3</v>
      </c>
      <c r="E61" s="3"/>
      <c r="F61" s="3" t="s">
        <v>4</v>
      </c>
      <c r="G61" s="3" t="s">
        <v>5</v>
      </c>
      <c r="H61" s="3" t="s">
        <v>6</v>
      </c>
      <c r="I61" s="4" t="s">
        <v>7</v>
      </c>
      <c r="J61" s="4" t="s">
        <v>8</v>
      </c>
      <c r="K61" s="4"/>
      <c r="L61" s="4"/>
      <c r="M61" s="4"/>
      <c r="N61" s="4"/>
      <c r="O61" s="4"/>
      <c r="P61" s="4"/>
      <c r="Q61" s="1" t="s">
        <v>0</v>
      </c>
    </row>
    <row r="62" hidden="1">
      <c r="A62" s="6" t="s">
        <v>31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8"/>
    </row>
    <row r="63" hidden="1">
      <c r="A63" s="55" t="s">
        <v>32</v>
      </c>
      <c r="B63" s="10">
        <v>9500.0</v>
      </c>
      <c r="C63" s="10">
        <v>7750.0</v>
      </c>
      <c r="D63" s="10">
        <v>7500.0</v>
      </c>
      <c r="E63" s="10"/>
      <c r="F63" s="10">
        <v>7500.0</v>
      </c>
      <c r="G63" s="10">
        <v>7000.0</v>
      </c>
      <c r="H63" s="10">
        <v>7000.0</v>
      </c>
      <c r="I63" s="11">
        <v>0.0</v>
      </c>
      <c r="J63" s="12"/>
      <c r="K63" s="12"/>
      <c r="L63" s="12"/>
      <c r="M63" s="12"/>
      <c r="N63" s="12"/>
      <c r="O63" s="12"/>
      <c r="P63" s="12"/>
      <c r="Q63" s="13">
        <f>SUM(B63:J63)</f>
        <v>46250</v>
      </c>
    </row>
    <row r="64" hidden="1">
      <c r="A64" s="15">
        <v>70.0</v>
      </c>
      <c r="B64" s="10">
        <v>9500.0</v>
      </c>
      <c r="C64" s="10">
        <v>7750.0</v>
      </c>
      <c r="D64" s="10">
        <v>7500.0</v>
      </c>
      <c r="E64" s="10"/>
      <c r="F64" s="10">
        <v>7500.0</v>
      </c>
      <c r="G64" s="10">
        <v>7000.0</v>
      </c>
      <c r="H64" s="10">
        <v>7000.0</v>
      </c>
      <c r="I64" s="11">
        <v>0.0</v>
      </c>
      <c r="J64" s="12"/>
      <c r="K64" s="12"/>
      <c r="L64" s="12"/>
      <c r="M64" s="12"/>
      <c r="N64" s="12"/>
      <c r="O64" s="12"/>
      <c r="P64" s="12"/>
      <c r="Q64" s="13">
        <f t="shared" ref="Q64:Q67" si="35">SUM(B64:I64)</f>
        <v>46250</v>
      </c>
    </row>
    <row r="65" hidden="1">
      <c r="A65" s="15" t="s">
        <v>29</v>
      </c>
      <c r="B65" s="10">
        <v>9500.0</v>
      </c>
      <c r="C65" s="10">
        <v>7750.0</v>
      </c>
      <c r="D65" s="10">
        <v>7500.0</v>
      </c>
      <c r="E65" s="10"/>
      <c r="F65" s="10">
        <v>7500.0</v>
      </c>
      <c r="G65" s="10">
        <v>7000.0</v>
      </c>
      <c r="H65" s="10">
        <v>7000.0</v>
      </c>
      <c r="I65" s="11">
        <v>0.0</v>
      </c>
      <c r="J65" s="12"/>
      <c r="K65" s="12"/>
      <c r="L65" s="12"/>
      <c r="M65" s="12"/>
      <c r="N65" s="12"/>
      <c r="O65" s="12"/>
      <c r="P65" s="12"/>
      <c r="Q65" s="13">
        <f t="shared" si="35"/>
        <v>46250</v>
      </c>
    </row>
    <row r="66" hidden="1">
      <c r="A66" s="15" t="s">
        <v>30</v>
      </c>
      <c r="B66" s="16">
        <v>9500.0</v>
      </c>
      <c r="C66" s="16">
        <v>7750.0</v>
      </c>
      <c r="D66" s="16">
        <v>7500.0</v>
      </c>
      <c r="E66" s="16"/>
      <c r="F66" s="16">
        <v>7500.0</v>
      </c>
      <c r="G66" s="16">
        <v>7000.0</v>
      </c>
      <c r="H66" s="16">
        <v>7000.0</v>
      </c>
      <c r="I66" s="17">
        <v>0.0</v>
      </c>
      <c r="J66" s="18"/>
      <c r="K66" s="18"/>
      <c r="L66" s="18"/>
      <c r="M66" s="18"/>
      <c r="N66" s="18"/>
      <c r="O66" s="18"/>
      <c r="P66" s="18"/>
      <c r="Q66" s="19">
        <f t="shared" si="35"/>
        <v>46250</v>
      </c>
    </row>
    <row r="67" hidden="1">
      <c r="A67" s="15"/>
      <c r="B67" s="16"/>
      <c r="C67" s="16"/>
      <c r="D67" s="16"/>
      <c r="E67" s="16"/>
      <c r="F67" s="16"/>
      <c r="G67" s="16"/>
      <c r="H67" s="16"/>
      <c r="I67" s="17">
        <v>0.0</v>
      </c>
      <c r="J67" s="18"/>
      <c r="K67" s="18"/>
      <c r="L67" s="18"/>
      <c r="M67" s="18"/>
      <c r="N67" s="18"/>
      <c r="O67" s="18"/>
      <c r="P67" s="18"/>
      <c r="Q67" s="19">
        <f t="shared" si="35"/>
        <v>0</v>
      </c>
    </row>
    <row r="68" hidden="1">
      <c r="A68" s="20" t="s">
        <v>15</v>
      </c>
      <c r="B68" s="21">
        <f t="shared" ref="B68:D68" si="36">SUM(B63:B66)</f>
        <v>38000</v>
      </c>
      <c r="C68" s="21">
        <f t="shared" si="36"/>
        <v>31000</v>
      </c>
      <c r="D68" s="21">
        <f t="shared" si="36"/>
        <v>30000</v>
      </c>
      <c r="E68" s="21"/>
      <c r="F68" s="21">
        <f t="shared" ref="F68:I68" si="37">SUM(F63:F66)</f>
        <v>30000</v>
      </c>
      <c r="G68" s="21">
        <f t="shared" si="37"/>
        <v>28000</v>
      </c>
      <c r="H68" s="21">
        <f t="shared" si="37"/>
        <v>28000</v>
      </c>
      <c r="I68" s="21">
        <f t="shared" si="37"/>
        <v>0</v>
      </c>
      <c r="J68" s="20" t="s">
        <v>15</v>
      </c>
      <c r="K68" s="20"/>
      <c r="L68" s="20"/>
      <c r="M68" s="20"/>
      <c r="N68" s="20"/>
      <c r="O68" s="20"/>
      <c r="P68" s="20"/>
      <c r="Q68" s="21">
        <f>SUM(Q63:Q66)</f>
        <v>185000</v>
      </c>
    </row>
    <row r="69" hidden="1">
      <c r="A69" s="23" t="s">
        <v>16</v>
      </c>
      <c r="B69" s="24">
        <v>10800.0</v>
      </c>
      <c r="C69" s="24">
        <v>9770.0</v>
      </c>
      <c r="D69" s="24">
        <v>9400.0</v>
      </c>
      <c r="E69" s="24"/>
      <c r="F69" s="24">
        <v>9400.0</v>
      </c>
      <c r="G69" s="24">
        <v>10800.0</v>
      </c>
      <c r="H69" s="24">
        <v>10800.0</v>
      </c>
      <c r="I69" s="24"/>
      <c r="J69" s="21"/>
      <c r="K69" s="21"/>
      <c r="L69" s="21"/>
      <c r="M69" s="21"/>
      <c r="N69" s="21"/>
      <c r="O69" s="21"/>
      <c r="P69" s="21"/>
      <c r="Q69" s="22"/>
    </row>
    <row r="70" hidden="1">
      <c r="A70" s="57" t="s">
        <v>17</v>
      </c>
      <c r="B70" s="58">
        <f t="shared" ref="B70:D70" si="38">B68-(B69)</f>
        <v>27200</v>
      </c>
      <c r="C70" s="58">
        <f t="shared" si="38"/>
        <v>21230</v>
      </c>
      <c r="D70" s="58">
        <f t="shared" si="38"/>
        <v>20600</v>
      </c>
      <c r="E70" s="58"/>
      <c r="F70" s="58">
        <f t="shared" ref="F70:H70" si="39">F68-(F69)</f>
        <v>20600</v>
      </c>
      <c r="G70" s="58">
        <f t="shared" si="39"/>
        <v>17200</v>
      </c>
      <c r="H70" s="58">
        <f t="shared" si="39"/>
        <v>17200</v>
      </c>
      <c r="I70" s="58">
        <f>I67-(I69)</f>
        <v>0</v>
      </c>
      <c r="J70" s="25"/>
      <c r="K70" s="25"/>
      <c r="L70" s="25"/>
      <c r="M70" s="25"/>
      <c r="N70" s="25"/>
      <c r="O70" s="25"/>
      <c r="P70" s="25"/>
      <c r="Q70" s="26">
        <f t="shared" ref="Q70:Q72" si="40">SUM(B70:J70)</f>
        <v>124030</v>
      </c>
    </row>
    <row r="71" hidden="1">
      <c r="A71" s="27" t="s">
        <v>33</v>
      </c>
      <c r="B71" s="28"/>
      <c r="C71" s="28">
        <v>1000.0</v>
      </c>
      <c r="D71" s="28">
        <v>1000.0</v>
      </c>
      <c r="E71" s="28"/>
      <c r="F71" s="28">
        <v>1000.0</v>
      </c>
      <c r="G71" s="28">
        <v>1000.0</v>
      </c>
      <c r="H71" s="28">
        <v>1000.0</v>
      </c>
      <c r="I71" s="28"/>
      <c r="J71" s="28"/>
      <c r="K71" s="29"/>
      <c r="L71" s="29"/>
      <c r="M71" s="29"/>
      <c r="N71" s="29"/>
      <c r="O71" s="29"/>
      <c r="P71" s="29"/>
      <c r="Q71" s="30">
        <f t="shared" si="40"/>
        <v>5000</v>
      </c>
    </row>
    <row r="72" hidden="1">
      <c r="A72" s="23"/>
      <c r="B72" s="24"/>
      <c r="C72" s="24"/>
      <c r="D72" s="24"/>
      <c r="E72" s="24"/>
      <c r="F72" s="24"/>
      <c r="G72" s="24"/>
      <c r="H72" s="24"/>
      <c r="I72" s="24"/>
      <c r="J72" s="24"/>
      <c r="K72" s="25"/>
      <c r="L72" s="25"/>
      <c r="M72" s="25"/>
      <c r="N72" s="25"/>
      <c r="O72" s="25"/>
      <c r="P72" s="25"/>
      <c r="Q72" s="26">
        <f t="shared" si="40"/>
        <v>0</v>
      </c>
    </row>
    <row r="73" hidden="1">
      <c r="A73" s="37"/>
      <c r="B73" s="38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</row>
    <row r="74" hidden="1">
      <c r="A74" s="39" t="s">
        <v>22</v>
      </c>
      <c r="B74" s="40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</row>
    <row r="75" hidden="1">
      <c r="A75" s="59" t="s">
        <v>32</v>
      </c>
      <c r="B75" s="43">
        <v>2000.0</v>
      </c>
      <c r="C75" s="44"/>
      <c r="D75" s="44"/>
      <c r="E75" s="45"/>
      <c r="F75" s="45"/>
      <c r="G75" s="44"/>
      <c r="H75" s="45"/>
      <c r="I75" s="44"/>
      <c r="J75" s="44"/>
      <c r="K75" s="44"/>
      <c r="L75" s="44"/>
      <c r="M75" s="44"/>
      <c r="N75" s="44"/>
      <c r="O75" s="44"/>
      <c r="P75" s="44"/>
      <c r="Q75" s="44"/>
    </row>
    <row r="76" hidden="1">
      <c r="A76" s="60" t="s">
        <v>28</v>
      </c>
      <c r="B76" s="46"/>
      <c r="C76" s="45"/>
      <c r="D76" s="45"/>
      <c r="E76" s="45"/>
      <c r="F76" s="45"/>
      <c r="G76" s="45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7" hidden="1">
      <c r="A77" s="60" t="s">
        <v>29</v>
      </c>
      <c r="B77" s="43"/>
      <c r="C77" s="44"/>
      <c r="D77" s="44"/>
      <c r="E77" s="45"/>
      <c r="F77" s="45">
        <f>1150+200</f>
        <v>1350</v>
      </c>
      <c r="G77" s="44">
        <f>3230</f>
        <v>3230</v>
      </c>
      <c r="H77" s="44"/>
      <c r="I77" s="44"/>
      <c r="J77" s="44"/>
      <c r="K77" s="44"/>
      <c r="L77" s="44"/>
      <c r="M77" s="44"/>
      <c r="N77" s="44"/>
      <c r="O77" s="44"/>
      <c r="P77" s="44"/>
      <c r="Q77" s="44"/>
    </row>
    <row r="78" hidden="1">
      <c r="A78" s="60" t="s">
        <v>30</v>
      </c>
      <c r="B78" s="46"/>
      <c r="C78" s="45"/>
      <c r="D78" s="44"/>
      <c r="E78" s="45"/>
      <c r="F78" s="45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</row>
    <row r="79" hidden="1">
      <c r="A79" s="39"/>
      <c r="B79" s="46"/>
      <c r="C79" s="44"/>
      <c r="D79" s="44"/>
      <c r="E79" s="45"/>
      <c r="F79" s="45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</row>
    <row r="80" hidden="1">
      <c r="A80" s="37"/>
      <c r="B80" s="38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</row>
    <row r="81" hidden="1">
      <c r="A81" s="47" t="s">
        <v>23</v>
      </c>
      <c r="B81" s="48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7" t="s">
        <v>24</v>
      </c>
    </row>
    <row r="82" hidden="1">
      <c r="A82" s="61" t="s">
        <v>32</v>
      </c>
      <c r="B82" s="51">
        <f t="shared" ref="B82:D82" si="41">(B70/3)-B75</f>
        <v>7066.666667</v>
      </c>
      <c r="C82" s="52">
        <f t="shared" si="41"/>
        <v>7076.666667</v>
      </c>
      <c r="D82" s="62">
        <f t="shared" si="41"/>
        <v>6866.666667</v>
      </c>
      <c r="E82" s="52"/>
      <c r="F82" s="52">
        <f t="shared" ref="F82:H82" si="42">(F70/3)-F75</f>
        <v>6866.666667</v>
      </c>
      <c r="G82" s="52">
        <f t="shared" si="42"/>
        <v>5733.333333</v>
      </c>
      <c r="H82" s="62">
        <f t="shared" si="42"/>
        <v>5733.333333</v>
      </c>
      <c r="I82" s="52"/>
      <c r="J82" s="52"/>
      <c r="K82" s="52"/>
      <c r="L82" s="52"/>
      <c r="M82" s="52"/>
      <c r="N82" s="52"/>
      <c r="O82" s="52"/>
      <c r="P82" s="52"/>
      <c r="Q82" s="52">
        <f>SUM(C82:J82)</f>
        <v>32276.66667</v>
      </c>
    </row>
    <row r="83" hidden="1">
      <c r="A83" s="63" t="s">
        <v>28</v>
      </c>
      <c r="B83" s="51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3">
        <f t="shared" ref="Q83:Q84" si="44">SUM(B83:J83)</f>
        <v>0</v>
      </c>
    </row>
    <row r="84" hidden="1">
      <c r="A84" s="63" t="s">
        <v>29</v>
      </c>
      <c r="B84" s="51">
        <f t="shared" ref="B84:D84" si="43">B70/3</f>
        <v>9066.666667</v>
      </c>
      <c r="C84" s="52">
        <f t="shared" si="43"/>
        <v>7076.666667</v>
      </c>
      <c r="D84" s="52">
        <f t="shared" si="43"/>
        <v>6866.666667</v>
      </c>
      <c r="E84" s="52"/>
      <c r="F84" s="52">
        <f>(F70/3)-F77</f>
        <v>5516.666667</v>
      </c>
      <c r="G84" s="52">
        <f>(G70/3)+G77</f>
        <v>8963.333333</v>
      </c>
      <c r="H84" s="52">
        <f>H70/3</f>
        <v>5733.333333</v>
      </c>
      <c r="I84" s="52"/>
      <c r="J84" s="52"/>
      <c r="K84" s="52"/>
      <c r="L84" s="52"/>
      <c r="M84" s="52"/>
      <c r="N84" s="52"/>
      <c r="O84" s="52"/>
      <c r="P84" s="52"/>
      <c r="Q84" s="53">
        <f t="shared" si="44"/>
        <v>43223.33333</v>
      </c>
    </row>
    <row r="85" hidden="1">
      <c r="A85" s="63" t="s">
        <v>30</v>
      </c>
      <c r="B85" s="51">
        <f t="shared" ref="B85:D85" si="45">B70/3</f>
        <v>9066.666667</v>
      </c>
      <c r="C85" s="52">
        <f t="shared" si="45"/>
        <v>7076.666667</v>
      </c>
      <c r="D85" s="52">
        <f t="shared" si="45"/>
        <v>6866.666667</v>
      </c>
      <c r="E85" s="52"/>
      <c r="F85" s="52">
        <f t="shared" ref="F85:H85" si="46">F70/3</f>
        <v>6866.666667</v>
      </c>
      <c r="G85" s="52">
        <f t="shared" si="46"/>
        <v>5733.333333</v>
      </c>
      <c r="H85" s="52">
        <f t="shared" si="46"/>
        <v>5733.333333</v>
      </c>
      <c r="I85" s="52"/>
      <c r="J85" s="52"/>
      <c r="K85" s="52"/>
      <c r="L85" s="52"/>
      <c r="M85" s="52"/>
      <c r="N85" s="52"/>
      <c r="O85" s="52"/>
      <c r="P85" s="52"/>
      <c r="Q85" s="53">
        <f>SUM(B85:H85)</f>
        <v>41343.33333</v>
      </c>
    </row>
    <row r="86" hidden="1">
      <c r="A86" s="47"/>
      <c r="B86" s="54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</row>
    <row r="87" hidden="1"/>
    <row r="88" hidden="1">
      <c r="A88" s="1" t="s">
        <v>0</v>
      </c>
      <c r="B88" s="2" t="s">
        <v>1</v>
      </c>
      <c r="C88" s="3" t="s">
        <v>2</v>
      </c>
      <c r="D88" s="3" t="s">
        <v>3</v>
      </c>
      <c r="E88" s="3"/>
      <c r="F88" s="3" t="s">
        <v>4</v>
      </c>
      <c r="G88" s="3" t="s">
        <v>5</v>
      </c>
      <c r="H88" s="3" t="s">
        <v>6</v>
      </c>
      <c r="I88" s="4" t="s">
        <v>34</v>
      </c>
      <c r="J88" s="4"/>
      <c r="K88" s="4"/>
      <c r="L88" s="4"/>
      <c r="M88" s="4"/>
      <c r="N88" s="4"/>
      <c r="O88" s="4"/>
      <c r="P88" s="4"/>
      <c r="Q88" s="1" t="s">
        <v>0</v>
      </c>
    </row>
    <row r="89" hidden="1">
      <c r="A89" s="6" t="s">
        <v>35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8"/>
    </row>
    <row r="90" hidden="1">
      <c r="A90" s="55" t="s">
        <v>36</v>
      </c>
      <c r="B90" s="10">
        <v>9500.0</v>
      </c>
      <c r="C90" s="10">
        <v>7750.0</v>
      </c>
      <c r="D90" s="10">
        <v>7500.0</v>
      </c>
      <c r="E90" s="10"/>
      <c r="F90" s="10">
        <v>7500.0</v>
      </c>
      <c r="G90" s="10">
        <v>7000.0</v>
      </c>
      <c r="H90" s="10">
        <v>7000.0</v>
      </c>
      <c r="I90" s="11">
        <v>0.0</v>
      </c>
      <c r="J90" s="12"/>
      <c r="K90" s="12"/>
      <c r="L90" s="12"/>
      <c r="M90" s="12"/>
      <c r="N90" s="12"/>
      <c r="O90" s="12"/>
      <c r="P90" s="12"/>
      <c r="Q90" s="13">
        <f>SUM(B90:J90)</f>
        <v>46250</v>
      </c>
    </row>
    <row r="91" hidden="1">
      <c r="A91" s="14">
        <v>44474.0</v>
      </c>
      <c r="B91" s="10">
        <v>9500.0</v>
      </c>
      <c r="C91" s="10">
        <v>7750.0</v>
      </c>
      <c r="D91" s="10">
        <v>7500.0</v>
      </c>
      <c r="E91" s="10"/>
      <c r="F91" s="10">
        <v>7500.0</v>
      </c>
      <c r="G91" s="10">
        <v>7000.0</v>
      </c>
      <c r="H91" s="10">
        <v>7000.0</v>
      </c>
      <c r="I91" s="11">
        <v>0.0</v>
      </c>
      <c r="J91" s="12"/>
      <c r="K91" s="12"/>
      <c r="L91" s="12"/>
      <c r="M91" s="12"/>
      <c r="N91" s="12"/>
      <c r="O91" s="12"/>
      <c r="P91" s="12"/>
      <c r="Q91" s="13">
        <f t="shared" ref="Q91:Q94" si="47">SUM(B91:I91)</f>
        <v>46250</v>
      </c>
    </row>
    <row r="92" hidden="1">
      <c r="A92" s="15" t="s">
        <v>37</v>
      </c>
      <c r="B92" s="10">
        <v>9500.0</v>
      </c>
      <c r="C92" s="10">
        <v>7750.0</v>
      </c>
      <c r="D92" s="10">
        <v>7500.0</v>
      </c>
      <c r="E92" s="10"/>
      <c r="F92" s="10">
        <v>7500.0</v>
      </c>
      <c r="G92" s="10">
        <v>7000.0</v>
      </c>
      <c r="H92" s="10">
        <v>7000.0</v>
      </c>
      <c r="I92" s="11">
        <v>0.0</v>
      </c>
      <c r="J92" s="12"/>
      <c r="K92" s="12"/>
      <c r="L92" s="12"/>
      <c r="M92" s="12"/>
      <c r="N92" s="12"/>
      <c r="O92" s="12"/>
      <c r="P92" s="12"/>
      <c r="Q92" s="13">
        <f t="shared" si="47"/>
        <v>46250</v>
      </c>
    </row>
    <row r="93" hidden="1">
      <c r="A93" s="15" t="s">
        <v>38</v>
      </c>
      <c r="B93" s="16">
        <v>9500.0</v>
      </c>
      <c r="C93" s="16">
        <v>7750.0</v>
      </c>
      <c r="D93" s="16">
        <v>7500.0</v>
      </c>
      <c r="E93" s="16"/>
      <c r="F93" s="16">
        <v>7500.0</v>
      </c>
      <c r="G93" s="16">
        <v>7000.0</v>
      </c>
      <c r="H93" s="16">
        <v>7000.0</v>
      </c>
      <c r="I93" s="17">
        <v>0.0</v>
      </c>
      <c r="J93" s="18"/>
      <c r="K93" s="18"/>
      <c r="L93" s="18"/>
      <c r="M93" s="18"/>
      <c r="N93" s="18"/>
      <c r="O93" s="18"/>
      <c r="P93" s="18"/>
      <c r="Q93" s="19">
        <f t="shared" si="47"/>
        <v>46250</v>
      </c>
    </row>
    <row r="94" hidden="1">
      <c r="A94" s="15" t="s">
        <v>39</v>
      </c>
      <c r="B94" s="16"/>
      <c r="C94" s="16"/>
      <c r="D94" s="16"/>
      <c r="E94" s="16"/>
      <c r="F94" s="16"/>
      <c r="G94" s="16"/>
      <c r="H94" s="16"/>
      <c r="I94" s="17">
        <v>0.0</v>
      </c>
      <c r="J94" s="18"/>
      <c r="K94" s="18"/>
      <c r="L94" s="18"/>
      <c r="M94" s="18"/>
      <c r="N94" s="18"/>
      <c r="O94" s="18"/>
      <c r="P94" s="18"/>
      <c r="Q94" s="19">
        <f t="shared" si="47"/>
        <v>0</v>
      </c>
    </row>
    <row r="95" hidden="1">
      <c r="A95" s="20" t="s">
        <v>15</v>
      </c>
      <c r="B95" s="21">
        <f t="shared" ref="B95:D95" si="48">SUM(B90:B93)</f>
        <v>38000</v>
      </c>
      <c r="C95" s="21">
        <f t="shared" si="48"/>
        <v>31000</v>
      </c>
      <c r="D95" s="21">
        <f t="shared" si="48"/>
        <v>30000</v>
      </c>
      <c r="E95" s="21"/>
      <c r="F95" s="21">
        <f t="shared" ref="F95:I95" si="49">SUM(F90:F93)</f>
        <v>30000</v>
      </c>
      <c r="G95" s="21">
        <f t="shared" si="49"/>
        <v>28000</v>
      </c>
      <c r="H95" s="21">
        <f t="shared" si="49"/>
        <v>28000</v>
      </c>
      <c r="I95" s="21">
        <f t="shared" si="49"/>
        <v>0</v>
      </c>
      <c r="J95" s="20" t="s">
        <v>15</v>
      </c>
      <c r="K95" s="20"/>
      <c r="L95" s="20"/>
      <c r="M95" s="20"/>
      <c r="N95" s="20"/>
      <c r="O95" s="20"/>
      <c r="P95" s="20"/>
      <c r="Q95" s="21">
        <f>SUM(Q90:Q93)</f>
        <v>185000</v>
      </c>
    </row>
    <row r="96" hidden="1">
      <c r="A96" s="23" t="s">
        <v>16</v>
      </c>
      <c r="B96" s="24">
        <v>10800.0</v>
      </c>
      <c r="C96" s="24">
        <v>9770.0</v>
      </c>
      <c r="D96" s="24">
        <v>9400.0</v>
      </c>
      <c r="E96" s="24"/>
      <c r="F96" s="24">
        <v>9400.0</v>
      </c>
      <c r="G96" s="24">
        <v>10800.0</v>
      </c>
      <c r="H96" s="24">
        <v>10800.0</v>
      </c>
      <c r="I96" s="24"/>
      <c r="J96" s="21"/>
      <c r="K96" s="21"/>
      <c r="L96" s="21"/>
      <c r="M96" s="21"/>
      <c r="N96" s="21"/>
      <c r="O96" s="21"/>
      <c r="P96" s="21"/>
      <c r="Q96" s="22"/>
    </row>
    <row r="97" hidden="1">
      <c r="A97" s="57" t="s">
        <v>17</v>
      </c>
      <c r="B97" s="58">
        <f t="shared" ref="B97:D97" si="50">B95-(B96)</f>
        <v>27200</v>
      </c>
      <c r="C97" s="58">
        <f t="shared" si="50"/>
        <v>21230</v>
      </c>
      <c r="D97" s="58">
        <f t="shared" si="50"/>
        <v>20600</v>
      </c>
      <c r="E97" s="58"/>
      <c r="F97" s="58">
        <f t="shared" ref="F97:H97" si="51">F95-(F96)</f>
        <v>20600</v>
      </c>
      <c r="G97" s="58">
        <f t="shared" si="51"/>
        <v>17200</v>
      </c>
      <c r="H97" s="58">
        <f t="shared" si="51"/>
        <v>17200</v>
      </c>
      <c r="I97" s="58">
        <f>I94-(I96)</f>
        <v>0</v>
      </c>
      <c r="J97" s="25"/>
      <c r="K97" s="25"/>
      <c r="L97" s="25"/>
      <c r="M97" s="25"/>
      <c r="N97" s="25"/>
      <c r="O97" s="25"/>
      <c r="P97" s="25"/>
      <c r="Q97" s="26">
        <f t="shared" ref="Q97:Q100" si="52">SUM(B97:J97)</f>
        <v>124030</v>
      </c>
    </row>
    <row r="98" hidden="1">
      <c r="A98" s="27" t="s">
        <v>40</v>
      </c>
      <c r="B98" s="28"/>
      <c r="C98" s="28">
        <v>600.0</v>
      </c>
      <c r="D98" s="28">
        <v>1800.0</v>
      </c>
      <c r="E98" s="28"/>
      <c r="F98" s="28">
        <v>1000.0</v>
      </c>
      <c r="G98" s="28"/>
      <c r="H98" s="28">
        <f>600*6</f>
        <v>3600</v>
      </c>
      <c r="I98" s="28"/>
      <c r="J98" s="28"/>
      <c r="K98" s="29"/>
      <c r="L98" s="29"/>
      <c r="M98" s="29"/>
      <c r="N98" s="29"/>
      <c r="O98" s="29"/>
      <c r="P98" s="29"/>
      <c r="Q98" s="30">
        <f t="shared" si="52"/>
        <v>7000</v>
      </c>
    </row>
    <row r="99" hidden="1">
      <c r="A99" s="23" t="s">
        <v>41</v>
      </c>
      <c r="B99" s="24"/>
      <c r="C99" s="24">
        <v>1000.0</v>
      </c>
      <c r="D99" s="24">
        <v>1000.0</v>
      </c>
      <c r="E99" s="24"/>
      <c r="F99" s="24">
        <v>1000.0</v>
      </c>
      <c r="G99" s="24">
        <v>1000.0</v>
      </c>
      <c r="H99" s="24">
        <v>1000.0</v>
      </c>
      <c r="I99" s="24"/>
      <c r="J99" s="24"/>
      <c r="K99" s="25"/>
      <c r="L99" s="25"/>
      <c r="M99" s="25"/>
      <c r="N99" s="25"/>
      <c r="O99" s="25"/>
      <c r="P99" s="25"/>
      <c r="Q99" s="26">
        <f t="shared" si="52"/>
        <v>5000</v>
      </c>
    </row>
    <row r="100" hidden="1">
      <c r="A100" s="23" t="s">
        <v>42</v>
      </c>
      <c r="B100" s="24">
        <v>1000.0</v>
      </c>
      <c r="C100" s="24">
        <v>1000.0</v>
      </c>
      <c r="D100" s="24">
        <v>1000.0</v>
      </c>
      <c r="E100" s="24"/>
      <c r="F100" s="24">
        <v>1000.0</v>
      </c>
      <c r="G100" s="24">
        <v>1000.0</v>
      </c>
      <c r="H100" s="24">
        <v>1000.0</v>
      </c>
      <c r="I100" s="24">
        <v>1000.0</v>
      </c>
      <c r="J100" s="24"/>
      <c r="K100" s="25"/>
      <c r="L100" s="25"/>
      <c r="M100" s="25"/>
      <c r="N100" s="25"/>
      <c r="O100" s="25"/>
      <c r="P100" s="25"/>
      <c r="Q100" s="26">
        <f t="shared" si="52"/>
        <v>7000</v>
      </c>
    </row>
    <row r="101" hidden="1">
      <c r="A101" s="39" t="s">
        <v>22</v>
      </c>
      <c r="B101" s="40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</row>
    <row r="102" hidden="1">
      <c r="A102" s="59" t="s">
        <v>36</v>
      </c>
      <c r="B102" s="43"/>
      <c r="C102" s="44"/>
      <c r="D102" s="44"/>
      <c r="E102" s="45"/>
      <c r="F102" s="45"/>
      <c r="G102" s="44"/>
      <c r="H102" s="45"/>
      <c r="I102" s="44"/>
      <c r="J102" s="44"/>
      <c r="K102" s="44"/>
      <c r="L102" s="44"/>
      <c r="M102" s="44"/>
      <c r="N102" s="44"/>
      <c r="O102" s="44"/>
      <c r="P102" s="44"/>
      <c r="Q102" s="44"/>
    </row>
    <row r="103" hidden="1">
      <c r="A103" s="64">
        <v>44474.0</v>
      </c>
      <c r="B103" s="46"/>
      <c r="C103" s="45"/>
      <c r="D103" s="45"/>
      <c r="E103" s="45"/>
      <c r="F103" s="45">
        <v>500.0</v>
      </c>
      <c r="G103" s="45"/>
      <c r="H103" s="44"/>
      <c r="I103" s="44"/>
      <c r="J103" s="44"/>
      <c r="K103" s="44"/>
      <c r="L103" s="44"/>
      <c r="M103" s="44"/>
      <c r="N103" s="44"/>
      <c r="O103" s="44"/>
      <c r="P103" s="44"/>
      <c r="Q103" s="44"/>
    </row>
    <row r="104" hidden="1">
      <c r="A104" s="60" t="s">
        <v>37</v>
      </c>
      <c r="B104" s="43"/>
      <c r="C104" s="45">
        <v>1000.0</v>
      </c>
      <c r="D104" s="44"/>
      <c r="E104" s="45"/>
      <c r="F104" s="45">
        <v>300.0</v>
      </c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</row>
    <row r="105" hidden="1">
      <c r="A105" s="60" t="s">
        <v>38</v>
      </c>
      <c r="B105" s="46"/>
      <c r="C105" s="45"/>
      <c r="D105" s="44"/>
      <c r="E105" s="45"/>
      <c r="F105" s="45">
        <v>300.0</v>
      </c>
      <c r="G105" s="44"/>
      <c r="H105" s="45">
        <v>340.0</v>
      </c>
      <c r="I105" s="44"/>
      <c r="J105" s="44"/>
      <c r="K105" s="44"/>
      <c r="L105" s="44"/>
      <c r="M105" s="44"/>
      <c r="N105" s="44"/>
      <c r="O105" s="44"/>
      <c r="P105" s="44"/>
      <c r="Q105" s="44"/>
    </row>
    <row r="106" hidden="1">
      <c r="A106" s="64">
        <v>44222.0</v>
      </c>
      <c r="B106" s="46"/>
      <c r="C106" s="44"/>
      <c r="D106" s="44"/>
      <c r="E106" s="45"/>
      <c r="F106" s="45"/>
      <c r="G106" s="44"/>
      <c r="H106" s="45"/>
      <c r="I106" s="44"/>
      <c r="J106" s="44"/>
      <c r="K106" s="44"/>
      <c r="L106" s="44"/>
      <c r="M106" s="44"/>
      <c r="N106" s="44"/>
      <c r="O106" s="44"/>
      <c r="P106" s="44"/>
      <c r="Q106" s="44"/>
    </row>
    <row r="107" hidden="1">
      <c r="A107" s="37"/>
      <c r="B107" s="38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</row>
    <row r="108" hidden="1">
      <c r="A108" s="47" t="s">
        <v>23</v>
      </c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7" t="s">
        <v>24</v>
      </c>
    </row>
    <row r="109" hidden="1">
      <c r="A109" s="61" t="s">
        <v>36</v>
      </c>
      <c r="B109" s="51">
        <f>(B97/3)-B102</f>
        <v>9066.666667</v>
      </c>
      <c r="C109" s="52">
        <f t="shared" ref="C109:D109" si="53">(C97/3)-C102+C99</f>
        <v>8076.666667</v>
      </c>
      <c r="D109" s="62">
        <f t="shared" si="53"/>
        <v>7866.666667</v>
      </c>
      <c r="E109" s="52"/>
      <c r="F109" s="52">
        <f>(F97/3)-F102+F98+F99</f>
        <v>8866.666667</v>
      </c>
      <c r="G109" s="52">
        <f t="shared" ref="G109:H109" si="54">(G97/3)-G102+G99</f>
        <v>6733.333333</v>
      </c>
      <c r="H109" s="62">
        <f t="shared" si="54"/>
        <v>6733.333333</v>
      </c>
      <c r="I109" s="52"/>
      <c r="J109" s="52"/>
      <c r="K109" s="52"/>
      <c r="L109" s="52"/>
      <c r="M109" s="52"/>
      <c r="N109" s="52"/>
      <c r="O109" s="52"/>
      <c r="P109" s="52"/>
      <c r="Q109" s="53">
        <f t="shared" ref="Q109:Q111" si="56">SUM(B109:J109)</f>
        <v>47343.33333</v>
      </c>
    </row>
    <row r="110" hidden="1">
      <c r="A110" s="65">
        <v>44474.0</v>
      </c>
      <c r="B110" s="51">
        <f t="shared" ref="B110:C110" si="55">B97/3</f>
        <v>9066.666667</v>
      </c>
      <c r="C110" s="52">
        <f t="shared" si="55"/>
        <v>7076.666667</v>
      </c>
      <c r="D110" s="52">
        <f>D97/3+D98</f>
        <v>8666.666667</v>
      </c>
      <c r="E110" s="52"/>
      <c r="F110" s="52">
        <f>(F97/3)-F103</f>
        <v>6366.666667</v>
      </c>
      <c r="G110" s="52">
        <f>(G97/3)+G104</f>
        <v>5733.333333</v>
      </c>
      <c r="H110" s="52">
        <f>H97/3</f>
        <v>5733.333333</v>
      </c>
      <c r="I110" s="52"/>
      <c r="J110" s="52"/>
      <c r="K110" s="52"/>
      <c r="L110" s="52"/>
      <c r="M110" s="52"/>
      <c r="N110" s="52"/>
      <c r="O110" s="52"/>
      <c r="P110" s="52"/>
      <c r="Q110" s="53">
        <f t="shared" si="56"/>
        <v>42643.33333</v>
      </c>
    </row>
    <row r="111" hidden="1">
      <c r="A111" s="63" t="s">
        <v>37</v>
      </c>
      <c r="B111" s="66">
        <f>(B95-B109-B110)/2</f>
        <v>9933.333333</v>
      </c>
      <c r="C111" s="67">
        <f>(C95-7076-7076)/2-C104</f>
        <v>7424</v>
      </c>
      <c r="D111" s="67">
        <f>(D95-6866-6866)/2</f>
        <v>8134</v>
      </c>
      <c r="E111" s="67"/>
      <c r="F111" s="67">
        <f>(F95-6866-6866)/2-F104</f>
        <v>7834</v>
      </c>
      <c r="G111" s="67">
        <f t="shared" ref="G111:H111" si="57">(G95-5733-5733)/2</f>
        <v>8267</v>
      </c>
      <c r="H111" s="67">
        <f t="shared" si="57"/>
        <v>8267</v>
      </c>
      <c r="I111" s="52"/>
      <c r="J111" s="52"/>
      <c r="K111" s="52"/>
      <c r="L111" s="52"/>
      <c r="M111" s="52"/>
      <c r="N111" s="52"/>
      <c r="O111" s="52"/>
      <c r="P111" s="52"/>
      <c r="Q111" s="53">
        <f t="shared" si="56"/>
        <v>49859.33333</v>
      </c>
    </row>
    <row r="112" hidden="1">
      <c r="A112" s="63" t="s">
        <v>38</v>
      </c>
      <c r="B112" s="68">
        <f>B111-B105</f>
        <v>9933.333333</v>
      </c>
      <c r="C112" s="62">
        <f>8424-C105</f>
        <v>8424</v>
      </c>
      <c r="D112" s="52">
        <f>8134-D105</f>
        <v>8134</v>
      </c>
      <c r="E112" s="52"/>
      <c r="F112" s="52">
        <f>8134-F105</f>
        <v>7834</v>
      </c>
      <c r="G112" s="52">
        <f t="shared" ref="G112:H112" si="58">8267-G105</f>
        <v>8267</v>
      </c>
      <c r="H112" s="52">
        <f t="shared" si="58"/>
        <v>7927</v>
      </c>
      <c r="I112" s="52"/>
      <c r="J112" s="52"/>
      <c r="K112" s="52"/>
      <c r="L112" s="52"/>
      <c r="M112" s="52"/>
      <c r="N112" s="52"/>
      <c r="O112" s="52"/>
      <c r="P112" s="52"/>
      <c r="Q112" s="53">
        <f>SUM(B112:H112)</f>
        <v>50519.33333</v>
      </c>
    </row>
    <row r="113" hidden="1">
      <c r="A113" s="65">
        <v>44222.0</v>
      </c>
      <c r="B113" s="54">
        <f>B93+B100</f>
        <v>10500</v>
      </c>
      <c r="C113" s="52">
        <f>C93+C100+C98</f>
        <v>9350</v>
      </c>
      <c r="D113" s="52">
        <f>D93+D100</f>
        <v>8500</v>
      </c>
      <c r="E113" s="52"/>
      <c r="F113" s="52">
        <f>F93</f>
        <v>7500</v>
      </c>
      <c r="G113" s="62" t="s">
        <v>43</v>
      </c>
      <c r="H113" s="52">
        <f>H93+H98+H100</f>
        <v>11600</v>
      </c>
      <c r="I113" s="52">
        <f>(1000*4)+I100</f>
        <v>5000</v>
      </c>
      <c r="J113" s="52"/>
      <c r="K113" s="52"/>
      <c r="L113" s="52"/>
      <c r="M113" s="52"/>
      <c r="N113" s="52"/>
      <c r="O113" s="52"/>
      <c r="P113" s="52"/>
      <c r="Q113" s="53">
        <f>SUM(B113:J113)</f>
        <v>52450</v>
      </c>
    </row>
    <row r="114" hidden="1"/>
    <row r="115" hidden="1"/>
    <row r="116" hidden="1">
      <c r="A116" s="1" t="s">
        <v>0</v>
      </c>
      <c r="B116" s="2" t="s">
        <v>1</v>
      </c>
      <c r="C116" s="3" t="s">
        <v>2</v>
      </c>
      <c r="D116" s="3" t="s">
        <v>3</v>
      </c>
      <c r="E116" s="3"/>
      <c r="F116" s="3" t="s">
        <v>4</v>
      </c>
      <c r="G116" s="3" t="s">
        <v>34</v>
      </c>
      <c r="H116" s="3" t="s">
        <v>6</v>
      </c>
      <c r="I116" s="4"/>
      <c r="J116" s="4"/>
      <c r="K116" s="4"/>
      <c r="L116" s="4"/>
      <c r="M116" s="4"/>
      <c r="N116" s="4"/>
      <c r="O116" s="4"/>
      <c r="P116" s="4"/>
      <c r="Q116" s="1" t="s">
        <v>0</v>
      </c>
    </row>
    <row r="117" hidden="1">
      <c r="A117" s="6" t="s">
        <v>44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8"/>
    </row>
    <row r="118" hidden="1">
      <c r="A118" s="55" t="s">
        <v>45</v>
      </c>
      <c r="B118" s="10">
        <v>9500.0</v>
      </c>
      <c r="C118" s="10">
        <v>7750.0</v>
      </c>
      <c r="D118" s="10">
        <v>7500.0</v>
      </c>
      <c r="E118" s="10"/>
      <c r="F118" s="10">
        <v>7500.0</v>
      </c>
      <c r="G118" s="10">
        <v>7000.0</v>
      </c>
      <c r="H118" s="10">
        <v>7000.0</v>
      </c>
      <c r="I118" s="11">
        <v>0.0</v>
      </c>
      <c r="J118" s="12"/>
      <c r="K118" s="12"/>
      <c r="L118" s="12"/>
      <c r="M118" s="12"/>
      <c r="N118" s="12"/>
      <c r="O118" s="12"/>
      <c r="P118" s="12"/>
      <c r="Q118" s="13">
        <f>SUM(B118:J118)</f>
        <v>46250</v>
      </c>
    </row>
    <row r="119" hidden="1">
      <c r="A119" s="15" t="s">
        <v>46</v>
      </c>
      <c r="B119" s="10">
        <v>9500.0</v>
      </c>
      <c r="C119" s="10">
        <v>7750.0</v>
      </c>
      <c r="D119" s="10">
        <v>7500.0</v>
      </c>
      <c r="E119" s="10"/>
      <c r="F119" s="10">
        <v>7500.0</v>
      </c>
      <c r="G119" s="10">
        <v>7000.0</v>
      </c>
      <c r="H119" s="10">
        <v>7000.0</v>
      </c>
      <c r="I119" s="11">
        <v>0.0</v>
      </c>
      <c r="J119" s="12"/>
      <c r="K119" s="12"/>
      <c r="L119" s="12"/>
      <c r="M119" s="12"/>
      <c r="N119" s="12"/>
      <c r="O119" s="12"/>
      <c r="P119" s="12"/>
      <c r="Q119" s="13">
        <f t="shared" ref="Q119:Q122" si="59">SUM(B119:I119)</f>
        <v>46250</v>
      </c>
    </row>
    <row r="120" hidden="1">
      <c r="A120" s="15" t="s">
        <v>47</v>
      </c>
      <c r="B120" s="10">
        <v>9500.0</v>
      </c>
      <c r="C120" s="10">
        <v>7750.0</v>
      </c>
      <c r="D120" s="10">
        <v>7500.0</v>
      </c>
      <c r="E120" s="10"/>
      <c r="F120" s="10">
        <v>7500.0</v>
      </c>
      <c r="G120" s="10">
        <v>7000.0</v>
      </c>
      <c r="H120" s="10">
        <v>7000.0</v>
      </c>
      <c r="I120" s="11">
        <v>0.0</v>
      </c>
      <c r="J120" s="12"/>
      <c r="K120" s="12"/>
      <c r="L120" s="12"/>
      <c r="M120" s="12"/>
      <c r="N120" s="12"/>
      <c r="O120" s="12"/>
      <c r="P120" s="12"/>
      <c r="Q120" s="13">
        <f t="shared" si="59"/>
        <v>46250</v>
      </c>
    </row>
    <row r="121" hidden="1">
      <c r="A121" s="15" t="s">
        <v>48</v>
      </c>
      <c r="B121" s="16">
        <v>9500.0</v>
      </c>
      <c r="C121" s="16">
        <v>7750.0</v>
      </c>
      <c r="D121" s="16">
        <v>7500.0</v>
      </c>
      <c r="E121" s="16"/>
      <c r="F121" s="16">
        <v>7500.0</v>
      </c>
      <c r="G121" s="16">
        <v>7000.0</v>
      </c>
      <c r="H121" s="16">
        <v>7000.0</v>
      </c>
      <c r="I121" s="17">
        <v>0.0</v>
      </c>
      <c r="J121" s="18"/>
      <c r="K121" s="18"/>
      <c r="L121" s="18"/>
      <c r="M121" s="18"/>
      <c r="N121" s="18"/>
      <c r="O121" s="18"/>
      <c r="P121" s="18"/>
      <c r="Q121" s="19">
        <f t="shared" si="59"/>
        <v>46250</v>
      </c>
    </row>
    <row r="122" hidden="1">
      <c r="A122" s="15"/>
      <c r="B122" s="16"/>
      <c r="C122" s="16"/>
      <c r="D122" s="16"/>
      <c r="E122" s="16"/>
      <c r="F122" s="16"/>
      <c r="G122" s="16"/>
      <c r="H122" s="16"/>
      <c r="I122" s="17">
        <v>0.0</v>
      </c>
      <c r="J122" s="18"/>
      <c r="K122" s="18"/>
      <c r="L122" s="18"/>
      <c r="M122" s="18"/>
      <c r="N122" s="18"/>
      <c r="O122" s="18"/>
      <c r="P122" s="18"/>
      <c r="Q122" s="19">
        <f t="shared" si="59"/>
        <v>0</v>
      </c>
    </row>
    <row r="123" hidden="1">
      <c r="A123" s="20" t="s">
        <v>15</v>
      </c>
      <c r="B123" s="21">
        <v>48800.0</v>
      </c>
      <c r="C123" s="21">
        <f t="shared" ref="C123:D123" si="60">SUM(C118:C121)</f>
        <v>31000</v>
      </c>
      <c r="D123" s="21">
        <f t="shared" si="60"/>
        <v>30000</v>
      </c>
      <c r="E123" s="21"/>
      <c r="F123" s="21">
        <f t="shared" ref="F123:I123" si="61">SUM(F118:F121)</f>
        <v>30000</v>
      </c>
      <c r="G123" s="21">
        <f t="shared" si="61"/>
        <v>28000</v>
      </c>
      <c r="H123" s="21">
        <f t="shared" si="61"/>
        <v>28000</v>
      </c>
      <c r="I123" s="21">
        <f t="shared" si="61"/>
        <v>0</v>
      </c>
      <c r="J123" s="20" t="s">
        <v>15</v>
      </c>
      <c r="K123" s="20"/>
      <c r="L123" s="20"/>
      <c r="M123" s="20"/>
      <c r="N123" s="20"/>
      <c r="O123" s="20"/>
      <c r="P123" s="20"/>
      <c r="Q123" s="21">
        <f>SUM(Q118:Q121)</f>
        <v>185000</v>
      </c>
    </row>
    <row r="124" hidden="1">
      <c r="A124" s="23" t="s">
        <v>16</v>
      </c>
      <c r="B124" s="24">
        <v>10800.0</v>
      </c>
      <c r="C124" s="24">
        <v>9770.0</v>
      </c>
      <c r="D124" s="24">
        <v>9400.0</v>
      </c>
      <c r="E124" s="24"/>
      <c r="F124" s="24">
        <v>9400.0</v>
      </c>
      <c r="G124" s="24">
        <v>10800.0</v>
      </c>
      <c r="H124" s="24">
        <v>10800.0</v>
      </c>
      <c r="I124" s="24"/>
      <c r="J124" s="21"/>
      <c r="K124" s="21"/>
      <c r="L124" s="21"/>
      <c r="M124" s="21"/>
      <c r="N124" s="21"/>
      <c r="O124" s="21"/>
      <c r="P124" s="21"/>
      <c r="Q124" s="22"/>
    </row>
    <row r="125" hidden="1">
      <c r="A125" s="57" t="s">
        <v>17</v>
      </c>
      <c r="B125" s="58">
        <f t="shared" ref="B125:D125" si="62">B123-(B124)</f>
        <v>38000</v>
      </c>
      <c r="C125" s="58">
        <f t="shared" si="62"/>
        <v>21230</v>
      </c>
      <c r="D125" s="58">
        <f t="shared" si="62"/>
        <v>20600</v>
      </c>
      <c r="E125" s="58"/>
      <c r="F125" s="58">
        <f>F123-(F124)</f>
        <v>20600</v>
      </c>
      <c r="G125" s="58"/>
      <c r="H125" s="58">
        <f>H123-(H124)</f>
        <v>17200</v>
      </c>
      <c r="I125" s="58">
        <f>I122-(I124)</f>
        <v>0</v>
      </c>
      <c r="J125" s="25"/>
      <c r="K125" s="25"/>
      <c r="L125" s="25"/>
      <c r="M125" s="25"/>
      <c r="N125" s="25"/>
      <c r="O125" s="25"/>
      <c r="P125" s="25"/>
      <c r="Q125" s="26">
        <f t="shared" ref="Q125:Q128" si="63">SUM(B125:J125)</f>
        <v>117630</v>
      </c>
    </row>
    <row r="126" hidden="1">
      <c r="A126" s="27" t="s">
        <v>40</v>
      </c>
      <c r="B126" s="28"/>
      <c r="C126" s="28"/>
      <c r="D126" s="28"/>
      <c r="E126" s="28"/>
      <c r="F126" s="28"/>
      <c r="G126" s="28"/>
      <c r="H126" s="28"/>
      <c r="I126" s="28"/>
      <c r="J126" s="28"/>
      <c r="K126" s="29"/>
      <c r="L126" s="29"/>
      <c r="M126" s="29"/>
      <c r="N126" s="29"/>
      <c r="O126" s="29"/>
      <c r="P126" s="29"/>
      <c r="Q126" s="30">
        <f t="shared" si="63"/>
        <v>0</v>
      </c>
    </row>
    <row r="127" hidden="1">
      <c r="A127" s="23" t="s">
        <v>49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5"/>
      <c r="L127" s="25"/>
      <c r="M127" s="25"/>
      <c r="N127" s="25"/>
      <c r="O127" s="25"/>
      <c r="P127" s="25"/>
      <c r="Q127" s="26">
        <f t="shared" si="63"/>
        <v>0</v>
      </c>
    </row>
    <row r="128" hidden="1">
      <c r="A128" s="23"/>
      <c r="B128" s="24"/>
      <c r="C128" s="24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6">
        <f t="shared" si="63"/>
        <v>0</v>
      </c>
    </row>
    <row r="129" hidden="1">
      <c r="A129" s="39" t="s">
        <v>22</v>
      </c>
      <c r="B129" s="40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</row>
    <row r="130" hidden="1">
      <c r="A130" s="59" t="s">
        <v>45</v>
      </c>
      <c r="B130" s="43"/>
      <c r="C130" s="44"/>
      <c r="D130" s="44"/>
      <c r="E130" s="45"/>
      <c r="F130" s="45"/>
      <c r="G130" s="44"/>
      <c r="H130" s="45"/>
      <c r="I130" s="44"/>
      <c r="J130" s="44"/>
      <c r="K130" s="44"/>
      <c r="L130" s="44"/>
      <c r="M130" s="44"/>
      <c r="N130" s="44"/>
      <c r="O130" s="44"/>
      <c r="P130" s="44"/>
      <c r="Q130" s="44"/>
    </row>
    <row r="131" hidden="1">
      <c r="A131" s="60" t="s">
        <v>46</v>
      </c>
      <c r="B131" s="46"/>
      <c r="C131" s="45"/>
      <c r="D131" s="45"/>
      <c r="E131" s="45"/>
      <c r="F131" s="45"/>
      <c r="G131" s="45"/>
      <c r="H131" s="44"/>
      <c r="I131" s="44"/>
      <c r="J131" s="44"/>
      <c r="K131" s="44"/>
      <c r="L131" s="44"/>
      <c r="M131" s="44"/>
      <c r="N131" s="44"/>
      <c r="O131" s="44"/>
      <c r="P131" s="44"/>
      <c r="Q131" s="44"/>
    </row>
    <row r="132" hidden="1">
      <c r="A132" s="60" t="s">
        <v>47</v>
      </c>
      <c r="B132" s="43"/>
      <c r="C132" s="45"/>
      <c r="D132" s="44"/>
      <c r="E132" s="45"/>
      <c r="F132" s="45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</row>
    <row r="133" hidden="1">
      <c r="A133" s="60" t="s">
        <v>48</v>
      </c>
      <c r="B133" s="46"/>
      <c r="C133" s="45"/>
      <c r="D133" s="44"/>
      <c r="E133" s="45"/>
      <c r="F133" s="45"/>
      <c r="G133" s="44"/>
      <c r="H133" s="45"/>
      <c r="I133" s="44"/>
      <c r="J133" s="44"/>
      <c r="K133" s="44"/>
      <c r="L133" s="44"/>
      <c r="M133" s="44"/>
      <c r="N133" s="44"/>
      <c r="O133" s="44"/>
      <c r="P133" s="44"/>
      <c r="Q133" s="44"/>
    </row>
    <row r="134" hidden="1">
      <c r="A134" s="47" t="s">
        <v>23</v>
      </c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7" t="s">
        <v>24</v>
      </c>
    </row>
    <row r="135" hidden="1">
      <c r="A135" s="61" t="s">
        <v>45</v>
      </c>
      <c r="B135" s="54">
        <v>9500.0</v>
      </c>
      <c r="C135" s="52"/>
      <c r="D135" s="62"/>
      <c r="E135" s="52"/>
      <c r="F135" s="52"/>
      <c r="G135" s="52"/>
      <c r="H135" s="62"/>
      <c r="I135" s="52"/>
      <c r="J135" s="52"/>
      <c r="K135" s="52"/>
      <c r="L135" s="52"/>
      <c r="M135" s="52"/>
      <c r="N135" s="52"/>
      <c r="O135" s="52"/>
      <c r="P135" s="52"/>
      <c r="Q135" s="53">
        <f t="shared" ref="Q135:Q137" si="64">SUM(B135:J135)</f>
        <v>9500</v>
      </c>
    </row>
    <row r="136" hidden="1">
      <c r="A136" s="63" t="s">
        <v>46</v>
      </c>
      <c r="B136" s="51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3">
        <f t="shared" si="64"/>
        <v>0</v>
      </c>
    </row>
    <row r="137" hidden="1">
      <c r="A137" s="63" t="s">
        <v>47</v>
      </c>
      <c r="B137" s="67">
        <f>(B125-B118)/2</f>
        <v>14250</v>
      </c>
      <c r="C137" s="67">
        <f t="shared" ref="C137:D137" si="65">(C125-C118)/2+1000</f>
        <v>7740</v>
      </c>
      <c r="D137" s="67">
        <f t="shared" si="65"/>
        <v>7550</v>
      </c>
      <c r="E137" s="67"/>
      <c r="F137" s="67">
        <f>(F125-F119)/2+1000</f>
        <v>7550</v>
      </c>
      <c r="G137" s="67">
        <f>G119</f>
        <v>7000</v>
      </c>
      <c r="H137" s="67">
        <f>(H125-H118)/2+2900</f>
        <v>8000</v>
      </c>
      <c r="I137" s="52"/>
      <c r="J137" s="52"/>
      <c r="K137" s="52"/>
      <c r="L137" s="52"/>
      <c r="M137" s="52"/>
      <c r="N137" s="52"/>
      <c r="O137" s="52"/>
      <c r="P137" s="52"/>
      <c r="Q137" s="52">
        <f t="shared" si="64"/>
        <v>52090</v>
      </c>
    </row>
    <row r="138" hidden="1">
      <c r="A138" s="63" t="s">
        <v>48</v>
      </c>
      <c r="B138" s="69">
        <v>14250.0</v>
      </c>
      <c r="C138" s="62">
        <v>7740.0</v>
      </c>
      <c r="D138" s="62">
        <v>7550.0</v>
      </c>
      <c r="E138" s="62"/>
      <c r="F138" s="62">
        <v>7550.0</v>
      </c>
      <c r="G138" s="62">
        <v>7000.0</v>
      </c>
      <c r="H138" s="62">
        <v>8000.0</v>
      </c>
      <c r="I138" s="52"/>
      <c r="J138" s="52"/>
      <c r="K138" s="52"/>
      <c r="L138" s="52"/>
      <c r="M138" s="52"/>
      <c r="N138" s="52"/>
      <c r="O138" s="52"/>
      <c r="P138" s="52"/>
      <c r="Q138" s="52">
        <f>SUM(B138:H138)</f>
        <v>52090</v>
      </c>
    </row>
    <row r="139" hidden="1">
      <c r="A139" s="65"/>
      <c r="B139" s="54"/>
      <c r="C139" s="52"/>
      <c r="D139" s="52"/>
      <c r="E139" s="52"/>
      <c r="F139" s="52"/>
      <c r="G139" s="62"/>
      <c r="H139" s="52"/>
      <c r="I139" s="52"/>
      <c r="J139" s="52"/>
      <c r="K139" s="52"/>
      <c r="L139" s="52"/>
      <c r="M139" s="52"/>
      <c r="N139" s="52"/>
      <c r="O139" s="52"/>
      <c r="P139" s="52"/>
      <c r="Q139" s="53">
        <f>SUM(B139:J139)</f>
        <v>0</v>
      </c>
    </row>
    <row r="140" hidden="1"/>
    <row r="141" hidden="1"/>
    <row r="142" hidden="1">
      <c r="A142" s="1" t="s">
        <v>0</v>
      </c>
      <c r="B142" s="2" t="s">
        <v>1</v>
      </c>
      <c r="C142" s="3" t="s">
        <v>2</v>
      </c>
      <c r="D142" s="3" t="s">
        <v>3</v>
      </c>
      <c r="E142" s="3"/>
      <c r="F142" s="3" t="s">
        <v>4</v>
      </c>
      <c r="G142" s="3" t="s">
        <v>34</v>
      </c>
      <c r="H142" s="3" t="s">
        <v>6</v>
      </c>
      <c r="I142" s="4" t="s">
        <v>50</v>
      </c>
      <c r="J142" s="4" t="s">
        <v>51</v>
      </c>
      <c r="K142" s="4"/>
      <c r="L142" s="4"/>
      <c r="M142" s="4"/>
      <c r="N142" s="4"/>
      <c r="O142" s="4"/>
      <c r="P142" s="4"/>
      <c r="Q142" s="1" t="s">
        <v>0</v>
      </c>
    </row>
    <row r="143" hidden="1">
      <c r="A143" s="6" t="s">
        <v>52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8"/>
    </row>
    <row r="144" hidden="1">
      <c r="A144" s="55" t="s">
        <v>53</v>
      </c>
      <c r="B144" s="10">
        <v>9500.0</v>
      </c>
      <c r="C144" s="10">
        <f t="shared" ref="C144:D144" si="66">C151/4</f>
        <v>6144.25</v>
      </c>
      <c r="D144" s="10">
        <f t="shared" si="66"/>
        <v>6000</v>
      </c>
      <c r="E144" s="10"/>
      <c r="F144" s="10">
        <f>F151/4</f>
        <v>6000</v>
      </c>
      <c r="G144" s="10">
        <v>7000.0</v>
      </c>
      <c r="H144" s="10">
        <f>H151/4</f>
        <v>5085</v>
      </c>
      <c r="I144" s="11"/>
      <c r="J144" s="12"/>
      <c r="K144" s="12"/>
      <c r="L144" s="12"/>
      <c r="M144" s="12"/>
      <c r="N144" s="12"/>
      <c r="O144" s="12"/>
      <c r="P144" s="12"/>
      <c r="Q144" s="13">
        <f>SUM(B144:J144)</f>
        <v>39729.25</v>
      </c>
    </row>
    <row r="145" hidden="1">
      <c r="A145" s="15" t="s">
        <v>54</v>
      </c>
      <c r="B145" s="10">
        <v>9500.0</v>
      </c>
      <c r="C145" s="10">
        <f t="shared" ref="C145:D145" si="67">C151/4</f>
        <v>6144.25</v>
      </c>
      <c r="D145" s="10">
        <f t="shared" si="67"/>
        <v>6000</v>
      </c>
      <c r="E145" s="10"/>
      <c r="F145" s="10">
        <f>F151/4</f>
        <v>6000</v>
      </c>
      <c r="G145" s="10">
        <v>7000.0</v>
      </c>
      <c r="H145" s="10">
        <f>H151/4</f>
        <v>5085</v>
      </c>
      <c r="I145" s="11">
        <v>0.0</v>
      </c>
      <c r="J145" s="12"/>
      <c r="K145" s="12"/>
      <c r="L145" s="12"/>
      <c r="M145" s="12"/>
      <c r="N145" s="12"/>
      <c r="O145" s="12"/>
      <c r="P145" s="12"/>
      <c r="Q145" s="13">
        <f t="shared" ref="Q145:Q148" si="69">SUM(B145:I145)</f>
        <v>39729.25</v>
      </c>
    </row>
    <row r="146" hidden="1">
      <c r="A146" s="15" t="s">
        <v>55</v>
      </c>
      <c r="B146" s="10">
        <v>9500.0</v>
      </c>
      <c r="C146" s="10">
        <f t="shared" ref="C146:D146" si="68">C151/4</f>
        <v>6144.25</v>
      </c>
      <c r="D146" s="10">
        <f t="shared" si="68"/>
        <v>6000</v>
      </c>
      <c r="E146" s="10"/>
      <c r="F146" s="10">
        <f>F151/4</f>
        <v>6000</v>
      </c>
      <c r="G146" s="10">
        <v>7000.0</v>
      </c>
      <c r="H146" s="10">
        <f>H151/4</f>
        <v>5085</v>
      </c>
      <c r="I146" s="11">
        <v>0.0</v>
      </c>
      <c r="J146" s="12"/>
      <c r="K146" s="12"/>
      <c r="L146" s="12"/>
      <c r="M146" s="12"/>
      <c r="N146" s="12"/>
      <c r="O146" s="12"/>
      <c r="P146" s="12"/>
      <c r="Q146" s="13">
        <f t="shared" si="69"/>
        <v>39729.25</v>
      </c>
    </row>
    <row r="147" hidden="1">
      <c r="A147" s="15" t="s">
        <v>56</v>
      </c>
      <c r="B147" s="16">
        <v>9500.0</v>
      </c>
      <c r="C147" s="16">
        <f t="shared" ref="C147:D147" si="70">C151/4</f>
        <v>6144.25</v>
      </c>
      <c r="D147" s="16">
        <f t="shared" si="70"/>
        <v>6000</v>
      </c>
      <c r="E147" s="16"/>
      <c r="F147" s="16">
        <f>F151/4</f>
        <v>6000</v>
      </c>
      <c r="G147" s="16">
        <v>7000.0</v>
      </c>
      <c r="H147" s="16">
        <f>H151/4</f>
        <v>5085</v>
      </c>
      <c r="I147" s="17">
        <v>0.0</v>
      </c>
      <c r="J147" s="18"/>
      <c r="K147" s="18"/>
      <c r="L147" s="18"/>
      <c r="M147" s="18"/>
      <c r="N147" s="18"/>
      <c r="O147" s="18"/>
      <c r="P147" s="18"/>
      <c r="Q147" s="19">
        <f t="shared" si="69"/>
        <v>39729.25</v>
      </c>
    </row>
    <row r="148" hidden="1">
      <c r="A148" s="15"/>
      <c r="B148" s="16"/>
      <c r="C148" s="16"/>
      <c r="D148" s="16"/>
      <c r="E148" s="16"/>
      <c r="F148" s="16"/>
      <c r="G148" s="16"/>
      <c r="H148" s="16"/>
      <c r="I148" s="17">
        <v>0.0</v>
      </c>
      <c r="J148" s="18"/>
      <c r="K148" s="18"/>
      <c r="L148" s="18"/>
      <c r="M148" s="18"/>
      <c r="N148" s="18"/>
      <c r="O148" s="18"/>
      <c r="P148" s="18"/>
      <c r="Q148" s="19">
        <f t="shared" si="69"/>
        <v>0</v>
      </c>
    </row>
    <row r="149" hidden="1">
      <c r="A149" s="20" t="s">
        <v>15</v>
      </c>
      <c r="B149" s="21">
        <v>48800.0</v>
      </c>
      <c r="C149" s="21">
        <v>35000.0</v>
      </c>
      <c r="D149" s="21">
        <v>34000.0</v>
      </c>
      <c r="E149" s="21"/>
      <c r="F149" s="21">
        <v>34000.0</v>
      </c>
      <c r="G149" s="21">
        <f>SUM(G144:G147)</f>
        <v>28000</v>
      </c>
      <c r="H149" s="21">
        <v>32000.0</v>
      </c>
      <c r="I149" s="21">
        <f>SUM(I144:I147)</f>
        <v>0</v>
      </c>
      <c r="J149" s="20" t="s">
        <v>15</v>
      </c>
      <c r="K149" s="20"/>
      <c r="L149" s="20"/>
      <c r="M149" s="20"/>
      <c r="N149" s="20"/>
      <c r="O149" s="20"/>
      <c r="P149" s="20"/>
      <c r="Q149" s="21">
        <f>SUM(Q144:Q147)</f>
        <v>158917</v>
      </c>
    </row>
    <row r="150" hidden="1">
      <c r="A150" s="23" t="s">
        <v>16</v>
      </c>
      <c r="B150" s="24">
        <v>11660.0</v>
      </c>
      <c r="C150" s="24">
        <v>10423.0</v>
      </c>
      <c r="D150" s="24">
        <v>10000.0</v>
      </c>
      <c r="E150" s="24"/>
      <c r="F150" s="24">
        <v>10000.0</v>
      </c>
      <c r="G150" s="24"/>
      <c r="H150" s="24">
        <v>11660.0</v>
      </c>
      <c r="I150" s="24"/>
      <c r="J150" s="21"/>
      <c r="K150" s="21"/>
      <c r="L150" s="21"/>
      <c r="M150" s="21"/>
      <c r="N150" s="21"/>
      <c r="O150" s="21"/>
      <c r="P150" s="21"/>
      <c r="Q150" s="22"/>
    </row>
    <row r="151" hidden="1">
      <c r="A151" s="57" t="s">
        <v>17</v>
      </c>
      <c r="B151" s="58">
        <f t="shared" ref="B151:D151" si="71">B149-(B150)</f>
        <v>37140</v>
      </c>
      <c r="C151" s="58">
        <f t="shared" si="71"/>
        <v>24577</v>
      </c>
      <c r="D151" s="58">
        <f t="shared" si="71"/>
        <v>24000</v>
      </c>
      <c r="E151" s="58"/>
      <c r="F151" s="58">
        <f>F149-(F150)</f>
        <v>24000</v>
      </c>
      <c r="G151" s="58"/>
      <c r="H151" s="58">
        <f>H149-(H150)</f>
        <v>20340</v>
      </c>
      <c r="I151" s="58">
        <f>I148-(I150)</f>
        <v>0</v>
      </c>
      <c r="J151" s="25"/>
      <c r="K151" s="25"/>
      <c r="L151" s="25"/>
      <c r="M151" s="25"/>
      <c r="N151" s="25"/>
      <c r="O151" s="25"/>
      <c r="P151" s="25"/>
      <c r="Q151" s="26">
        <f t="shared" ref="Q151:Q154" si="72">SUM(B151:J151)</f>
        <v>130057</v>
      </c>
    </row>
    <row r="152" hidden="1">
      <c r="A152" s="27" t="s">
        <v>40</v>
      </c>
      <c r="B152" s="28">
        <v>3000.0</v>
      </c>
      <c r="C152" s="28"/>
      <c r="D152" s="28">
        <v>3000.0</v>
      </c>
      <c r="E152" s="28"/>
      <c r="F152" s="28"/>
      <c r="G152" s="28"/>
      <c r="H152" s="28"/>
      <c r="I152" s="28"/>
      <c r="J152" s="28"/>
      <c r="K152" s="29"/>
      <c r="L152" s="29"/>
      <c r="M152" s="29"/>
      <c r="N152" s="29"/>
      <c r="O152" s="29"/>
      <c r="P152" s="29"/>
      <c r="Q152" s="30">
        <f t="shared" si="72"/>
        <v>6000</v>
      </c>
    </row>
    <row r="153" hidden="1">
      <c r="A153" s="23" t="s">
        <v>57</v>
      </c>
      <c r="B153" s="24"/>
      <c r="C153" s="24"/>
      <c r="D153" s="24"/>
      <c r="E153" s="24"/>
      <c r="F153" s="24"/>
      <c r="G153" s="24"/>
      <c r="H153" s="24"/>
      <c r="I153" s="24"/>
      <c r="J153" s="24"/>
      <c r="K153" s="25"/>
      <c r="L153" s="25"/>
      <c r="M153" s="25"/>
      <c r="N153" s="25"/>
      <c r="O153" s="25"/>
      <c r="P153" s="25"/>
      <c r="Q153" s="26">
        <f t="shared" si="72"/>
        <v>0</v>
      </c>
    </row>
    <row r="154" hidden="1">
      <c r="A154" s="23"/>
      <c r="B154" s="24"/>
      <c r="C154" s="24"/>
      <c r="D154" s="24"/>
      <c r="E154" s="24"/>
      <c r="F154" s="24"/>
      <c r="G154" s="24"/>
      <c r="H154" s="24"/>
      <c r="I154" s="24"/>
      <c r="J154" s="24"/>
      <c r="K154" s="25"/>
      <c r="L154" s="25"/>
      <c r="M154" s="25"/>
      <c r="N154" s="25"/>
      <c r="O154" s="25"/>
      <c r="P154" s="25"/>
      <c r="Q154" s="26">
        <f t="shared" si="72"/>
        <v>0</v>
      </c>
    </row>
    <row r="155" hidden="1">
      <c r="A155" s="39" t="s">
        <v>22</v>
      </c>
      <c r="B155" s="40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</row>
    <row r="156" hidden="1">
      <c r="A156" s="59" t="s">
        <v>53</v>
      </c>
      <c r="B156" s="43"/>
      <c r="C156" s="44"/>
      <c r="D156" s="44"/>
      <c r="E156" s="45"/>
      <c r="F156" s="45"/>
      <c r="G156" s="45">
        <v>360.0</v>
      </c>
      <c r="H156" s="45"/>
      <c r="I156" s="44"/>
      <c r="J156" s="44"/>
      <c r="K156" s="44"/>
      <c r="L156" s="44"/>
      <c r="M156" s="44"/>
      <c r="N156" s="44"/>
      <c r="O156" s="44"/>
      <c r="P156" s="44"/>
      <c r="Q156" s="44"/>
    </row>
    <row r="157" hidden="1">
      <c r="A157" s="60" t="s">
        <v>54</v>
      </c>
      <c r="B157" s="46"/>
      <c r="C157" s="45"/>
      <c r="D157" s="45"/>
      <c r="E157" s="45"/>
      <c r="F157" s="45"/>
      <c r="G157" s="45"/>
      <c r="H157" s="44"/>
      <c r="I157" s="44"/>
      <c r="J157" s="44"/>
      <c r="K157" s="44"/>
      <c r="L157" s="44"/>
      <c r="M157" s="44"/>
      <c r="N157" s="44"/>
      <c r="O157" s="44"/>
      <c r="P157" s="44"/>
      <c r="Q157" s="44"/>
    </row>
    <row r="158" hidden="1">
      <c r="A158" s="60" t="s">
        <v>55</v>
      </c>
      <c r="B158" s="43"/>
      <c r="C158" s="45"/>
      <c r="D158" s="44"/>
      <c r="E158" s="45"/>
      <c r="F158" s="45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</row>
    <row r="159" hidden="1">
      <c r="A159" s="60" t="s">
        <v>56</v>
      </c>
      <c r="B159" s="46"/>
      <c r="C159" s="45"/>
      <c r="D159" s="44"/>
      <c r="E159" s="45"/>
      <c r="F159" s="45"/>
      <c r="G159" s="44"/>
      <c r="H159" s="45"/>
      <c r="I159" s="44"/>
      <c r="J159" s="44"/>
      <c r="K159" s="44"/>
      <c r="L159" s="44"/>
      <c r="M159" s="44"/>
      <c r="N159" s="44"/>
      <c r="O159" s="44"/>
      <c r="P159" s="44"/>
      <c r="Q159" s="44"/>
    </row>
    <row r="160" hidden="1">
      <c r="A160" s="47" t="s">
        <v>23</v>
      </c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7" t="s">
        <v>24</v>
      </c>
    </row>
    <row r="161" hidden="1">
      <c r="A161" s="61" t="s">
        <v>53</v>
      </c>
      <c r="B161" s="54">
        <f t="shared" ref="B161:D161" si="73">B151/3</f>
        <v>12380</v>
      </c>
      <c r="C161" s="52">
        <f t="shared" si="73"/>
        <v>8192.333333</v>
      </c>
      <c r="D161" s="62">
        <f t="shared" si="73"/>
        <v>8000</v>
      </c>
      <c r="E161" s="52"/>
      <c r="F161" s="52">
        <f>F151/3-(2*1300)+500</f>
        <v>5900</v>
      </c>
      <c r="G161" s="62">
        <f>G144-G156</f>
        <v>6640</v>
      </c>
      <c r="H161" s="62">
        <f>H151/3</f>
        <v>6780</v>
      </c>
      <c r="I161" s="52"/>
      <c r="J161" s="52"/>
      <c r="K161" s="52"/>
      <c r="L161" s="52"/>
      <c r="M161" s="52"/>
      <c r="N161" s="52"/>
      <c r="O161" s="52"/>
      <c r="P161" s="52"/>
      <c r="Q161" s="53">
        <f t="shared" ref="Q161:Q165" si="74">SUM(B161:J161)</f>
        <v>47892.33333</v>
      </c>
    </row>
    <row r="162" hidden="1">
      <c r="A162" s="63" t="s">
        <v>54</v>
      </c>
      <c r="B162" s="51"/>
      <c r="C162" s="52"/>
      <c r="D162" s="52"/>
      <c r="E162" s="52"/>
      <c r="F162" s="52"/>
      <c r="G162" s="62">
        <v>7000.0</v>
      </c>
      <c r="H162" s="52"/>
      <c r="I162" s="62">
        <v>20200.0</v>
      </c>
      <c r="J162" s="62">
        <v>11000.0</v>
      </c>
      <c r="K162" s="62"/>
      <c r="L162" s="62"/>
      <c r="M162" s="62"/>
      <c r="N162" s="62"/>
      <c r="O162" s="62"/>
      <c r="P162" s="62"/>
      <c r="Q162" s="53">
        <f t="shared" si="74"/>
        <v>38200</v>
      </c>
    </row>
    <row r="163" hidden="1">
      <c r="A163" s="63" t="s">
        <v>55</v>
      </c>
      <c r="B163" s="67">
        <f>B151/3</f>
        <v>12380</v>
      </c>
      <c r="C163" s="67"/>
      <c r="D163" s="67">
        <f>D151/3+3200</f>
        <v>11200</v>
      </c>
      <c r="E163" s="67"/>
      <c r="F163" s="67"/>
      <c r="G163" s="69">
        <f>7000+600</f>
        <v>7600</v>
      </c>
      <c r="H163" s="67">
        <f>H151/3+1000</f>
        <v>7780</v>
      </c>
      <c r="I163" s="62">
        <v>16400.0</v>
      </c>
      <c r="J163" s="62">
        <v>11400.0</v>
      </c>
      <c r="K163" s="62"/>
      <c r="L163" s="62"/>
      <c r="M163" s="62"/>
      <c r="N163" s="62"/>
      <c r="O163" s="62"/>
      <c r="P163" s="62"/>
      <c r="Q163" s="52">
        <f t="shared" si="74"/>
        <v>66760</v>
      </c>
    </row>
    <row r="164" hidden="1">
      <c r="A164" s="63" t="s">
        <v>56</v>
      </c>
      <c r="B164" s="69">
        <f>B151/3</f>
        <v>12380</v>
      </c>
      <c r="C164" s="62"/>
      <c r="D164" s="62">
        <f>D151/3+3200</f>
        <v>11200</v>
      </c>
      <c r="E164" s="62"/>
      <c r="F164" s="62"/>
      <c r="G164" s="62">
        <f>7000+1000</f>
        <v>8000</v>
      </c>
      <c r="H164" s="62">
        <f>H151/3+1000</f>
        <v>7780</v>
      </c>
      <c r="I164" s="52"/>
      <c r="J164" s="62">
        <v>7000.0</v>
      </c>
      <c r="K164" s="62"/>
      <c r="L164" s="62"/>
      <c r="M164" s="62"/>
      <c r="N164" s="62"/>
      <c r="O164" s="62"/>
      <c r="P164" s="62"/>
      <c r="Q164" s="52">
        <f t="shared" si="74"/>
        <v>46360</v>
      </c>
    </row>
    <row r="165" hidden="1">
      <c r="A165" s="65"/>
      <c r="B165" s="54"/>
      <c r="C165" s="52"/>
      <c r="D165" s="52"/>
      <c r="E165" s="52"/>
      <c r="F165" s="52"/>
      <c r="G165" s="62"/>
      <c r="H165" s="52"/>
      <c r="I165" s="52"/>
      <c r="J165" s="52"/>
      <c r="K165" s="52"/>
      <c r="L165" s="52"/>
      <c r="M165" s="52"/>
      <c r="N165" s="52"/>
      <c r="O165" s="52"/>
      <c r="P165" s="52"/>
      <c r="Q165" s="53">
        <f t="shared" si="74"/>
        <v>0</v>
      </c>
    </row>
    <row r="166" hidden="1"/>
    <row r="167" hidden="1"/>
    <row r="168" hidden="1">
      <c r="A168" s="1" t="s">
        <v>0</v>
      </c>
      <c r="B168" s="2" t="s">
        <v>1</v>
      </c>
      <c r="C168" s="3"/>
      <c r="D168" s="3" t="s">
        <v>3</v>
      </c>
      <c r="E168" s="3"/>
      <c r="F168" s="3" t="s">
        <v>58</v>
      </c>
      <c r="G168" s="3" t="s">
        <v>34</v>
      </c>
      <c r="H168" s="3" t="s">
        <v>6</v>
      </c>
      <c r="I168" s="4" t="s">
        <v>50</v>
      </c>
      <c r="J168" s="4" t="s">
        <v>51</v>
      </c>
      <c r="K168" s="4"/>
      <c r="L168" s="4"/>
      <c r="M168" s="4"/>
      <c r="N168" s="4"/>
      <c r="O168" s="4"/>
      <c r="P168" s="4"/>
      <c r="Q168" s="1" t="s">
        <v>0</v>
      </c>
    </row>
    <row r="169" hidden="1">
      <c r="A169" s="6" t="s">
        <v>59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8"/>
    </row>
    <row r="170" hidden="1">
      <c r="A170" s="55" t="s">
        <v>60</v>
      </c>
      <c r="B170" s="10">
        <v>9500.0</v>
      </c>
      <c r="C170" s="10"/>
      <c r="D170" s="10">
        <f>D177/4</f>
        <v>6000</v>
      </c>
      <c r="E170" s="10"/>
      <c r="F170" s="10"/>
      <c r="G170" s="10">
        <v>7000.0</v>
      </c>
      <c r="H170" s="10">
        <f>H177/4</f>
        <v>5085</v>
      </c>
      <c r="I170" s="11"/>
      <c r="J170" s="12"/>
      <c r="K170" s="12"/>
      <c r="L170" s="12"/>
      <c r="M170" s="12"/>
      <c r="N170" s="12"/>
      <c r="O170" s="12"/>
      <c r="P170" s="12"/>
      <c r="Q170" s="13">
        <f>SUM(B170:J170)</f>
        <v>27585</v>
      </c>
    </row>
    <row r="171" hidden="1">
      <c r="A171" s="15" t="s">
        <v>61</v>
      </c>
      <c r="B171" s="10">
        <v>9500.0</v>
      </c>
      <c r="C171" s="10"/>
      <c r="D171" s="10">
        <f>D177/4</f>
        <v>6000</v>
      </c>
      <c r="E171" s="10"/>
      <c r="F171" s="10"/>
      <c r="G171" s="10">
        <v>7000.0</v>
      </c>
      <c r="H171" s="10">
        <f>H177/4</f>
        <v>5085</v>
      </c>
      <c r="I171" s="11">
        <v>0.0</v>
      </c>
      <c r="J171" s="12"/>
      <c r="K171" s="12"/>
      <c r="L171" s="12"/>
      <c r="M171" s="12"/>
      <c r="N171" s="12"/>
      <c r="O171" s="12"/>
      <c r="P171" s="12"/>
      <c r="Q171" s="13">
        <f t="shared" ref="Q171:Q174" si="75">SUM(B171:I171)</f>
        <v>27585</v>
      </c>
    </row>
    <row r="172" hidden="1">
      <c r="A172" s="15"/>
      <c r="B172" s="10">
        <v>9500.0</v>
      </c>
      <c r="C172" s="10"/>
      <c r="D172" s="10">
        <f>D177/4</f>
        <v>6000</v>
      </c>
      <c r="E172" s="10"/>
      <c r="F172" s="10"/>
      <c r="G172" s="10">
        <v>7000.0</v>
      </c>
      <c r="H172" s="10">
        <f>H177/4</f>
        <v>5085</v>
      </c>
      <c r="I172" s="11">
        <v>0.0</v>
      </c>
      <c r="J172" s="12"/>
      <c r="K172" s="12"/>
      <c r="L172" s="12"/>
      <c r="M172" s="12"/>
      <c r="N172" s="12"/>
      <c r="O172" s="12"/>
      <c r="P172" s="12"/>
      <c r="Q172" s="13">
        <f t="shared" si="75"/>
        <v>27585</v>
      </c>
    </row>
    <row r="173" hidden="1">
      <c r="A173" s="15"/>
      <c r="B173" s="16">
        <v>9500.0</v>
      </c>
      <c r="C173" s="16"/>
      <c r="D173" s="16">
        <f>D177/4</f>
        <v>6000</v>
      </c>
      <c r="E173" s="16"/>
      <c r="F173" s="16"/>
      <c r="G173" s="16">
        <v>7000.0</v>
      </c>
      <c r="H173" s="16">
        <f>H177/4</f>
        <v>5085</v>
      </c>
      <c r="I173" s="17">
        <v>0.0</v>
      </c>
      <c r="J173" s="18"/>
      <c r="K173" s="18"/>
      <c r="L173" s="18"/>
      <c r="M173" s="18"/>
      <c r="N173" s="18"/>
      <c r="O173" s="18"/>
      <c r="P173" s="18"/>
      <c r="Q173" s="19">
        <f t="shared" si="75"/>
        <v>27585</v>
      </c>
    </row>
    <row r="174" hidden="1">
      <c r="A174" s="15"/>
      <c r="B174" s="16"/>
      <c r="C174" s="16"/>
      <c r="D174" s="16"/>
      <c r="E174" s="16"/>
      <c r="F174" s="16"/>
      <c r="G174" s="16"/>
      <c r="H174" s="16"/>
      <c r="I174" s="17">
        <v>0.0</v>
      </c>
      <c r="J174" s="18"/>
      <c r="K174" s="18"/>
      <c r="L174" s="18"/>
      <c r="M174" s="18"/>
      <c r="N174" s="18"/>
      <c r="O174" s="18"/>
      <c r="P174" s="18"/>
      <c r="Q174" s="19">
        <f t="shared" si="75"/>
        <v>0</v>
      </c>
    </row>
    <row r="175" hidden="1">
      <c r="A175" s="20" t="s">
        <v>15</v>
      </c>
      <c r="B175" s="21">
        <v>48800.0</v>
      </c>
      <c r="C175" s="21"/>
      <c r="D175" s="21">
        <v>34000.0</v>
      </c>
      <c r="E175" s="21"/>
      <c r="F175" s="21">
        <v>32000.0</v>
      </c>
      <c r="G175" s="21">
        <f>SUM(G170:G173)</f>
        <v>28000</v>
      </c>
      <c r="H175" s="21">
        <v>32000.0</v>
      </c>
      <c r="I175" s="21">
        <f>SUM(I170:I173)</f>
        <v>0</v>
      </c>
      <c r="J175" s="20" t="s">
        <v>15</v>
      </c>
      <c r="K175" s="20"/>
      <c r="L175" s="20"/>
      <c r="M175" s="20"/>
      <c r="N175" s="20"/>
      <c r="O175" s="20"/>
      <c r="P175" s="20"/>
      <c r="Q175" s="21">
        <f>SUM(Q170:Q173)</f>
        <v>110340</v>
      </c>
    </row>
    <row r="176" hidden="1">
      <c r="A176" s="23" t="s">
        <v>16</v>
      </c>
      <c r="B176" s="24">
        <v>11660.0</v>
      </c>
      <c r="C176" s="24"/>
      <c r="D176" s="24">
        <v>10000.0</v>
      </c>
      <c r="E176" s="24"/>
      <c r="F176" s="24"/>
      <c r="G176" s="24"/>
      <c r="H176" s="24">
        <v>11660.0</v>
      </c>
      <c r="I176" s="24"/>
      <c r="J176" s="21"/>
      <c r="K176" s="21"/>
      <c r="L176" s="21"/>
      <c r="M176" s="21"/>
      <c r="N176" s="21"/>
      <c r="O176" s="21"/>
      <c r="P176" s="21"/>
      <c r="Q176" s="22"/>
    </row>
    <row r="177" hidden="1">
      <c r="A177" s="57" t="s">
        <v>17</v>
      </c>
      <c r="B177" s="58">
        <f>B175-(B176)</f>
        <v>37140</v>
      </c>
      <c r="C177" s="58"/>
      <c r="D177" s="58">
        <f>D175-(D176)</f>
        <v>24000</v>
      </c>
      <c r="E177" s="58"/>
      <c r="F177" s="58">
        <v>32000.0</v>
      </c>
      <c r="G177" s="58"/>
      <c r="H177" s="58">
        <f>H175-(H176)</f>
        <v>20340</v>
      </c>
      <c r="I177" s="58">
        <f>I174-(I176)</f>
        <v>0</v>
      </c>
      <c r="J177" s="25"/>
      <c r="K177" s="25"/>
      <c r="L177" s="25"/>
      <c r="M177" s="25"/>
      <c r="N177" s="25"/>
      <c r="O177" s="25"/>
      <c r="P177" s="25"/>
      <c r="Q177" s="26">
        <f t="shared" ref="Q177:Q180" si="76">SUM(B177:J177)</f>
        <v>113480</v>
      </c>
    </row>
    <row r="178" hidden="1">
      <c r="A178" s="27" t="s">
        <v>40</v>
      </c>
      <c r="B178" s="28"/>
      <c r="C178" s="28"/>
      <c r="D178" s="28"/>
      <c r="E178" s="28"/>
      <c r="F178" s="28"/>
      <c r="G178" s="28"/>
      <c r="H178" s="28"/>
      <c r="I178" s="28"/>
      <c r="J178" s="28"/>
      <c r="K178" s="29"/>
      <c r="L178" s="29"/>
      <c r="M178" s="29"/>
      <c r="N178" s="29"/>
      <c r="O178" s="29"/>
      <c r="P178" s="29"/>
      <c r="Q178" s="30">
        <f t="shared" si="76"/>
        <v>0</v>
      </c>
    </row>
    <row r="179" hidden="1">
      <c r="A179" s="23" t="s">
        <v>62</v>
      </c>
      <c r="B179" s="24">
        <f>(B175/2)-14000</f>
        <v>10400</v>
      </c>
      <c r="C179" s="24"/>
      <c r="D179" s="24">
        <f>(D175/2)-12000</f>
        <v>5000</v>
      </c>
      <c r="E179" s="24"/>
      <c r="F179" s="24"/>
      <c r="G179" s="24"/>
      <c r="H179" s="24">
        <f>(H175/2)-10000</f>
        <v>6000</v>
      </c>
      <c r="I179" s="24"/>
      <c r="J179" s="24"/>
      <c r="K179" s="25"/>
      <c r="L179" s="25"/>
      <c r="M179" s="25"/>
      <c r="N179" s="25"/>
      <c r="O179" s="25"/>
      <c r="P179" s="25"/>
      <c r="Q179" s="26">
        <f t="shared" si="76"/>
        <v>21400</v>
      </c>
    </row>
    <row r="180" hidden="1">
      <c r="A180" s="23" t="s">
        <v>63</v>
      </c>
      <c r="B180" s="24"/>
      <c r="C180" s="24"/>
      <c r="D180" s="24">
        <v>1000.0</v>
      </c>
      <c r="E180" s="24"/>
      <c r="F180" s="24"/>
      <c r="G180" s="24">
        <v>1000.0</v>
      </c>
      <c r="H180" s="24"/>
      <c r="I180" s="24"/>
      <c r="J180" s="24"/>
      <c r="K180" s="25"/>
      <c r="L180" s="25"/>
      <c r="M180" s="25"/>
      <c r="N180" s="25"/>
      <c r="O180" s="25"/>
      <c r="P180" s="25"/>
      <c r="Q180" s="26">
        <f t="shared" si="76"/>
        <v>2000</v>
      </c>
    </row>
    <row r="181" hidden="1">
      <c r="A181" s="39" t="s">
        <v>22</v>
      </c>
      <c r="B181" s="40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</row>
    <row r="182" hidden="1">
      <c r="A182" s="59" t="s">
        <v>60</v>
      </c>
      <c r="B182" s="43"/>
      <c r="C182" s="44"/>
      <c r="D182" s="44"/>
      <c r="E182" s="45"/>
      <c r="F182" s="45"/>
      <c r="G182" s="45"/>
      <c r="H182" s="45"/>
      <c r="I182" s="44"/>
      <c r="J182" s="44"/>
      <c r="K182" s="44"/>
      <c r="L182" s="44"/>
      <c r="M182" s="44"/>
      <c r="N182" s="44"/>
      <c r="O182" s="44"/>
      <c r="P182" s="44"/>
      <c r="Q182" s="44"/>
    </row>
    <row r="183" hidden="1">
      <c r="A183" s="60" t="s">
        <v>61</v>
      </c>
      <c r="B183" s="46"/>
      <c r="C183" s="45"/>
      <c r="D183" s="45"/>
      <c r="E183" s="45"/>
      <c r="F183" s="45"/>
      <c r="G183" s="45"/>
      <c r="H183" s="44"/>
      <c r="I183" s="44"/>
      <c r="J183" s="44"/>
      <c r="K183" s="44"/>
      <c r="L183" s="44"/>
      <c r="M183" s="44"/>
      <c r="N183" s="44"/>
      <c r="O183" s="44"/>
      <c r="P183" s="44"/>
      <c r="Q183" s="44"/>
    </row>
    <row r="184" hidden="1">
      <c r="A184" s="60" t="s">
        <v>64</v>
      </c>
      <c r="B184" s="43"/>
      <c r="C184" s="45"/>
      <c r="D184" s="45">
        <v>500.0</v>
      </c>
      <c r="E184" s="45"/>
      <c r="F184" s="45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</row>
    <row r="185" hidden="1">
      <c r="A185" s="60"/>
      <c r="B185" s="46"/>
      <c r="C185" s="45"/>
      <c r="D185" s="44"/>
      <c r="E185" s="45"/>
      <c r="F185" s="45"/>
      <c r="G185" s="44"/>
      <c r="H185" s="45"/>
      <c r="I185" s="44"/>
      <c r="J185" s="44"/>
      <c r="K185" s="44"/>
      <c r="L185" s="44"/>
      <c r="M185" s="44"/>
      <c r="N185" s="44"/>
      <c r="O185" s="44"/>
      <c r="P185" s="44"/>
      <c r="Q185" s="44"/>
    </row>
    <row r="186" hidden="1">
      <c r="A186" s="47" t="s">
        <v>23</v>
      </c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7" t="s">
        <v>24</v>
      </c>
    </row>
    <row r="187" hidden="1">
      <c r="A187" s="61" t="s">
        <v>60</v>
      </c>
      <c r="B187" s="54">
        <f>B177/3</f>
        <v>12380</v>
      </c>
      <c r="C187" s="52"/>
      <c r="D187" s="62">
        <f>D177/3+4000</f>
        <v>12000</v>
      </c>
      <c r="E187" s="52"/>
      <c r="F187" s="52"/>
      <c r="G187" s="62">
        <f>G170-G182</f>
        <v>7000</v>
      </c>
      <c r="H187" s="62">
        <f>H177/3+1000+220</f>
        <v>8000</v>
      </c>
      <c r="I187" s="52"/>
      <c r="J187" s="62">
        <v>10000.0</v>
      </c>
      <c r="K187" s="62"/>
      <c r="L187" s="62"/>
      <c r="M187" s="62"/>
      <c r="N187" s="62"/>
      <c r="O187" s="62"/>
      <c r="P187" s="62"/>
      <c r="Q187" s="53">
        <f t="shared" ref="Q187:Q192" si="77">SUM(B187:J187)</f>
        <v>49380</v>
      </c>
    </row>
    <row r="188" hidden="1">
      <c r="A188" s="63" t="s">
        <v>61</v>
      </c>
      <c r="B188" s="54">
        <v>17000.0</v>
      </c>
      <c r="C188" s="52"/>
      <c r="D188" s="62">
        <f>(12000+1500)</f>
        <v>13500</v>
      </c>
      <c r="E188" s="52"/>
      <c r="F188" s="52"/>
      <c r="G188" s="62">
        <f>7000+1000</f>
        <v>8000</v>
      </c>
      <c r="H188" s="52">
        <f>(10000+1000+500)</f>
        <v>11500</v>
      </c>
      <c r="I188" s="62"/>
      <c r="J188" s="62">
        <v>8250.0</v>
      </c>
      <c r="K188" s="62"/>
      <c r="L188" s="62"/>
      <c r="M188" s="62"/>
      <c r="N188" s="62"/>
      <c r="O188" s="62"/>
      <c r="P188" s="62"/>
      <c r="Q188" s="53">
        <f t="shared" si="77"/>
        <v>58250</v>
      </c>
    </row>
    <row r="189" hidden="1">
      <c r="A189" s="63" t="s">
        <v>65</v>
      </c>
      <c r="B189" s="70">
        <f>B177/3</f>
        <v>12380</v>
      </c>
      <c r="C189" s="67"/>
      <c r="D189" s="69">
        <v>12000.0</v>
      </c>
      <c r="E189" s="67"/>
      <c r="F189" s="67"/>
      <c r="G189" s="69">
        <v>7000.0</v>
      </c>
      <c r="H189" s="67">
        <f>H177/3+1220</f>
        <v>8000</v>
      </c>
      <c r="I189" s="62"/>
      <c r="J189" s="62">
        <v>8550.0</v>
      </c>
      <c r="K189" s="62"/>
      <c r="L189" s="62"/>
      <c r="M189" s="62"/>
      <c r="N189" s="62"/>
      <c r="O189" s="62"/>
      <c r="P189" s="62"/>
      <c r="Q189" s="52">
        <f t="shared" si="77"/>
        <v>47930</v>
      </c>
    </row>
    <row r="190" hidden="1">
      <c r="A190" s="63" t="s">
        <v>66</v>
      </c>
      <c r="B190" s="71">
        <f>SUM(B189+B179)</f>
        <v>22780</v>
      </c>
      <c r="C190" s="62"/>
      <c r="D190" s="62">
        <f>(D177/3)+1000+5000</f>
        <v>14000</v>
      </c>
      <c r="E190" s="62"/>
      <c r="F190" s="62"/>
      <c r="G190" s="62">
        <v>7000.0</v>
      </c>
      <c r="H190" s="62">
        <f>8000+6000</f>
        <v>14000</v>
      </c>
      <c r="I190" s="52"/>
      <c r="J190" s="62"/>
      <c r="K190" s="62"/>
      <c r="L190" s="62"/>
      <c r="M190" s="62"/>
      <c r="N190" s="62"/>
      <c r="O190" s="62"/>
      <c r="P190" s="62"/>
      <c r="Q190" s="52">
        <f t="shared" si="77"/>
        <v>57780</v>
      </c>
    </row>
    <row r="191" hidden="1">
      <c r="A191" s="63" t="s">
        <v>67</v>
      </c>
      <c r="B191" s="54">
        <v>14000.0</v>
      </c>
      <c r="C191" s="52"/>
      <c r="D191" s="62">
        <f t="shared" ref="D191:D192" si="78">8000+2000</f>
        <v>10000</v>
      </c>
      <c r="E191" s="62"/>
      <c r="F191" s="62">
        <v>8000.0</v>
      </c>
      <c r="G191" s="62">
        <v>7000.0</v>
      </c>
      <c r="H191" s="62">
        <f t="shared" ref="H191:H192" si="79">8000+1000</f>
        <v>9000</v>
      </c>
      <c r="I191" s="52"/>
      <c r="J191" s="62">
        <v>8550.0</v>
      </c>
      <c r="K191" s="62"/>
      <c r="L191" s="62"/>
      <c r="M191" s="62"/>
      <c r="N191" s="62"/>
      <c r="O191" s="62"/>
      <c r="P191" s="62"/>
      <c r="Q191" s="53">
        <f t="shared" si="77"/>
        <v>56550</v>
      </c>
    </row>
    <row r="192" hidden="1">
      <c r="A192" s="63" t="s">
        <v>68</v>
      </c>
      <c r="B192" s="54">
        <v>14000.0</v>
      </c>
      <c r="C192" s="52"/>
      <c r="D192" s="62">
        <f t="shared" si="78"/>
        <v>10000</v>
      </c>
      <c r="E192" s="62"/>
      <c r="F192" s="62">
        <f>8000+2000</f>
        <v>10000</v>
      </c>
      <c r="G192" s="62">
        <v>7000.0</v>
      </c>
      <c r="H192" s="62">
        <f t="shared" si="79"/>
        <v>9000</v>
      </c>
      <c r="I192" s="52"/>
      <c r="J192" s="62">
        <v>8550.0</v>
      </c>
      <c r="K192" s="62"/>
      <c r="L192" s="62"/>
      <c r="M192" s="62"/>
      <c r="N192" s="62"/>
      <c r="O192" s="62"/>
      <c r="P192" s="62"/>
      <c r="Q192" s="53">
        <f t="shared" si="77"/>
        <v>58550</v>
      </c>
    </row>
    <row r="193" hidden="1">
      <c r="B193" s="72" t="s">
        <v>69</v>
      </c>
      <c r="D193" s="72" t="s">
        <v>70</v>
      </c>
      <c r="E193" s="72"/>
      <c r="F193" s="72" t="s">
        <v>71</v>
      </c>
      <c r="H193" s="72" t="s">
        <v>72</v>
      </c>
      <c r="I193" s="73">
        <v>44318.0</v>
      </c>
    </row>
    <row r="194" hidden="1">
      <c r="B194" s="72" t="s">
        <v>73</v>
      </c>
      <c r="D194" s="72" t="s">
        <v>74</v>
      </c>
      <c r="H194" s="72" t="s">
        <v>75</v>
      </c>
      <c r="I194" s="72">
        <v>1.0</v>
      </c>
    </row>
    <row r="195" hidden="1">
      <c r="B195" s="72" t="s">
        <v>76</v>
      </c>
      <c r="D195" s="72" t="s">
        <v>77</v>
      </c>
      <c r="I195" s="72">
        <v>1.0</v>
      </c>
    </row>
    <row r="196" hidden="1">
      <c r="I196" s="72">
        <v>3.0</v>
      </c>
    </row>
    <row r="197" hidden="1"/>
    <row r="198" hidden="1">
      <c r="A198" s="1" t="s">
        <v>0</v>
      </c>
      <c r="B198" s="2" t="s">
        <v>1</v>
      </c>
      <c r="C198" s="3"/>
      <c r="D198" s="3" t="s">
        <v>3</v>
      </c>
      <c r="E198" s="3"/>
      <c r="F198" s="3" t="s">
        <v>58</v>
      </c>
      <c r="G198" s="3" t="s">
        <v>34</v>
      </c>
      <c r="H198" s="3" t="s">
        <v>6</v>
      </c>
      <c r="I198" s="4" t="s">
        <v>78</v>
      </c>
      <c r="J198" s="4" t="s">
        <v>79</v>
      </c>
      <c r="K198" s="4"/>
      <c r="L198" s="4"/>
      <c r="M198" s="4"/>
      <c r="N198" s="4"/>
      <c r="O198" s="4"/>
      <c r="P198" s="4"/>
      <c r="Q198" s="1" t="s">
        <v>0</v>
      </c>
    </row>
    <row r="199" hidden="1">
      <c r="A199" s="6" t="s">
        <v>80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8"/>
    </row>
    <row r="200" hidden="1">
      <c r="A200" s="55" t="s">
        <v>81</v>
      </c>
      <c r="B200" s="10">
        <f>B205/4</f>
        <v>12200</v>
      </c>
      <c r="C200" s="10"/>
      <c r="D200" s="10">
        <f>D205/4</f>
        <v>10000</v>
      </c>
      <c r="E200" s="10"/>
      <c r="F200" s="10">
        <v>8000.0</v>
      </c>
      <c r="G200" s="10">
        <v>7000.0</v>
      </c>
      <c r="H200" s="10">
        <f t="shared" ref="H200:I200" si="80">H205/4</f>
        <v>10000</v>
      </c>
      <c r="I200" s="10">
        <f t="shared" si="80"/>
        <v>12000</v>
      </c>
      <c r="J200" s="12"/>
      <c r="K200" s="12"/>
      <c r="L200" s="12"/>
      <c r="M200" s="12"/>
      <c r="N200" s="12"/>
      <c r="O200" s="12"/>
      <c r="P200" s="12"/>
      <c r="Q200" s="13">
        <f>SUM(B200:J200)</f>
        <v>59200</v>
      </c>
    </row>
    <row r="201" hidden="1">
      <c r="A201" s="15" t="s">
        <v>82</v>
      </c>
      <c r="B201" s="10">
        <f>B205/4</f>
        <v>12200</v>
      </c>
      <c r="C201" s="10"/>
      <c r="D201" s="10">
        <f>D205/4</f>
        <v>10000</v>
      </c>
      <c r="E201" s="10"/>
      <c r="F201" s="10">
        <v>8000.0</v>
      </c>
      <c r="G201" s="10">
        <v>7000.0</v>
      </c>
      <c r="H201" s="10">
        <f t="shared" ref="H201:I201" si="81">H205/4</f>
        <v>10000</v>
      </c>
      <c r="I201" s="10">
        <f t="shared" si="81"/>
        <v>12000</v>
      </c>
      <c r="J201" s="12"/>
      <c r="K201" s="12"/>
      <c r="L201" s="12"/>
      <c r="M201" s="12"/>
      <c r="N201" s="12"/>
      <c r="O201" s="12"/>
      <c r="P201" s="12"/>
      <c r="Q201" s="13">
        <f t="shared" ref="Q201:Q204" si="83">SUM(B201:I201)</f>
        <v>59200</v>
      </c>
    </row>
    <row r="202" hidden="1">
      <c r="A202" s="15" t="s">
        <v>83</v>
      </c>
      <c r="B202" s="10">
        <f>B205/4</f>
        <v>12200</v>
      </c>
      <c r="C202" s="10"/>
      <c r="D202" s="10">
        <f>D205/4</f>
        <v>10000</v>
      </c>
      <c r="E202" s="10"/>
      <c r="F202" s="10">
        <v>8000.0</v>
      </c>
      <c r="G202" s="10">
        <v>7000.0</v>
      </c>
      <c r="H202" s="10">
        <f t="shared" ref="H202:I202" si="82">H205/4</f>
        <v>10000</v>
      </c>
      <c r="I202" s="10">
        <f t="shared" si="82"/>
        <v>12000</v>
      </c>
      <c r="J202" s="12"/>
      <c r="K202" s="12"/>
      <c r="L202" s="12"/>
      <c r="M202" s="12"/>
      <c r="N202" s="12"/>
      <c r="O202" s="12"/>
      <c r="P202" s="12"/>
      <c r="Q202" s="13">
        <f t="shared" si="83"/>
        <v>59200</v>
      </c>
    </row>
    <row r="203" hidden="1">
      <c r="A203" s="15" t="s">
        <v>84</v>
      </c>
      <c r="B203" s="16">
        <f>B205/4</f>
        <v>12200</v>
      </c>
      <c r="C203" s="16"/>
      <c r="D203" s="16">
        <f>D205/4</f>
        <v>10000</v>
      </c>
      <c r="E203" s="16"/>
      <c r="F203" s="16">
        <v>8000.0</v>
      </c>
      <c r="G203" s="16">
        <v>7000.0</v>
      </c>
      <c r="H203" s="16">
        <f t="shared" ref="H203:I203" si="84">H205/4</f>
        <v>10000</v>
      </c>
      <c r="I203" s="16">
        <f t="shared" si="84"/>
        <v>12000</v>
      </c>
      <c r="J203" s="18"/>
      <c r="K203" s="18"/>
      <c r="L203" s="18"/>
      <c r="M203" s="18"/>
      <c r="N203" s="18"/>
      <c r="O203" s="18"/>
      <c r="P203" s="18"/>
      <c r="Q203" s="19">
        <f t="shared" si="83"/>
        <v>59200</v>
      </c>
    </row>
    <row r="204" hidden="1">
      <c r="A204" s="15"/>
      <c r="B204" s="16"/>
      <c r="C204" s="16"/>
      <c r="D204" s="16"/>
      <c r="E204" s="16"/>
      <c r="F204" s="16"/>
      <c r="G204" s="16"/>
      <c r="H204" s="16"/>
      <c r="I204" s="16"/>
      <c r="J204" s="18"/>
      <c r="K204" s="18"/>
      <c r="L204" s="18"/>
      <c r="M204" s="18"/>
      <c r="N204" s="18"/>
      <c r="O204" s="18"/>
      <c r="P204" s="18"/>
      <c r="Q204" s="19">
        <f t="shared" si="83"/>
        <v>0</v>
      </c>
    </row>
    <row r="205" hidden="1">
      <c r="A205" s="20" t="s">
        <v>15</v>
      </c>
      <c r="B205" s="21">
        <v>48800.0</v>
      </c>
      <c r="C205" s="21"/>
      <c r="D205" s="21">
        <v>40000.0</v>
      </c>
      <c r="E205" s="21"/>
      <c r="F205" s="21">
        <v>32000.0</v>
      </c>
      <c r="G205" s="21">
        <f>SUM(G200:G203)</f>
        <v>28000</v>
      </c>
      <c r="H205" s="21">
        <v>40000.0</v>
      </c>
      <c r="I205" s="21">
        <v>48000.0</v>
      </c>
      <c r="J205" s="20"/>
      <c r="K205" s="20"/>
      <c r="L205" s="20"/>
      <c r="M205" s="20"/>
      <c r="N205" s="20"/>
      <c r="O205" s="20"/>
      <c r="P205" s="20"/>
      <c r="Q205" s="21">
        <f>SUM(Q200:Q203)</f>
        <v>236800</v>
      </c>
    </row>
    <row r="206" hidden="1">
      <c r="A206" s="23" t="s">
        <v>16</v>
      </c>
      <c r="B206" s="24">
        <v>11563.0</v>
      </c>
      <c r="C206" s="24"/>
      <c r="D206" s="24">
        <v>9931.0</v>
      </c>
      <c r="E206" s="24"/>
      <c r="F206" s="24" t="s">
        <v>85</v>
      </c>
      <c r="G206" s="24" t="s">
        <v>85</v>
      </c>
      <c r="H206" s="24">
        <v>11563.0</v>
      </c>
      <c r="I206" s="24"/>
      <c r="J206" s="74"/>
      <c r="K206" s="74"/>
      <c r="L206" s="74"/>
      <c r="M206" s="74"/>
      <c r="N206" s="74"/>
      <c r="O206" s="74"/>
      <c r="P206" s="74"/>
      <c r="Q206" s="75"/>
    </row>
    <row r="207" hidden="1">
      <c r="A207" s="57" t="s">
        <v>17</v>
      </c>
      <c r="B207" s="58">
        <f>B205-(B206)</f>
        <v>37237</v>
      </c>
      <c r="C207" s="58"/>
      <c r="D207" s="58">
        <f>D205-(D206)</f>
        <v>30069</v>
      </c>
      <c r="E207" s="58"/>
      <c r="F207" s="58">
        <v>32000.0</v>
      </c>
      <c r="G207" s="58">
        <f>G205</f>
        <v>28000</v>
      </c>
      <c r="H207" s="58">
        <f>H205-(H206)</f>
        <v>28437</v>
      </c>
      <c r="I207" s="58">
        <f>I204-(I206)</f>
        <v>0</v>
      </c>
      <c r="J207" s="25"/>
      <c r="K207" s="25"/>
      <c r="L207" s="25"/>
      <c r="M207" s="25"/>
      <c r="N207" s="25"/>
      <c r="O207" s="25"/>
      <c r="P207" s="25"/>
      <c r="Q207" s="26">
        <f t="shared" ref="Q207:Q209" si="85">SUM(B207:J207)</f>
        <v>155743</v>
      </c>
    </row>
    <row r="208" hidden="1">
      <c r="A208" s="27" t="s">
        <v>40</v>
      </c>
      <c r="B208" s="28" t="s">
        <v>86</v>
      </c>
      <c r="C208" s="28"/>
      <c r="D208" s="28"/>
      <c r="E208" s="28"/>
      <c r="F208" s="28" t="s">
        <v>87</v>
      </c>
      <c r="G208" s="28"/>
      <c r="H208" s="28"/>
      <c r="I208" s="28"/>
      <c r="J208" s="28"/>
      <c r="K208" s="29"/>
      <c r="L208" s="29"/>
      <c r="M208" s="29"/>
      <c r="N208" s="29"/>
      <c r="O208" s="29"/>
      <c r="P208" s="29"/>
      <c r="Q208" s="30">
        <f t="shared" si="85"/>
        <v>0</v>
      </c>
    </row>
    <row r="209" hidden="1">
      <c r="A209" s="23" t="s">
        <v>88</v>
      </c>
      <c r="B209" s="24"/>
      <c r="C209" s="24"/>
      <c r="D209" s="24"/>
      <c r="E209" s="24"/>
      <c r="F209" s="24"/>
      <c r="G209" s="24">
        <v>1000.0</v>
      </c>
      <c r="H209" s="24">
        <v>1000.0</v>
      </c>
      <c r="I209" s="24">
        <v>1000.0</v>
      </c>
      <c r="J209" s="24"/>
      <c r="K209" s="25"/>
      <c r="L209" s="25"/>
      <c r="M209" s="25"/>
      <c r="N209" s="25"/>
      <c r="O209" s="25"/>
      <c r="P209" s="25"/>
      <c r="Q209" s="26">
        <f t="shared" si="85"/>
        <v>3000</v>
      </c>
    </row>
    <row r="210" hidden="1">
      <c r="A210" s="39" t="s">
        <v>22</v>
      </c>
      <c r="B210" s="40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</row>
    <row r="211" hidden="1">
      <c r="A211" s="59" t="s">
        <v>81</v>
      </c>
      <c r="B211" s="43"/>
      <c r="C211" s="44"/>
      <c r="D211" s="44"/>
      <c r="E211" s="45"/>
      <c r="F211" s="45"/>
      <c r="G211" s="45"/>
      <c r="H211" s="45"/>
      <c r="I211" s="44"/>
      <c r="J211" s="44"/>
      <c r="K211" s="44"/>
      <c r="L211" s="44"/>
      <c r="M211" s="44"/>
      <c r="N211" s="44"/>
      <c r="O211" s="44"/>
      <c r="P211" s="44"/>
      <c r="Q211" s="44"/>
    </row>
    <row r="212" hidden="1">
      <c r="A212" s="60" t="s">
        <v>82</v>
      </c>
      <c r="B212" s="46"/>
      <c r="C212" s="45"/>
      <c r="D212" s="45"/>
      <c r="E212" s="45"/>
      <c r="F212" s="45"/>
      <c r="G212" s="45"/>
      <c r="H212" s="44"/>
      <c r="I212" s="44"/>
      <c r="J212" s="44"/>
      <c r="K212" s="44"/>
      <c r="L212" s="44"/>
      <c r="M212" s="44"/>
      <c r="N212" s="44"/>
      <c r="O212" s="44"/>
      <c r="P212" s="44"/>
      <c r="Q212" s="44"/>
    </row>
    <row r="213" hidden="1">
      <c r="A213" s="60" t="s">
        <v>83</v>
      </c>
      <c r="B213" s="43"/>
      <c r="C213" s="45"/>
      <c r="D213" s="45"/>
      <c r="E213" s="45"/>
      <c r="F213" s="45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</row>
    <row r="214" hidden="1">
      <c r="A214" s="60" t="s">
        <v>84</v>
      </c>
      <c r="B214" s="46"/>
      <c r="C214" s="45"/>
      <c r="D214" s="44"/>
      <c r="E214" s="45"/>
      <c r="F214" s="45"/>
      <c r="G214" s="44"/>
      <c r="H214" s="45"/>
      <c r="I214" s="44"/>
      <c r="J214" s="44"/>
      <c r="K214" s="44"/>
      <c r="L214" s="44"/>
      <c r="M214" s="44"/>
      <c r="N214" s="44"/>
      <c r="O214" s="44"/>
      <c r="P214" s="44"/>
      <c r="Q214" s="44"/>
    </row>
    <row r="215" hidden="1">
      <c r="A215" s="47" t="s">
        <v>23</v>
      </c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7" t="s">
        <v>24</v>
      </c>
    </row>
    <row r="216" hidden="1">
      <c r="A216" s="61" t="s">
        <v>81</v>
      </c>
      <c r="B216" s="54">
        <f>B207/3</f>
        <v>12412.33333</v>
      </c>
      <c r="C216" s="52"/>
      <c r="D216" s="62">
        <f>D207/3</f>
        <v>10023</v>
      </c>
      <c r="E216" s="52"/>
      <c r="F216" s="52">
        <f t="shared" ref="F216:G216" si="86">F207/4</f>
        <v>8000</v>
      </c>
      <c r="G216" s="62">
        <f t="shared" si="86"/>
        <v>7000</v>
      </c>
      <c r="H216" s="62">
        <f>H207/3</f>
        <v>9479</v>
      </c>
      <c r="I216" s="52">
        <f>I205/4</f>
        <v>12000</v>
      </c>
      <c r="J216" s="62"/>
      <c r="K216" s="62"/>
      <c r="L216" s="62"/>
      <c r="M216" s="62"/>
      <c r="N216" s="62"/>
      <c r="O216" s="62"/>
      <c r="P216" s="62"/>
      <c r="Q216" s="53">
        <f t="shared" ref="Q216:Q221" si="87">SUM(B216:J216)</f>
        <v>58914.33333</v>
      </c>
    </row>
    <row r="217" hidden="1">
      <c r="A217" s="63" t="s">
        <v>82</v>
      </c>
      <c r="B217" s="54" t="s">
        <v>89</v>
      </c>
      <c r="C217" s="52"/>
      <c r="D217" s="62" t="s">
        <v>89</v>
      </c>
      <c r="E217" s="52"/>
      <c r="F217" s="52">
        <f>(F207/4)-F212+1000</f>
        <v>9000</v>
      </c>
      <c r="G217" s="62">
        <f>(G207/4)-G212</f>
        <v>7000</v>
      </c>
      <c r="H217" s="62" t="s">
        <v>89</v>
      </c>
      <c r="I217" s="62">
        <f>I205/4</f>
        <v>12000</v>
      </c>
      <c r="J217" s="62"/>
      <c r="K217" s="62"/>
      <c r="L217" s="62"/>
      <c r="M217" s="62"/>
      <c r="N217" s="62"/>
      <c r="O217" s="62"/>
      <c r="P217" s="62"/>
      <c r="Q217" s="53">
        <f t="shared" si="87"/>
        <v>28000</v>
      </c>
    </row>
    <row r="218" hidden="1">
      <c r="A218" s="63" t="s">
        <v>83</v>
      </c>
      <c r="B218" s="54">
        <f>(B207/3)+1000</f>
        <v>13412.33333</v>
      </c>
      <c r="C218" s="67"/>
      <c r="D218" s="69">
        <f>D207/3</f>
        <v>10023</v>
      </c>
      <c r="E218" s="67"/>
      <c r="F218" s="67">
        <f t="shared" ref="F218:G218" si="88">(F207/4)-F213</f>
        <v>8000</v>
      </c>
      <c r="G218" s="69">
        <f t="shared" si="88"/>
        <v>7000</v>
      </c>
      <c r="H218" s="67">
        <f>H207/3</f>
        <v>9479</v>
      </c>
      <c r="I218" s="62">
        <f>I205/4</f>
        <v>12000</v>
      </c>
      <c r="J218" s="62"/>
      <c r="K218" s="62"/>
      <c r="L218" s="62"/>
      <c r="M218" s="62"/>
      <c r="N218" s="62"/>
      <c r="O218" s="62"/>
      <c r="P218" s="62"/>
      <c r="Q218" s="53">
        <f t="shared" si="87"/>
        <v>59914.33333</v>
      </c>
    </row>
    <row r="219" hidden="1">
      <c r="A219" s="63" t="s">
        <v>84</v>
      </c>
      <c r="B219" s="54">
        <v>13500.0</v>
      </c>
      <c r="C219" s="62"/>
      <c r="D219" s="62">
        <f>D207/3</f>
        <v>10023</v>
      </c>
      <c r="E219" s="62"/>
      <c r="F219" s="62">
        <f t="shared" ref="F219:G219" si="89">(F207/4)-F214</f>
        <v>8000</v>
      </c>
      <c r="G219" s="62">
        <f t="shared" si="89"/>
        <v>7000</v>
      </c>
      <c r="H219" s="62">
        <f>H207/3</f>
        <v>9479</v>
      </c>
      <c r="I219" s="52">
        <f>I205/4</f>
        <v>12000</v>
      </c>
      <c r="J219" s="62"/>
      <c r="K219" s="62"/>
      <c r="L219" s="62"/>
      <c r="M219" s="62"/>
      <c r="N219" s="62"/>
      <c r="O219" s="62"/>
      <c r="P219" s="62"/>
      <c r="Q219" s="53">
        <f t="shared" si="87"/>
        <v>60002</v>
      </c>
    </row>
    <row r="220" hidden="1">
      <c r="A220" s="63"/>
      <c r="B220" s="54"/>
      <c r="C220" s="52"/>
      <c r="D220" s="62"/>
      <c r="E220" s="62"/>
      <c r="F220" s="62"/>
      <c r="G220" s="62"/>
      <c r="H220" s="62"/>
      <c r="I220" s="52"/>
      <c r="J220" s="62"/>
      <c r="K220" s="62"/>
      <c r="L220" s="62"/>
      <c r="M220" s="62"/>
      <c r="N220" s="62"/>
      <c r="O220" s="62"/>
      <c r="P220" s="62"/>
      <c r="Q220" s="53">
        <f t="shared" si="87"/>
        <v>0</v>
      </c>
    </row>
    <row r="221" hidden="1">
      <c r="A221" s="63"/>
      <c r="B221" s="54"/>
      <c r="C221" s="52"/>
      <c r="D221" s="62"/>
      <c r="E221" s="62"/>
      <c r="F221" s="62"/>
      <c r="G221" s="62"/>
      <c r="H221" s="62"/>
      <c r="I221" s="52"/>
      <c r="J221" s="62"/>
      <c r="K221" s="62"/>
      <c r="L221" s="62"/>
      <c r="M221" s="62"/>
      <c r="N221" s="62"/>
      <c r="O221" s="62"/>
      <c r="P221" s="62"/>
      <c r="Q221" s="53">
        <f t="shared" si="87"/>
        <v>0</v>
      </c>
    </row>
    <row r="222" hidden="1"/>
    <row r="223" hidden="1">
      <c r="A223" s="1" t="s">
        <v>0</v>
      </c>
      <c r="B223" s="2" t="s">
        <v>1</v>
      </c>
      <c r="C223" s="3" t="s">
        <v>90</v>
      </c>
      <c r="D223" s="3" t="s">
        <v>3</v>
      </c>
      <c r="E223" s="3"/>
      <c r="F223" s="3" t="s">
        <v>58</v>
      </c>
      <c r="G223" s="3" t="s">
        <v>91</v>
      </c>
      <c r="H223" s="3" t="s">
        <v>6</v>
      </c>
      <c r="I223" s="4" t="s">
        <v>92</v>
      </c>
      <c r="J223" s="4" t="s">
        <v>93</v>
      </c>
      <c r="K223" s="4"/>
      <c r="L223" s="4"/>
      <c r="M223" s="4"/>
      <c r="N223" s="4"/>
      <c r="O223" s="4"/>
      <c r="P223" s="4"/>
      <c r="Q223" s="1" t="s">
        <v>0</v>
      </c>
    </row>
    <row r="224" hidden="1">
      <c r="A224" s="6" t="s">
        <v>94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8"/>
    </row>
    <row r="225" hidden="1">
      <c r="A225" s="55" t="s">
        <v>95</v>
      </c>
      <c r="B225" s="10">
        <f>B230/4</f>
        <v>12200</v>
      </c>
      <c r="C225" s="10"/>
      <c r="D225" s="10">
        <f>D230/4</f>
        <v>10000</v>
      </c>
      <c r="E225" s="10"/>
      <c r="F225" s="10">
        <v>8000.0</v>
      </c>
      <c r="G225" s="10"/>
      <c r="H225" s="10">
        <f t="shared" ref="H225:I225" si="90">H230/4</f>
        <v>10000</v>
      </c>
      <c r="I225" s="10">
        <f t="shared" si="90"/>
        <v>12000</v>
      </c>
      <c r="J225" s="12"/>
      <c r="K225" s="12"/>
      <c r="L225" s="12"/>
      <c r="M225" s="12"/>
      <c r="N225" s="12"/>
      <c r="O225" s="12"/>
      <c r="P225" s="12"/>
      <c r="Q225" s="13">
        <f>SUM(B225:J225)</f>
        <v>52200</v>
      </c>
    </row>
    <row r="226" hidden="1">
      <c r="A226" s="15" t="s">
        <v>96</v>
      </c>
      <c r="B226" s="10">
        <f>B230/4</f>
        <v>12200</v>
      </c>
      <c r="C226" s="10"/>
      <c r="D226" s="10">
        <f>D230/4</f>
        <v>10000</v>
      </c>
      <c r="E226" s="10"/>
      <c r="F226" s="10">
        <v>8000.0</v>
      </c>
      <c r="G226" s="10"/>
      <c r="H226" s="10">
        <f t="shared" ref="H226:I226" si="91">H230/4</f>
        <v>10000</v>
      </c>
      <c r="I226" s="10">
        <f t="shared" si="91"/>
        <v>12000</v>
      </c>
      <c r="J226" s="12"/>
      <c r="K226" s="12"/>
      <c r="L226" s="12"/>
      <c r="M226" s="12"/>
      <c r="N226" s="12"/>
      <c r="O226" s="12"/>
      <c r="P226" s="12"/>
      <c r="Q226" s="13">
        <f t="shared" ref="Q226:Q229" si="93">SUM(B226:I226)</f>
        <v>52200</v>
      </c>
    </row>
    <row r="227" hidden="1">
      <c r="A227" s="15" t="s">
        <v>97</v>
      </c>
      <c r="B227" s="10">
        <f>B230/4</f>
        <v>12200</v>
      </c>
      <c r="C227" s="10"/>
      <c r="D227" s="10">
        <f>D230/4</f>
        <v>10000</v>
      </c>
      <c r="E227" s="10"/>
      <c r="F227" s="10">
        <v>8000.0</v>
      </c>
      <c r="G227" s="10"/>
      <c r="H227" s="10">
        <f t="shared" ref="H227:I227" si="92">H230/4</f>
        <v>10000</v>
      </c>
      <c r="I227" s="10">
        <f t="shared" si="92"/>
        <v>12000</v>
      </c>
      <c r="J227" s="12"/>
      <c r="K227" s="12"/>
      <c r="L227" s="12"/>
      <c r="M227" s="12"/>
      <c r="N227" s="12"/>
      <c r="O227" s="12"/>
      <c r="P227" s="12"/>
      <c r="Q227" s="13">
        <f t="shared" si="93"/>
        <v>52200</v>
      </c>
    </row>
    <row r="228" hidden="1">
      <c r="A228" s="15" t="s">
        <v>98</v>
      </c>
      <c r="B228" s="16">
        <f>B230/4</f>
        <v>12200</v>
      </c>
      <c r="C228" s="16"/>
      <c r="D228" s="16">
        <f>D230/4</f>
        <v>10000</v>
      </c>
      <c r="E228" s="16"/>
      <c r="F228" s="16">
        <v>8000.0</v>
      </c>
      <c r="G228" s="16"/>
      <c r="H228" s="16">
        <f t="shared" ref="H228:I228" si="94">H230/4</f>
        <v>10000</v>
      </c>
      <c r="I228" s="16">
        <f t="shared" si="94"/>
        <v>12000</v>
      </c>
      <c r="J228" s="18"/>
      <c r="K228" s="18"/>
      <c r="L228" s="18"/>
      <c r="M228" s="18"/>
      <c r="N228" s="18"/>
      <c r="O228" s="18"/>
      <c r="P228" s="18"/>
      <c r="Q228" s="19">
        <f t="shared" si="93"/>
        <v>52200</v>
      </c>
    </row>
    <row r="229" hidden="1">
      <c r="A229" s="15"/>
      <c r="B229" s="16"/>
      <c r="C229" s="16"/>
      <c r="D229" s="16"/>
      <c r="E229" s="16"/>
      <c r="F229" s="16"/>
      <c r="G229" s="16"/>
      <c r="H229" s="16"/>
      <c r="I229" s="16"/>
      <c r="J229" s="18"/>
      <c r="K229" s="18"/>
      <c r="L229" s="18"/>
      <c r="M229" s="18"/>
      <c r="N229" s="18"/>
      <c r="O229" s="18"/>
      <c r="P229" s="18"/>
      <c r="Q229" s="19">
        <f t="shared" si="93"/>
        <v>0</v>
      </c>
    </row>
    <row r="230" hidden="1">
      <c r="A230" s="20" t="s">
        <v>15</v>
      </c>
      <c r="B230" s="21">
        <v>48800.0</v>
      </c>
      <c r="C230" s="21"/>
      <c r="D230" s="21">
        <v>40000.0</v>
      </c>
      <c r="E230" s="21"/>
      <c r="F230" s="21">
        <v>32000.0</v>
      </c>
      <c r="G230" s="21"/>
      <c r="H230" s="21">
        <v>40000.0</v>
      </c>
      <c r="I230" s="21">
        <v>48000.0</v>
      </c>
      <c r="J230" s="20"/>
      <c r="K230" s="20"/>
      <c r="L230" s="20"/>
      <c r="M230" s="20"/>
      <c r="N230" s="20"/>
      <c r="O230" s="20"/>
      <c r="P230" s="20"/>
      <c r="Q230" s="21">
        <f>SUM(Q225:Q228)</f>
        <v>208800</v>
      </c>
    </row>
    <row r="231" hidden="1">
      <c r="A231" s="23" t="s">
        <v>16</v>
      </c>
      <c r="B231" s="24">
        <v>11563.0</v>
      </c>
      <c r="C231" s="24"/>
      <c r="D231" s="24">
        <v>9931.0</v>
      </c>
      <c r="E231" s="24"/>
      <c r="F231" s="24" t="s">
        <v>85</v>
      </c>
      <c r="G231" s="24"/>
      <c r="H231" s="24">
        <v>11563.0</v>
      </c>
      <c r="I231" s="24"/>
      <c r="J231" s="74"/>
      <c r="K231" s="74"/>
      <c r="L231" s="74"/>
      <c r="M231" s="74"/>
      <c r="N231" s="74"/>
      <c r="O231" s="74"/>
      <c r="P231" s="74"/>
      <c r="Q231" s="75"/>
    </row>
    <row r="232" hidden="1">
      <c r="A232" s="57" t="s">
        <v>17</v>
      </c>
      <c r="B232" s="58">
        <f>B230-(B231)</f>
        <v>37237</v>
      </c>
      <c r="C232" s="58"/>
      <c r="D232" s="58">
        <f>D230-(D231)</f>
        <v>30069</v>
      </c>
      <c r="E232" s="58"/>
      <c r="F232" s="58">
        <v>32000.0</v>
      </c>
      <c r="G232" s="58"/>
      <c r="H232" s="58">
        <f>H230-(H231)</f>
        <v>28437</v>
      </c>
      <c r="I232" s="58">
        <f>I229-(I231)</f>
        <v>0</v>
      </c>
      <c r="J232" s="25"/>
      <c r="K232" s="25"/>
      <c r="L232" s="25"/>
      <c r="M232" s="25"/>
      <c r="N232" s="25"/>
      <c r="O232" s="25"/>
      <c r="P232" s="25"/>
      <c r="Q232" s="26">
        <f t="shared" ref="Q232:Q234" si="95">SUM(B232:J232)</f>
        <v>127743</v>
      </c>
    </row>
    <row r="233" hidden="1">
      <c r="A233" s="27" t="s">
        <v>40</v>
      </c>
      <c r="B233" s="28" t="s">
        <v>86</v>
      </c>
      <c r="C233" s="28"/>
      <c r="D233" s="28"/>
      <c r="E233" s="28"/>
      <c r="F233" s="28" t="s">
        <v>87</v>
      </c>
      <c r="G233" s="28"/>
      <c r="H233" s="28"/>
      <c r="I233" s="28"/>
      <c r="J233" s="28"/>
      <c r="K233" s="29"/>
      <c r="L233" s="29"/>
      <c r="M233" s="29"/>
      <c r="N233" s="29"/>
      <c r="O233" s="29"/>
      <c r="P233" s="29"/>
      <c r="Q233" s="30">
        <f t="shared" si="95"/>
        <v>0</v>
      </c>
    </row>
    <row r="234" hidden="1">
      <c r="A234" s="23" t="s">
        <v>88</v>
      </c>
      <c r="B234" s="24"/>
      <c r="C234" s="24"/>
      <c r="D234" s="24"/>
      <c r="E234" s="24"/>
      <c r="F234" s="24"/>
      <c r="G234" s="24"/>
      <c r="H234" s="24">
        <v>1000.0</v>
      </c>
      <c r="I234" s="24">
        <v>1000.0</v>
      </c>
      <c r="J234" s="24"/>
      <c r="K234" s="25"/>
      <c r="L234" s="25"/>
      <c r="M234" s="25"/>
      <c r="N234" s="25"/>
      <c r="O234" s="25"/>
      <c r="P234" s="25"/>
      <c r="Q234" s="26">
        <f t="shared" si="95"/>
        <v>2000</v>
      </c>
    </row>
    <row r="235" hidden="1">
      <c r="A235" s="39" t="s">
        <v>22</v>
      </c>
      <c r="B235" s="40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</row>
    <row r="236" hidden="1">
      <c r="A236" s="59" t="s">
        <v>95</v>
      </c>
      <c r="B236" s="43"/>
      <c r="C236" s="44"/>
      <c r="D236" s="44"/>
      <c r="E236" s="45"/>
      <c r="F236" s="45"/>
      <c r="G236" s="45"/>
      <c r="H236" s="45"/>
      <c r="I236" s="44"/>
      <c r="J236" s="44"/>
      <c r="K236" s="44"/>
      <c r="L236" s="44"/>
      <c r="M236" s="44"/>
      <c r="N236" s="44"/>
      <c r="O236" s="44"/>
      <c r="P236" s="44"/>
      <c r="Q236" s="44"/>
    </row>
    <row r="237" hidden="1">
      <c r="A237" s="60" t="s">
        <v>96</v>
      </c>
      <c r="B237" s="46"/>
      <c r="C237" s="45"/>
      <c r="D237" s="45"/>
      <c r="E237" s="45"/>
      <c r="F237" s="45"/>
      <c r="G237" s="45"/>
      <c r="H237" s="44"/>
      <c r="I237" s="44"/>
      <c r="J237" s="44"/>
      <c r="K237" s="44"/>
      <c r="L237" s="44"/>
      <c r="M237" s="44"/>
      <c r="N237" s="44"/>
      <c r="O237" s="44"/>
      <c r="P237" s="44"/>
      <c r="Q237" s="44"/>
    </row>
    <row r="238" hidden="1">
      <c r="A238" s="60" t="s">
        <v>97</v>
      </c>
      <c r="B238" s="43"/>
      <c r="C238" s="45"/>
      <c r="D238" s="45"/>
      <c r="E238" s="45"/>
      <c r="F238" s="45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</row>
    <row r="239" hidden="1">
      <c r="A239" s="60" t="s">
        <v>98</v>
      </c>
      <c r="B239" s="46"/>
      <c r="C239" s="45"/>
      <c r="D239" s="44"/>
      <c r="E239" s="45"/>
      <c r="F239" s="45"/>
      <c r="G239" s="44"/>
      <c r="H239" s="45"/>
      <c r="I239" s="44"/>
      <c r="J239" s="44"/>
      <c r="K239" s="44"/>
      <c r="L239" s="44"/>
      <c r="M239" s="44"/>
      <c r="N239" s="44"/>
      <c r="O239" s="44"/>
      <c r="P239" s="44"/>
      <c r="Q239" s="44"/>
    </row>
    <row r="240" hidden="1">
      <c r="A240" s="1" t="s">
        <v>0</v>
      </c>
      <c r="B240" s="2" t="s">
        <v>1</v>
      </c>
      <c r="C240" s="3" t="s">
        <v>99</v>
      </c>
      <c r="D240" s="3" t="s">
        <v>3</v>
      </c>
      <c r="E240" s="3"/>
      <c r="F240" s="3" t="s">
        <v>58</v>
      </c>
      <c r="G240" s="3" t="s">
        <v>91</v>
      </c>
      <c r="H240" s="3" t="s">
        <v>6</v>
      </c>
      <c r="I240" s="4" t="s">
        <v>92</v>
      </c>
      <c r="J240" s="4" t="s">
        <v>93</v>
      </c>
      <c r="K240" s="4"/>
      <c r="L240" s="4"/>
      <c r="M240" s="4"/>
      <c r="N240" s="4"/>
      <c r="O240" s="4"/>
      <c r="P240" s="4"/>
      <c r="Q240" s="1" t="s">
        <v>0</v>
      </c>
    </row>
    <row r="241" hidden="1">
      <c r="A241" s="47" t="s">
        <v>23</v>
      </c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7" t="s">
        <v>24</v>
      </c>
    </row>
    <row r="242" hidden="1">
      <c r="A242" s="61" t="s">
        <v>95</v>
      </c>
      <c r="B242" s="54">
        <f>B232/3+1000</f>
        <v>13412.33333</v>
      </c>
      <c r="C242" s="52"/>
      <c r="D242" s="62">
        <f>D232/3</f>
        <v>10023</v>
      </c>
      <c r="E242" s="52"/>
      <c r="F242" s="52">
        <f>F232/4</f>
        <v>8000</v>
      </c>
      <c r="G242" s="62"/>
      <c r="H242" s="62">
        <f>H232/3</f>
        <v>9479</v>
      </c>
      <c r="I242" s="52">
        <f>I230/4</f>
        <v>12000</v>
      </c>
      <c r="J242" s="62"/>
      <c r="K242" s="62"/>
      <c r="L242" s="62"/>
      <c r="M242" s="62"/>
      <c r="N242" s="62"/>
      <c r="O242" s="62"/>
      <c r="P242" s="62"/>
      <c r="Q242" s="53">
        <f t="shared" ref="Q242:Q247" si="96">SUM(B242:J242)</f>
        <v>52914.33333</v>
      </c>
    </row>
    <row r="243" hidden="1">
      <c r="A243" s="63" t="s">
        <v>96</v>
      </c>
      <c r="B243" s="54">
        <f>12500+1000</f>
        <v>13500</v>
      </c>
      <c r="C243" s="52"/>
      <c r="D243" s="62">
        <v>10000.0</v>
      </c>
      <c r="E243" s="52"/>
      <c r="F243" s="52">
        <f t="shared" ref="F243:F245" si="97">8000+2000-333</f>
        <v>9667</v>
      </c>
      <c r="G243" s="62"/>
      <c r="H243" s="62">
        <v>9500.0</v>
      </c>
      <c r="I243" s="62">
        <f>I230/4</f>
        <v>12000</v>
      </c>
      <c r="J243" s="62">
        <v>6000.0</v>
      </c>
      <c r="K243" s="62"/>
      <c r="L243" s="62"/>
      <c r="M243" s="62"/>
      <c r="N243" s="62"/>
      <c r="O243" s="62"/>
      <c r="P243" s="62"/>
      <c r="Q243" s="53">
        <f t="shared" si="96"/>
        <v>60667</v>
      </c>
    </row>
    <row r="244" hidden="1">
      <c r="A244" s="63" t="s">
        <v>97</v>
      </c>
      <c r="B244" s="54">
        <f>(B232/3)+1000</f>
        <v>13412.33333</v>
      </c>
      <c r="C244" s="67"/>
      <c r="D244" s="69">
        <f>D232/3</f>
        <v>10023</v>
      </c>
      <c r="E244" s="52"/>
      <c r="F244" s="52">
        <f t="shared" si="97"/>
        <v>9667</v>
      </c>
      <c r="G244" s="69"/>
      <c r="H244" s="67">
        <f>H232/3+(200*4)</f>
        <v>10279</v>
      </c>
      <c r="I244" s="62">
        <f>I230/4+1800</f>
        <v>13800</v>
      </c>
      <c r="J244" s="62">
        <f>6000+(125*4)</f>
        <v>6500</v>
      </c>
      <c r="K244" s="62"/>
      <c r="L244" s="62"/>
      <c r="M244" s="62"/>
      <c r="N244" s="62"/>
      <c r="O244" s="62"/>
      <c r="P244" s="62"/>
      <c r="Q244" s="53">
        <f t="shared" si="96"/>
        <v>63681.33333</v>
      </c>
    </row>
    <row r="245" hidden="1">
      <c r="A245" s="63" t="s">
        <v>98</v>
      </c>
      <c r="B245" s="54">
        <v>13500.0</v>
      </c>
      <c r="C245" s="62">
        <v>8000.0</v>
      </c>
      <c r="D245" s="62">
        <f>D232/3</f>
        <v>10023</v>
      </c>
      <c r="E245" s="62"/>
      <c r="F245" s="62">
        <f t="shared" si="97"/>
        <v>9667</v>
      </c>
      <c r="G245" s="62"/>
      <c r="H245" s="62">
        <f>10000+1500+2500+1000</f>
        <v>15000</v>
      </c>
      <c r="I245" s="52">
        <f>I230/4</f>
        <v>12000</v>
      </c>
      <c r="J245" s="62">
        <v>7000.0</v>
      </c>
      <c r="K245" s="62"/>
      <c r="L245" s="62"/>
      <c r="M245" s="62"/>
      <c r="N245" s="62"/>
      <c r="O245" s="62"/>
      <c r="P245" s="62"/>
      <c r="Q245" s="53">
        <f t="shared" si="96"/>
        <v>75190</v>
      </c>
    </row>
    <row r="246" hidden="1">
      <c r="A246" s="63" t="s">
        <v>100</v>
      </c>
      <c r="B246" s="54">
        <v>13500.0</v>
      </c>
      <c r="C246" s="62">
        <v>8000.0</v>
      </c>
      <c r="D246" s="62">
        <v>10000.0</v>
      </c>
      <c r="E246" s="62"/>
      <c r="F246" s="62">
        <f>8000+2000</f>
        <v>10000</v>
      </c>
      <c r="G246" s="62"/>
      <c r="H246" s="62">
        <v>15000.0</v>
      </c>
      <c r="I246" s="62">
        <v>12000.0</v>
      </c>
      <c r="J246" s="62">
        <f>7000+1000</f>
        <v>8000</v>
      </c>
      <c r="K246" s="62"/>
      <c r="L246" s="62"/>
      <c r="M246" s="62"/>
      <c r="N246" s="62"/>
      <c r="O246" s="62"/>
      <c r="P246" s="62"/>
      <c r="Q246" s="53">
        <f t="shared" si="96"/>
        <v>76500</v>
      </c>
    </row>
    <row r="247" hidden="1">
      <c r="A247" s="63" t="s">
        <v>101</v>
      </c>
      <c r="B247" s="54">
        <v>16500.0</v>
      </c>
      <c r="C247" s="62">
        <f t="shared" ref="C247:C248" si="98">9500+1500</f>
        <v>11000</v>
      </c>
      <c r="D247" s="62">
        <f t="shared" ref="D247:D248" si="99">10000+1700</f>
        <v>11700</v>
      </c>
      <c r="E247" s="62"/>
      <c r="F247" s="62">
        <f t="shared" ref="F247:F248" si="100">8000+1300</f>
        <v>9300</v>
      </c>
      <c r="G247" s="62">
        <f>7000+1100+600</f>
        <v>8700</v>
      </c>
      <c r="H247" s="62">
        <v>15000.0</v>
      </c>
      <c r="I247" s="62">
        <v>16800.0</v>
      </c>
      <c r="J247" s="62">
        <f t="shared" ref="J247:J248" si="101">7000+1200</f>
        <v>8200</v>
      </c>
      <c r="K247" s="62"/>
      <c r="L247" s="62"/>
      <c r="M247" s="62"/>
      <c r="N247" s="62"/>
      <c r="O247" s="62"/>
      <c r="P247" s="62"/>
      <c r="Q247" s="53">
        <f t="shared" si="96"/>
        <v>97200</v>
      </c>
    </row>
    <row r="248" hidden="1">
      <c r="B248" s="54">
        <v>16500.0</v>
      </c>
      <c r="C248" s="62">
        <f t="shared" si="98"/>
        <v>11000</v>
      </c>
      <c r="D248" s="62">
        <f t="shared" si="99"/>
        <v>11700</v>
      </c>
      <c r="E248" s="62"/>
      <c r="F248" s="62">
        <f t="shared" si="100"/>
        <v>9300</v>
      </c>
      <c r="G248" s="62">
        <f>7000+1100</f>
        <v>8100</v>
      </c>
      <c r="H248" s="62">
        <v>15000.0</v>
      </c>
      <c r="I248" s="62">
        <v>16800.0</v>
      </c>
      <c r="J248" s="62">
        <f t="shared" si="101"/>
        <v>8200</v>
      </c>
      <c r="K248" s="62"/>
      <c r="L248" s="62"/>
      <c r="M248" s="62"/>
      <c r="N248" s="62"/>
      <c r="O248" s="62"/>
      <c r="P248" s="62"/>
    </row>
    <row r="249" hidden="1"/>
    <row r="250" hidden="1">
      <c r="D250" t="str">
        <f>SUM(D244+F244+G244+#REF!+H244)</f>
        <v>#REF!</v>
      </c>
    </row>
    <row r="251" hidden="1">
      <c r="A251" s="6" t="s">
        <v>102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8"/>
    </row>
    <row r="252" hidden="1">
      <c r="A252" s="55" t="s">
        <v>103</v>
      </c>
      <c r="B252" s="10">
        <v>13500.0</v>
      </c>
      <c r="C252" s="10">
        <v>9500.0</v>
      </c>
      <c r="D252" s="10">
        <f>D257/4</f>
        <v>10000</v>
      </c>
      <c r="E252" s="10"/>
      <c r="F252" s="10">
        <v>8000.0</v>
      </c>
      <c r="G252" s="10">
        <v>7000.0</v>
      </c>
      <c r="H252" s="10">
        <v>15000.0</v>
      </c>
      <c r="I252" s="10">
        <v>14000.0</v>
      </c>
      <c r="J252" s="10">
        <v>7000.0</v>
      </c>
      <c r="K252" s="10"/>
      <c r="L252" s="10"/>
      <c r="M252" s="10"/>
      <c r="N252" s="10"/>
      <c r="O252" s="10"/>
      <c r="P252" s="10"/>
      <c r="Q252" s="13">
        <f t="shared" ref="Q252:Q255" si="102">SUM(B252:J252)</f>
        <v>84000</v>
      </c>
    </row>
    <row r="253" hidden="1">
      <c r="A253" s="15" t="s">
        <v>104</v>
      </c>
      <c r="B253" s="10">
        <v>13500.0</v>
      </c>
      <c r="C253" s="10">
        <v>9500.0</v>
      </c>
      <c r="D253" s="10">
        <f>D257/4</f>
        <v>10000</v>
      </c>
      <c r="E253" s="10"/>
      <c r="F253" s="10">
        <v>8000.0</v>
      </c>
      <c r="G253" s="10">
        <v>7000.0</v>
      </c>
      <c r="H253" s="10">
        <v>15000.0</v>
      </c>
      <c r="I253" s="10">
        <v>14000.0</v>
      </c>
      <c r="J253" s="10">
        <v>7000.0</v>
      </c>
      <c r="K253" s="10"/>
      <c r="L253" s="10"/>
      <c r="M253" s="10"/>
      <c r="N253" s="10"/>
      <c r="O253" s="10"/>
      <c r="P253" s="10"/>
      <c r="Q253" s="13">
        <f t="shared" si="102"/>
        <v>84000</v>
      </c>
    </row>
    <row r="254" hidden="1">
      <c r="A254" s="15" t="s">
        <v>105</v>
      </c>
      <c r="B254" s="10">
        <v>13500.0</v>
      </c>
      <c r="C254" s="10">
        <v>9500.0</v>
      </c>
      <c r="D254" s="10">
        <f>D257/4</f>
        <v>10000</v>
      </c>
      <c r="E254" s="10"/>
      <c r="F254" s="10">
        <v>8000.0</v>
      </c>
      <c r="G254" s="10">
        <v>7000.0</v>
      </c>
      <c r="H254" s="10">
        <v>15000.0</v>
      </c>
      <c r="I254" s="10">
        <v>14000.0</v>
      </c>
      <c r="J254" s="10">
        <v>7000.0</v>
      </c>
      <c r="K254" s="10"/>
      <c r="L254" s="10"/>
      <c r="M254" s="10"/>
      <c r="N254" s="10"/>
      <c r="O254" s="10"/>
      <c r="P254" s="10"/>
      <c r="Q254" s="13">
        <f t="shared" si="102"/>
        <v>84000</v>
      </c>
    </row>
    <row r="255" hidden="1">
      <c r="A255" s="15" t="s">
        <v>106</v>
      </c>
      <c r="B255" s="16">
        <v>13500.0</v>
      </c>
      <c r="C255" s="16">
        <v>9500.0</v>
      </c>
      <c r="D255" s="16">
        <f>D257/4</f>
        <v>10000</v>
      </c>
      <c r="E255" s="16"/>
      <c r="F255" s="16">
        <v>8000.0</v>
      </c>
      <c r="G255" s="16">
        <v>7000.0</v>
      </c>
      <c r="H255" s="16">
        <v>15000.0</v>
      </c>
      <c r="I255" s="16">
        <v>14000.0</v>
      </c>
      <c r="J255" s="16">
        <v>7000.0</v>
      </c>
      <c r="K255" s="16"/>
      <c r="L255" s="16"/>
      <c r="M255" s="16"/>
      <c r="N255" s="16"/>
      <c r="O255" s="16"/>
      <c r="P255" s="16"/>
      <c r="Q255" s="19">
        <f t="shared" si="102"/>
        <v>84000</v>
      </c>
    </row>
    <row r="256" hidden="1">
      <c r="A256" s="15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9">
        <f>SUM(B256:I256)</f>
        <v>0</v>
      </c>
    </row>
    <row r="257" hidden="1">
      <c r="A257" s="20" t="s">
        <v>15</v>
      </c>
      <c r="B257" s="21">
        <f t="shared" ref="B257:C257" si="103">SUM(B252:B256)</f>
        <v>54000</v>
      </c>
      <c r="C257" s="21">
        <f t="shared" si="103"/>
        <v>38000</v>
      </c>
      <c r="D257" s="21">
        <v>40000.0</v>
      </c>
      <c r="E257" s="21"/>
      <c r="F257" s="21">
        <f t="shared" ref="F257:J257" si="104">SUM(F252:F256)</f>
        <v>32000</v>
      </c>
      <c r="G257" s="21">
        <f t="shared" si="104"/>
        <v>28000</v>
      </c>
      <c r="H257" s="21">
        <f t="shared" si="104"/>
        <v>60000</v>
      </c>
      <c r="I257" s="21">
        <f t="shared" si="104"/>
        <v>56000</v>
      </c>
      <c r="J257" s="21">
        <f t="shared" si="104"/>
        <v>28000</v>
      </c>
      <c r="K257" s="21"/>
      <c r="L257" s="21"/>
      <c r="M257" s="21"/>
      <c r="N257" s="21"/>
      <c r="O257" s="21"/>
      <c r="P257" s="21"/>
      <c r="Q257" s="21">
        <f>SUM(Q252:Q255)</f>
        <v>336000</v>
      </c>
    </row>
    <row r="258" hidden="1">
      <c r="A258" s="27" t="s">
        <v>40</v>
      </c>
      <c r="B258" s="28"/>
      <c r="C258" s="28"/>
      <c r="D258" s="28"/>
      <c r="E258" s="28"/>
      <c r="F258" s="28"/>
      <c r="G258" s="28"/>
      <c r="H258" s="28"/>
      <c r="I258" s="28"/>
      <c r="J258" s="28"/>
      <c r="K258" s="29"/>
      <c r="L258" s="29"/>
      <c r="M258" s="29"/>
      <c r="N258" s="29"/>
      <c r="O258" s="29"/>
      <c r="P258" s="29"/>
      <c r="Q258" s="30">
        <f t="shared" ref="Q258:Q259" si="105">SUM(B258:J258)</f>
        <v>0</v>
      </c>
    </row>
    <row r="259" hidden="1">
      <c r="A259" s="23" t="s">
        <v>107</v>
      </c>
      <c r="B259" s="24"/>
      <c r="C259" s="24"/>
      <c r="D259" s="24"/>
      <c r="E259" s="24"/>
      <c r="F259" s="24"/>
      <c r="G259" s="24"/>
      <c r="H259" s="24"/>
      <c r="I259" s="24"/>
      <c r="J259" s="24"/>
      <c r="K259" s="25"/>
      <c r="L259" s="25"/>
      <c r="M259" s="25"/>
      <c r="N259" s="25"/>
      <c r="O259" s="25"/>
      <c r="P259" s="25"/>
      <c r="Q259" s="26">
        <f t="shared" si="105"/>
        <v>0</v>
      </c>
    </row>
    <row r="260" hidden="1">
      <c r="A260" s="39" t="s">
        <v>22</v>
      </c>
      <c r="B260" s="40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</row>
    <row r="261" hidden="1">
      <c r="A261" s="59" t="s">
        <v>103</v>
      </c>
      <c r="B261" s="43"/>
      <c r="C261" s="44"/>
      <c r="D261" s="44"/>
      <c r="E261" s="45"/>
      <c r="F261" s="45"/>
      <c r="G261" s="45"/>
      <c r="H261" s="45"/>
      <c r="I261" s="44"/>
      <c r="J261" s="44"/>
      <c r="K261" s="44"/>
      <c r="L261" s="44"/>
      <c r="M261" s="44"/>
      <c r="N261" s="44"/>
      <c r="O261" s="44"/>
      <c r="P261" s="44"/>
      <c r="Q261" s="44"/>
    </row>
    <row r="262" hidden="1">
      <c r="A262" s="60" t="s">
        <v>104</v>
      </c>
      <c r="B262" s="46"/>
      <c r="C262" s="45"/>
      <c r="D262" s="45">
        <v>500.0</v>
      </c>
      <c r="E262" s="45"/>
      <c r="F262" s="45"/>
      <c r="G262" s="45"/>
      <c r="H262" s="44"/>
      <c r="I262" s="44"/>
      <c r="J262" s="44"/>
      <c r="K262" s="44"/>
      <c r="L262" s="44"/>
      <c r="M262" s="44"/>
      <c r="N262" s="44"/>
      <c r="O262" s="44"/>
      <c r="P262" s="44"/>
      <c r="Q262" s="44"/>
    </row>
    <row r="263" hidden="1">
      <c r="A263" s="60" t="s">
        <v>105</v>
      </c>
      <c r="B263" s="43"/>
      <c r="C263" s="45"/>
      <c r="D263" s="45"/>
      <c r="E263" s="45"/>
      <c r="F263" s="45">
        <v>160.0</v>
      </c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</row>
    <row r="264" hidden="1">
      <c r="A264" s="60" t="s">
        <v>106</v>
      </c>
      <c r="B264" s="46"/>
      <c r="C264" s="45"/>
      <c r="D264" s="44"/>
      <c r="E264" s="45"/>
      <c r="F264" s="45">
        <v>350.0</v>
      </c>
      <c r="G264" s="44"/>
      <c r="H264" s="45"/>
      <c r="I264" s="44"/>
      <c r="J264" s="44"/>
      <c r="K264" s="44"/>
      <c r="L264" s="44"/>
      <c r="M264" s="44"/>
      <c r="N264" s="44"/>
      <c r="O264" s="44"/>
      <c r="P264" s="44"/>
      <c r="Q264" s="44"/>
    </row>
    <row r="265" hidden="1">
      <c r="A265" s="1" t="s">
        <v>0</v>
      </c>
      <c r="B265" s="2" t="s">
        <v>1</v>
      </c>
      <c r="C265" s="3" t="s">
        <v>90</v>
      </c>
      <c r="D265" s="3" t="s">
        <v>3</v>
      </c>
      <c r="E265" s="3"/>
      <c r="F265" s="3" t="s">
        <v>58</v>
      </c>
      <c r="G265" s="3" t="s">
        <v>91</v>
      </c>
      <c r="H265" s="3" t="s">
        <v>6</v>
      </c>
      <c r="I265" s="4" t="s">
        <v>92</v>
      </c>
      <c r="J265" s="4" t="s">
        <v>93</v>
      </c>
      <c r="K265" s="4"/>
      <c r="L265" s="4"/>
      <c r="M265" s="4"/>
      <c r="N265" s="4"/>
      <c r="O265" s="4"/>
      <c r="P265" s="4"/>
      <c r="Q265" s="1" t="s">
        <v>0</v>
      </c>
    </row>
    <row r="266" hidden="1">
      <c r="A266" s="47" t="s">
        <v>23</v>
      </c>
      <c r="B266" s="48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7" t="s">
        <v>24</v>
      </c>
    </row>
    <row r="267" hidden="1">
      <c r="A267" s="61" t="s">
        <v>103</v>
      </c>
      <c r="B267" s="54">
        <f t="shared" ref="B267:D267" si="106">B252-B261</f>
        <v>13500</v>
      </c>
      <c r="C267" s="52">
        <f t="shared" si="106"/>
        <v>9500</v>
      </c>
      <c r="D267" s="62">
        <f t="shared" si="106"/>
        <v>10000</v>
      </c>
      <c r="E267" s="52"/>
      <c r="F267" s="52">
        <f t="shared" ref="F267:J267" si="107">F252-F261</f>
        <v>8000</v>
      </c>
      <c r="G267" s="62">
        <f t="shared" si="107"/>
        <v>7000</v>
      </c>
      <c r="H267" s="62">
        <f t="shared" si="107"/>
        <v>15000</v>
      </c>
      <c r="I267" s="52">
        <f t="shared" si="107"/>
        <v>14000</v>
      </c>
      <c r="J267" s="62">
        <f t="shared" si="107"/>
        <v>7000</v>
      </c>
      <c r="K267" s="62"/>
      <c r="L267" s="62"/>
      <c r="M267" s="62"/>
      <c r="N267" s="62"/>
      <c r="O267" s="62"/>
      <c r="P267" s="62"/>
      <c r="Q267" s="52"/>
    </row>
    <row r="268" hidden="1">
      <c r="A268" s="63" t="s">
        <v>104</v>
      </c>
      <c r="B268" s="54">
        <f t="shared" ref="B268:D268" si="108">B253-B262</f>
        <v>13500</v>
      </c>
      <c r="C268" s="52">
        <f t="shared" si="108"/>
        <v>9500</v>
      </c>
      <c r="D268" s="62">
        <f t="shared" si="108"/>
        <v>9500</v>
      </c>
      <c r="E268" s="52"/>
      <c r="F268" s="52">
        <f t="shared" ref="F268:J268" si="109">F253-F262</f>
        <v>8000</v>
      </c>
      <c r="G268" s="62">
        <f t="shared" si="109"/>
        <v>7000</v>
      </c>
      <c r="H268" s="62">
        <f t="shared" si="109"/>
        <v>15000</v>
      </c>
      <c r="I268" s="62">
        <f t="shared" si="109"/>
        <v>14000</v>
      </c>
      <c r="J268" s="62">
        <f t="shared" si="109"/>
        <v>7000</v>
      </c>
      <c r="K268" s="62"/>
      <c r="L268" s="62"/>
      <c r="M268" s="62"/>
      <c r="N268" s="62"/>
      <c r="O268" s="62"/>
      <c r="P268" s="62"/>
      <c r="Q268" s="52"/>
    </row>
    <row r="269" hidden="1">
      <c r="A269" s="63" t="s">
        <v>105</v>
      </c>
      <c r="B269" s="54">
        <f t="shared" ref="B269:D269" si="110">B254-B263</f>
        <v>13500</v>
      </c>
      <c r="C269" s="67">
        <f t="shared" si="110"/>
        <v>9500</v>
      </c>
      <c r="D269" s="69">
        <f t="shared" si="110"/>
        <v>10000</v>
      </c>
      <c r="E269" s="52"/>
      <c r="F269" s="52">
        <f t="shared" ref="F269:J269" si="111">F254-F263</f>
        <v>7840</v>
      </c>
      <c r="G269" s="69">
        <f t="shared" si="111"/>
        <v>7000</v>
      </c>
      <c r="H269" s="67">
        <f t="shared" si="111"/>
        <v>15000</v>
      </c>
      <c r="I269" s="62">
        <f t="shared" si="111"/>
        <v>14000</v>
      </c>
      <c r="J269" s="62">
        <f t="shared" si="111"/>
        <v>7000</v>
      </c>
      <c r="K269" s="62"/>
      <c r="L269" s="62"/>
      <c r="M269" s="62"/>
      <c r="N269" s="62"/>
      <c r="O269" s="62"/>
      <c r="P269" s="62"/>
      <c r="Q269" s="52"/>
    </row>
    <row r="270" hidden="1">
      <c r="A270" s="63" t="s">
        <v>106</v>
      </c>
      <c r="B270" s="54">
        <f t="shared" ref="B270:C270" si="112">B255-B264</f>
        <v>13500</v>
      </c>
      <c r="C270" s="62">
        <f t="shared" si="112"/>
        <v>9500</v>
      </c>
      <c r="D270" s="62">
        <f>D254-D264</f>
        <v>10000</v>
      </c>
      <c r="E270" s="62"/>
      <c r="F270" s="62">
        <f t="shared" ref="F270:J270" si="113">F255-F264</f>
        <v>7650</v>
      </c>
      <c r="G270" s="62">
        <f t="shared" si="113"/>
        <v>7000</v>
      </c>
      <c r="H270" s="62">
        <f t="shared" si="113"/>
        <v>15000</v>
      </c>
      <c r="I270" s="52">
        <f t="shared" si="113"/>
        <v>14000</v>
      </c>
      <c r="J270" s="62">
        <f t="shared" si="113"/>
        <v>7000</v>
      </c>
      <c r="K270" s="62"/>
      <c r="L270" s="62"/>
      <c r="M270" s="62"/>
      <c r="N270" s="62"/>
      <c r="O270" s="62"/>
      <c r="P270" s="62"/>
      <c r="Q270" s="52"/>
    </row>
    <row r="271" hidden="1">
      <c r="A271" s="63" t="s">
        <v>108</v>
      </c>
      <c r="B271" s="54">
        <v>13500.0</v>
      </c>
      <c r="C271" s="62">
        <v>9500.0</v>
      </c>
      <c r="D271" s="62">
        <v>10000.0</v>
      </c>
      <c r="E271" s="62"/>
      <c r="F271" s="62">
        <v>8000.0</v>
      </c>
      <c r="G271" s="62">
        <v>7000.0</v>
      </c>
      <c r="H271" s="62">
        <v>15000.0</v>
      </c>
      <c r="I271" s="62">
        <v>14000.0</v>
      </c>
      <c r="J271" s="62">
        <v>7000.0</v>
      </c>
      <c r="K271" s="62"/>
      <c r="L271" s="62"/>
      <c r="M271" s="62"/>
      <c r="N271" s="62"/>
      <c r="O271" s="62"/>
      <c r="P271" s="62"/>
      <c r="Q271" s="52"/>
    </row>
    <row r="272" hidden="1">
      <c r="A272" s="63"/>
      <c r="B272" s="54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52"/>
    </row>
    <row r="273" hidden="1"/>
    <row r="274">
      <c r="A274" s="72" t="s">
        <v>475</v>
      </c>
    </row>
    <row r="275" hidden="1"/>
    <row r="276" hidden="1">
      <c r="A276" s="126" t="s">
        <v>0</v>
      </c>
      <c r="B276" s="127" t="s">
        <v>90</v>
      </c>
      <c r="C276" s="127" t="s">
        <v>3</v>
      </c>
      <c r="D276" s="183" t="s">
        <v>109</v>
      </c>
      <c r="E276" s="183" t="s">
        <v>155</v>
      </c>
      <c r="F276" s="183" t="s">
        <v>195</v>
      </c>
      <c r="G276" s="183" t="s">
        <v>476</v>
      </c>
      <c r="H276" s="129" t="s">
        <v>51</v>
      </c>
      <c r="I276" s="129" t="s">
        <v>244</v>
      </c>
      <c r="J276" s="129" t="s">
        <v>232</v>
      </c>
      <c r="K276" s="129" t="s">
        <v>409</v>
      </c>
      <c r="L276" s="129"/>
      <c r="M276" s="129" t="s">
        <v>477</v>
      </c>
      <c r="N276" s="128" t="s">
        <v>110</v>
      </c>
    </row>
    <row r="277" hidden="1">
      <c r="A277" s="130" t="s">
        <v>12</v>
      </c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2"/>
    </row>
    <row r="278" hidden="1">
      <c r="A278" s="133" t="s">
        <v>111</v>
      </c>
      <c r="B278" s="134">
        <v>225000.0</v>
      </c>
      <c r="C278" s="134">
        <v>225000.0</v>
      </c>
      <c r="D278" s="134">
        <v>200000.0</v>
      </c>
      <c r="E278" s="134">
        <v>110000.0</v>
      </c>
      <c r="F278" s="134">
        <v>225000.0</v>
      </c>
      <c r="G278" s="134">
        <v>150000.0</v>
      </c>
      <c r="H278" s="134">
        <v>130000.0</v>
      </c>
      <c r="I278" s="134">
        <v>150000.0</v>
      </c>
      <c r="J278" s="134">
        <v>100000.0</v>
      </c>
      <c r="K278" s="134">
        <v>70000.0</v>
      </c>
      <c r="L278" s="134"/>
      <c r="M278" s="134">
        <v>100000.0</v>
      </c>
      <c r="N278" s="136">
        <f t="shared" ref="N278:N281" si="114">SUM(B278:J278)</f>
        <v>1515000</v>
      </c>
    </row>
    <row r="279" hidden="1">
      <c r="A279" s="137"/>
      <c r="B279" s="134">
        <v>225000.0</v>
      </c>
      <c r="C279" s="134">
        <v>225000.0</v>
      </c>
      <c r="D279" s="134">
        <v>200000.0</v>
      </c>
      <c r="E279" s="134">
        <v>110000.0</v>
      </c>
      <c r="F279" s="134">
        <v>225000.0</v>
      </c>
      <c r="G279" s="134">
        <v>150000.0</v>
      </c>
      <c r="H279" s="134">
        <v>130000.0</v>
      </c>
      <c r="I279" s="134">
        <v>150000.0</v>
      </c>
      <c r="J279" s="134">
        <v>100000.0</v>
      </c>
      <c r="K279" s="134">
        <v>70000.0</v>
      </c>
      <c r="L279" s="134"/>
      <c r="M279" s="134">
        <v>100000.0</v>
      </c>
      <c r="N279" s="136">
        <f t="shared" si="114"/>
        <v>1515000</v>
      </c>
      <c r="Q279" s="91"/>
    </row>
    <row r="280" hidden="1">
      <c r="A280" s="137"/>
      <c r="B280" s="134">
        <v>225000.0</v>
      </c>
      <c r="C280" s="134">
        <v>225000.0</v>
      </c>
      <c r="D280" s="134">
        <v>200000.0</v>
      </c>
      <c r="E280" s="134">
        <v>110000.0</v>
      </c>
      <c r="F280" s="134">
        <v>225000.0</v>
      </c>
      <c r="G280" s="134">
        <v>150000.0</v>
      </c>
      <c r="H280" s="134">
        <v>130000.0</v>
      </c>
      <c r="I280" s="134">
        <v>150000.0</v>
      </c>
      <c r="J280" s="134">
        <v>100000.0</v>
      </c>
      <c r="K280" s="134">
        <v>70000.0</v>
      </c>
      <c r="L280" s="134"/>
      <c r="M280" s="134">
        <v>100000.0</v>
      </c>
      <c r="N280" s="136">
        <f t="shared" si="114"/>
        <v>1515000</v>
      </c>
    </row>
    <row r="281" hidden="1">
      <c r="A281" s="138"/>
      <c r="B281" s="134">
        <v>225000.0</v>
      </c>
      <c r="C281" s="134">
        <v>225000.0</v>
      </c>
      <c r="D281" s="134">
        <v>200000.0</v>
      </c>
      <c r="E281" s="134">
        <v>110000.0</v>
      </c>
      <c r="F281" s="134">
        <v>225000.0</v>
      </c>
      <c r="G281" s="134">
        <v>150000.0</v>
      </c>
      <c r="H281" s="134">
        <v>130000.0</v>
      </c>
      <c r="I281" s="134">
        <v>150000.0</v>
      </c>
      <c r="J281" s="134">
        <v>100000.0</v>
      </c>
      <c r="K281" s="134">
        <v>70000.0</v>
      </c>
      <c r="L281" s="134"/>
      <c r="M281" s="134">
        <v>100000.0</v>
      </c>
      <c r="N281" s="139">
        <f t="shared" si="114"/>
        <v>1515000</v>
      </c>
    </row>
    <row r="282" hidden="1">
      <c r="A282" s="140" t="s">
        <v>113</v>
      </c>
      <c r="B282" s="141">
        <f t="shared" ref="B282:K282" si="115">SUM(B278:B281)</f>
        <v>900000</v>
      </c>
      <c r="C282" s="141">
        <f t="shared" si="115"/>
        <v>900000</v>
      </c>
      <c r="D282" s="141">
        <f t="shared" si="115"/>
        <v>800000</v>
      </c>
      <c r="E282" s="141">
        <f t="shared" si="115"/>
        <v>440000</v>
      </c>
      <c r="F282" s="141">
        <f t="shared" si="115"/>
        <v>900000</v>
      </c>
      <c r="G282" s="141">
        <f t="shared" si="115"/>
        <v>600000</v>
      </c>
      <c r="H282" s="141">
        <f t="shared" si="115"/>
        <v>520000</v>
      </c>
      <c r="I282" s="141">
        <f t="shared" si="115"/>
        <v>600000</v>
      </c>
      <c r="J282" s="141">
        <f t="shared" si="115"/>
        <v>400000</v>
      </c>
      <c r="K282" s="141">
        <f t="shared" si="115"/>
        <v>280000</v>
      </c>
      <c r="L282" s="141"/>
      <c r="M282" s="141">
        <f t="shared" ref="M282:N282" si="116">SUM(M278:M281)</f>
        <v>400000</v>
      </c>
      <c r="N282" s="141">
        <f t="shared" si="116"/>
        <v>6060000</v>
      </c>
    </row>
    <row r="283" hidden="1">
      <c r="A283" s="157" t="s">
        <v>138</v>
      </c>
      <c r="B283" s="158">
        <f>B279/6/8</f>
        <v>4687.5</v>
      </c>
      <c r="C283" s="158">
        <f>C278/8/6</f>
        <v>4687.5</v>
      </c>
      <c r="D283" s="158">
        <f>D278/6/8</f>
        <v>4166.666667</v>
      </c>
      <c r="E283" s="158"/>
      <c r="F283" s="158">
        <f t="shared" ref="F283:H283" si="117">F278/6/8</f>
        <v>4687.5</v>
      </c>
      <c r="G283" s="158">
        <f t="shared" si="117"/>
        <v>3125</v>
      </c>
      <c r="H283" s="158">
        <f t="shared" si="117"/>
        <v>2708.333333</v>
      </c>
      <c r="I283" s="158">
        <f>I279/6/8</f>
        <v>3125</v>
      </c>
      <c r="J283" s="158">
        <f>J278/8/6</f>
        <v>2083.333333</v>
      </c>
      <c r="K283" s="159">
        <f>K278/6/8</f>
        <v>1458.333333</v>
      </c>
      <c r="L283" s="159"/>
      <c r="M283" s="159">
        <f t="shared" ref="M283:N283" si="118">M281/6/8</f>
        <v>2083.333333</v>
      </c>
      <c r="N283" s="159">
        <f t="shared" si="118"/>
        <v>31562.5</v>
      </c>
      <c r="O283" s="122"/>
    </row>
    <row r="284" hidden="1">
      <c r="M284">
        <f>M281/6</f>
        <v>16666.66667</v>
      </c>
    </row>
    <row r="285" hidden="1">
      <c r="A285" s="195" t="s">
        <v>478</v>
      </c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7"/>
    </row>
    <row r="286" hidden="1">
      <c r="A286" s="200" t="s">
        <v>288</v>
      </c>
      <c r="B286" s="222"/>
      <c r="C286" s="221"/>
      <c r="D286" s="199"/>
      <c r="E286" s="199"/>
      <c r="F286" s="199"/>
      <c r="G286" s="221"/>
      <c r="H286" s="199"/>
      <c r="I286" s="221"/>
      <c r="J286" s="199"/>
      <c r="K286" s="221"/>
      <c r="L286" s="202"/>
      <c r="M286" s="202"/>
      <c r="N286" s="202"/>
    </row>
    <row r="287" hidden="1">
      <c r="A287" s="198" t="s">
        <v>40</v>
      </c>
      <c r="B287" s="221"/>
      <c r="C287" s="221"/>
      <c r="D287" s="221"/>
      <c r="E287" s="221"/>
      <c r="F287" s="221"/>
      <c r="G287" s="199"/>
      <c r="H287" s="221"/>
      <c r="I287" s="199"/>
      <c r="J287" s="199"/>
      <c r="K287" s="199"/>
      <c r="L287" s="251"/>
      <c r="M287" s="251"/>
      <c r="N287" s="251"/>
    </row>
    <row r="288" hidden="1">
      <c r="A288" s="200" t="s">
        <v>255</v>
      </c>
      <c r="B288" s="211"/>
      <c r="C288" s="222"/>
      <c r="D288" s="211"/>
      <c r="E288" s="222"/>
      <c r="F288" s="222"/>
      <c r="G288" s="221"/>
      <c r="H288" s="221"/>
      <c r="I288" s="221"/>
      <c r="J288" s="221"/>
      <c r="K288" s="211"/>
      <c r="L288" s="252"/>
      <c r="M288" s="252"/>
      <c r="N288" s="252"/>
    </row>
    <row r="289" hidden="1">
      <c r="A289" s="200" t="s">
        <v>295</v>
      </c>
      <c r="B289" s="255"/>
      <c r="C289" s="255"/>
      <c r="D289" s="255"/>
      <c r="E289" s="256"/>
      <c r="F289" s="256"/>
      <c r="G289" s="255"/>
      <c r="H289" s="255"/>
      <c r="I289" s="255"/>
      <c r="J289" s="255"/>
      <c r="K289" s="255"/>
      <c r="L289" s="257"/>
      <c r="M289" s="257"/>
      <c r="N289" s="257"/>
    </row>
    <row r="290" hidden="1">
      <c r="A290" s="200" t="s">
        <v>453</v>
      </c>
      <c r="B290" s="255"/>
      <c r="C290" s="255"/>
      <c r="D290" s="255"/>
      <c r="E290" s="255"/>
      <c r="F290" s="255"/>
      <c r="G290" s="255"/>
      <c r="H290" s="255"/>
      <c r="I290" s="255"/>
      <c r="J290" s="255"/>
      <c r="K290" s="255"/>
      <c r="L290" s="255"/>
      <c r="M290" s="255">
        <v>11340.0</v>
      </c>
      <c r="N290" s="257"/>
    </row>
    <row r="291" hidden="1">
      <c r="A291" s="205" t="s">
        <v>118</v>
      </c>
      <c r="B291" s="226">
        <f t="shared" ref="B291:D291" si="119">B278</f>
        <v>225000</v>
      </c>
      <c r="C291" s="226">
        <f t="shared" si="119"/>
        <v>225000</v>
      </c>
      <c r="D291" s="226">
        <f t="shared" si="119"/>
        <v>200000</v>
      </c>
      <c r="E291" s="226"/>
      <c r="F291" s="226">
        <f t="shared" ref="F291:K291" si="120">F278</f>
        <v>225000</v>
      </c>
      <c r="G291" s="226">
        <f t="shared" si="120"/>
        <v>150000</v>
      </c>
      <c r="H291" s="226">
        <f t="shared" si="120"/>
        <v>130000</v>
      </c>
      <c r="I291" s="226">
        <f t="shared" si="120"/>
        <v>150000</v>
      </c>
      <c r="J291" s="226">
        <f t="shared" si="120"/>
        <v>100000</v>
      </c>
      <c r="K291" s="226">
        <f t="shared" si="120"/>
        <v>70000</v>
      </c>
      <c r="L291" s="206"/>
      <c r="M291" s="206">
        <f>M284*4+M287-M290</f>
        <v>55326.66667</v>
      </c>
      <c r="N291" s="206">
        <f>SUM(C291:K291)</f>
        <v>1250000</v>
      </c>
    </row>
    <row r="292" hidden="1">
      <c r="A292" s="126" t="s">
        <v>0</v>
      </c>
      <c r="B292" s="127"/>
      <c r="C292" s="127"/>
      <c r="D292" s="183"/>
      <c r="E292" s="183"/>
      <c r="F292" s="183"/>
      <c r="G292" s="183"/>
      <c r="H292" s="129"/>
      <c r="I292" s="129"/>
      <c r="J292" s="129"/>
      <c r="K292" s="129"/>
      <c r="L292" s="129"/>
      <c r="M292" s="129"/>
      <c r="N292" s="128" t="s">
        <v>110</v>
      </c>
    </row>
    <row r="293" hidden="1">
      <c r="B293" s="72" t="s">
        <v>458</v>
      </c>
      <c r="C293" s="72" t="s">
        <v>458</v>
      </c>
      <c r="D293" s="72" t="s">
        <v>21</v>
      </c>
      <c r="F293" s="72" t="s">
        <v>21</v>
      </c>
      <c r="G293" s="72" t="s">
        <v>458</v>
      </c>
      <c r="H293" s="72" t="s">
        <v>458</v>
      </c>
      <c r="I293" s="72" t="s">
        <v>458</v>
      </c>
      <c r="J293" s="72" t="s">
        <v>458</v>
      </c>
      <c r="K293" s="72" t="s">
        <v>458</v>
      </c>
    </row>
    <row r="294" hidden="1"/>
    <row r="295" hidden="1">
      <c r="A295" s="195" t="s">
        <v>479</v>
      </c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7"/>
    </row>
    <row r="296" hidden="1">
      <c r="A296" s="200" t="s">
        <v>288</v>
      </c>
      <c r="B296" s="222"/>
      <c r="C296" s="221"/>
      <c r="D296" s="199"/>
      <c r="E296" s="199"/>
      <c r="F296" s="199"/>
      <c r="G296" s="221"/>
      <c r="H296" s="199"/>
      <c r="I296" s="221"/>
      <c r="J296" s="199"/>
      <c r="K296" s="221"/>
      <c r="L296" s="202"/>
      <c r="M296" s="202"/>
      <c r="N296" s="202"/>
    </row>
    <row r="297" hidden="1">
      <c r="A297" s="198" t="s">
        <v>40</v>
      </c>
      <c r="B297" s="221"/>
      <c r="C297" s="221"/>
      <c r="D297" s="221"/>
      <c r="E297" s="221"/>
      <c r="F297" s="221"/>
      <c r="G297" s="199"/>
      <c r="H297" s="221"/>
      <c r="I297" s="199"/>
      <c r="J297" s="199"/>
      <c r="K297" s="199"/>
      <c r="L297" s="251"/>
      <c r="M297" s="251"/>
      <c r="N297" s="251"/>
    </row>
    <row r="298" hidden="1">
      <c r="A298" s="200" t="s">
        <v>255</v>
      </c>
      <c r="B298" s="211"/>
      <c r="C298" s="222"/>
      <c r="D298" s="211"/>
      <c r="E298" s="222"/>
      <c r="F298" s="222"/>
      <c r="G298" s="221"/>
      <c r="H298" s="221"/>
      <c r="I298" s="221"/>
      <c r="J298" s="221"/>
      <c r="K298" s="211"/>
      <c r="L298" s="252"/>
      <c r="M298" s="252"/>
      <c r="N298" s="252"/>
    </row>
    <row r="299" hidden="1">
      <c r="A299" s="200" t="s">
        <v>119</v>
      </c>
      <c r="B299" s="255"/>
      <c r="C299" s="255"/>
      <c r="D299" s="255">
        <f>D278*2</f>
        <v>400000</v>
      </c>
      <c r="E299" s="256"/>
      <c r="F299" s="256"/>
      <c r="G299" s="255"/>
      <c r="H299" s="255"/>
      <c r="I299" s="255"/>
      <c r="J299" s="255"/>
      <c r="K299" s="255"/>
      <c r="L299" s="257"/>
      <c r="M299" s="257"/>
      <c r="N299" s="257"/>
    </row>
    <row r="300" hidden="1">
      <c r="A300" s="200" t="s">
        <v>453</v>
      </c>
      <c r="B300" s="255"/>
      <c r="C300" s="255"/>
      <c r="D300" s="255"/>
      <c r="E300" s="255"/>
      <c r="F300" s="255"/>
      <c r="G300" s="255"/>
      <c r="H300" s="255"/>
      <c r="I300" s="255"/>
      <c r="J300" s="255"/>
      <c r="K300" s="255">
        <v>4000.0</v>
      </c>
      <c r="L300" s="255"/>
      <c r="M300" s="255">
        <v>5880.0</v>
      </c>
      <c r="N300" s="257"/>
    </row>
    <row r="301" hidden="1">
      <c r="A301" s="205" t="s">
        <v>118</v>
      </c>
      <c r="B301" s="226">
        <f>B280</f>
        <v>225000</v>
      </c>
      <c r="C301" s="226">
        <f>C279</f>
        <v>225000</v>
      </c>
      <c r="D301" s="226">
        <f>D278+D299</f>
        <v>600000</v>
      </c>
      <c r="E301" s="226"/>
      <c r="F301" s="226">
        <f>F280</f>
        <v>225000</v>
      </c>
      <c r="G301" s="226">
        <v>150000.0</v>
      </c>
      <c r="H301" s="226">
        <f>H279</f>
        <v>130000</v>
      </c>
      <c r="I301" s="226">
        <f>I281</f>
        <v>150000</v>
      </c>
      <c r="J301" s="226" t="str">
        <f>J288</f>
        <v/>
      </c>
      <c r="K301" s="226">
        <f>K280-K300</f>
        <v>66000</v>
      </c>
      <c r="L301" s="206"/>
      <c r="M301" s="206">
        <f>M280-M300</f>
        <v>94120</v>
      </c>
      <c r="N301" s="206">
        <f>SUM(C301:K301)</f>
        <v>1546000</v>
      </c>
    </row>
    <row r="302" hidden="1">
      <c r="A302" s="126" t="s">
        <v>0</v>
      </c>
      <c r="B302" s="127"/>
      <c r="C302" s="127"/>
      <c r="D302" s="183"/>
      <c r="E302" s="183"/>
      <c r="F302" s="183"/>
      <c r="G302" s="183"/>
      <c r="H302" s="129"/>
      <c r="I302" s="129"/>
      <c r="J302" s="129"/>
      <c r="K302" s="129"/>
      <c r="L302" s="129"/>
      <c r="M302" s="129"/>
      <c r="N302" s="128" t="s">
        <v>110</v>
      </c>
    </row>
    <row r="303" hidden="1">
      <c r="C303" s="72" t="s">
        <v>458</v>
      </c>
      <c r="D303" s="72" t="s">
        <v>480</v>
      </c>
      <c r="F303" s="72" t="s">
        <v>21</v>
      </c>
      <c r="G303" s="72" t="s">
        <v>481</v>
      </c>
      <c r="H303" s="72" t="s">
        <v>458</v>
      </c>
      <c r="I303" s="72" t="s">
        <v>458</v>
      </c>
      <c r="J303" s="72" t="s">
        <v>482</v>
      </c>
      <c r="K303" s="72" t="s">
        <v>458</v>
      </c>
      <c r="L303" s="72"/>
      <c r="M303" s="72" t="s">
        <v>458</v>
      </c>
    </row>
    <row r="304" hidden="1">
      <c r="D304" s="72" t="s">
        <v>483</v>
      </c>
      <c r="G304" s="72" t="s">
        <v>484</v>
      </c>
    </row>
    <row r="305" hidden="1">
      <c r="A305" s="195" t="s">
        <v>485</v>
      </c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7"/>
    </row>
    <row r="306" hidden="1">
      <c r="A306" s="200" t="s">
        <v>288</v>
      </c>
      <c r="B306" s="222"/>
      <c r="C306" s="221"/>
      <c r="D306" s="199"/>
      <c r="E306" s="199"/>
      <c r="F306" s="199"/>
      <c r="G306" s="221"/>
      <c r="H306" s="199"/>
      <c r="I306" s="221"/>
      <c r="J306" s="199"/>
      <c r="K306" s="221"/>
      <c r="L306" s="202"/>
      <c r="M306" s="202"/>
      <c r="N306" s="202"/>
    </row>
    <row r="307" hidden="1">
      <c r="A307" s="198" t="s">
        <v>40</v>
      </c>
      <c r="B307" s="221"/>
      <c r="C307" s="221"/>
      <c r="D307" s="221"/>
      <c r="E307" s="221"/>
      <c r="F307" s="221"/>
      <c r="G307" s="199"/>
      <c r="H307" s="221"/>
      <c r="I307" s="199"/>
      <c r="J307" s="199"/>
      <c r="K307" s="199"/>
      <c r="L307" s="251"/>
      <c r="M307" s="251"/>
      <c r="N307" s="251"/>
    </row>
    <row r="308" hidden="1">
      <c r="A308" s="200" t="s">
        <v>255</v>
      </c>
      <c r="B308" s="211"/>
      <c r="C308" s="222"/>
      <c r="D308" s="211"/>
      <c r="E308" s="222"/>
      <c r="F308" s="222">
        <f>F280</f>
        <v>225000</v>
      </c>
      <c r="G308" s="221"/>
      <c r="H308" s="221"/>
      <c r="I308" s="221"/>
      <c r="J308" s="221"/>
      <c r="K308" s="211"/>
      <c r="L308" s="252"/>
      <c r="M308" s="252"/>
      <c r="N308" s="252"/>
    </row>
    <row r="309" hidden="1">
      <c r="A309" s="200" t="s">
        <v>119</v>
      </c>
      <c r="B309" s="255"/>
      <c r="C309" s="255"/>
      <c r="D309" s="255">
        <f>D288*2</f>
        <v>0</v>
      </c>
      <c r="E309" s="256"/>
      <c r="F309" s="256"/>
      <c r="G309" s="255"/>
      <c r="H309" s="255"/>
      <c r="I309" s="255"/>
      <c r="J309" s="255"/>
      <c r="K309" s="255"/>
      <c r="L309" s="257"/>
      <c r="M309" s="257"/>
      <c r="N309" s="257"/>
    </row>
    <row r="310" hidden="1">
      <c r="A310" s="200" t="s">
        <v>453</v>
      </c>
      <c r="B310" s="255"/>
      <c r="C310" s="255"/>
      <c r="D310" s="255"/>
      <c r="E310" s="255"/>
      <c r="F310" s="255"/>
      <c r="G310" s="255"/>
      <c r="H310" s="255"/>
      <c r="I310" s="255"/>
      <c r="J310" s="255"/>
      <c r="K310" s="255"/>
      <c r="L310" s="255"/>
      <c r="M310" s="255"/>
      <c r="N310" s="257"/>
    </row>
    <row r="311" hidden="1">
      <c r="A311" s="205" t="s">
        <v>118</v>
      </c>
      <c r="B311" s="226">
        <f>B281</f>
        <v>225000</v>
      </c>
      <c r="C311" s="226">
        <f>C279</f>
        <v>225000</v>
      </c>
      <c r="D311" s="238">
        <f>D288+D309</f>
        <v>0</v>
      </c>
      <c r="E311" s="226">
        <f>E280</f>
        <v>110000</v>
      </c>
      <c r="F311" s="258">
        <f>F279+F308</f>
        <v>450000</v>
      </c>
      <c r="G311" s="226">
        <f t="shared" ref="G311:H311" si="121">G280</f>
        <v>150000</v>
      </c>
      <c r="H311" s="226">
        <f t="shared" si="121"/>
        <v>130000</v>
      </c>
      <c r="I311" s="226">
        <f>I291</f>
        <v>150000</v>
      </c>
      <c r="J311" s="305" t="s">
        <v>43</v>
      </c>
      <c r="K311" s="305" t="s">
        <v>43</v>
      </c>
      <c r="L311" s="206"/>
      <c r="M311" s="206">
        <f>M281-M310</f>
        <v>100000</v>
      </c>
      <c r="N311" s="206">
        <f>SUM(B311:K311)</f>
        <v>1440000</v>
      </c>
    </row>
    <row r="312" hidden="1">
      <c r="A312" s="126" t="s">
        <v>0</v>
      </c>
      <c r="B312" s="127" t="s">
        <v>90</v>
      </c>
      <c r="C312" s="127" t="s">
        <v>3</v>
      </c>
      <c r="D312" s="183" t="s">
        <v>109</v>
      </c>
      <c r="E312" s="183" t="s">
        <v>155</v>
      </c>
      <c r="F312" s="183" t="s">
        <v>195</v>
      </c>
      <c r="G312" s="183" t="s">
        <v>476</v>
      </c>
      <c r="H312" s="129" t="s">
        <v>51</v>
      </c>
      <c r="I312" s="129" t="s">
        <v>244</v>
      </c>
      <c r="J312" s="129" t="s">
        <v>232</v>
      </c>
      <c r="K312" s="129" t="s">
        <v>409</v>
      </c>
      <c r="L312" s="129"/>
      <c r="M312" s="129" t="s">
        <v>477</v>
      </c>
      <c r="N312" s="128" t="s">
        <v>110</v>
      </c>
    </row>
    <row r="313" hidden="1"/>
    <row r="314" hidden="1"/>
    <row r="315" hidden="1">
      <c r="A315" s="195" t="s">
        <v>486</v>
      </c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7"/>
    </row>
    <row r="316" hidden="1">
      <c r="A316" s="200" t="s">
        <v>288</v>
      </c>
      <c r="B316" s="222"/>
      <c r="C316" s="221"/>
      <c r="D316" s="199"/>
      <c r="E316" s="199"/>
      <c r="F316" s="199"/>
      <c r="G316" s="221"/>
      <c r="H316" s="199"/>
      <c r="I316" s="221"/>
      <c r="J316" s="199"/>
      <c r="K316" s="221"/>
      <c r="L316" s="202"/>
      <c r="M316" s="202"/>
      <c r="N316" s="202"/>
    </row>
    <row r="317" hidden="1">
      <c r="A317" s="198" t="s">
        <v>40</v>
      </c>
      <c r="B317" s="221"/>
      <c r="C317" s="221"/>
      <c r="D317" s="221"/>
      <c r="E317" s="221"/>
      <c r="F317" s="221"/>
      <c r="G317" s="199"/>
      <c r="H317" s="221"/>
      <c r="I317" s="199"/>
      <c r="J317" s="199"/>
      <c r="K317" s="199"/>
      <c r="L317" s="251"/>
      <c r="M317" s="251"/>
      <c r="N317" s="251"/>
    </row>
    <row r="318" hidden="1">
      <c r="A318" s="200" t="s">
        <v>255</v>
      </c>
      <c r="B318" s="211"/>
      <c r="C318" s="222"/>
      <c r="D318" s="211"/>
      <c r="E318" s="222"/>
      <c r="F318" s="222" t="str">
        <f>F290</f>
        <v/>
      </c>
      <c r="G318" s="221"/>
      <c r="H318" s="221"/>
      <c r="I318" s="221"/>
      <c r="J318" s="221"/>
      <c r="K318" s="211"/>
      <c r="L318" s="252"/>
      <c r="M318" s="252"/>
      <c r="N318" s="252"/>
    </row>
    <row r="319" hidden="1">
      <c r="A319" s="200" t="s">
        <v>119</v>
      </c>
      <c r="B319" s="255"/>
      <c r="C319" s="255">
        <f>C280*2</f>
        <v>450000</v>
      </c>
      <c r="D319" s="255">
        <f>D298*2</f>
        <v>0</v>
      </c>
      <c r="E319" s="256"/>
      <c r="F319" s="256"/>
      <c r="G319" s="255"/>
      <c r="H319" s="255"/>
      <c r="I319" s="255">
        <f>I281</f>
        <v>150000</v>
      </c>
      <c r="J319" s="255"/>
      <c r="K319" s="255"/>
      <c r="L319" s="257"/>
      <c r="M319" s="257"/>
      <c r="N319" s="257"/>
    </row>
    <row r="320" hidden="1">
      <c r="A320" s="200" t="s">
        <v>453</v>
      </c>
      <c r="B320" s="255"/>
      <c r="C320" s="255"/>
      <c r="D320" s="255"/>
      <c r="E320" s="255"/>
      <c r="F320" s="255"/>
      <c r="G320" s="255"/>
      <c r="H320" s="255"/>
      <c r="I320" s="255"/>
      <c r="J320" s="255"/>
      <c r="K320" s="255"/>
      <c r="L320" s="255"/>
      <c r="M320" s="255">
        <f>4900+8330+2240+2030</f>
        <v>17500</v>
      </c>
      <c r="N320" s="257"/>
    </row>
    <row r="321" hidden="1">
      <c r="A321" s="205" t="s">
        <v>118</v>
      </c>
      <c r="B321" s="226">
        <f>B291</f>
        <v>225000</v>
      </c>
      <c r="C321" s="226">
        <f>C280+C319</f>
        <v>675000</v>
      </c>
      <c r="D321" s="238">
        <f>D298+D319</f>
        <v>0</v>
      </c>
      <c r="E321" s="226">
        <f>E281</f>
        <v>110000</v>
      </c>
      <c r="F321" s="226">
        <f>F279</f>
        <v>225000</v>
      </c>
      <c r="G321" s="226">
        <f>G278</f>
        <v>150000</v>
      </c>
      <c r="H321" s="226">
        <f>H281</f>
        <v>130000</v>
      </c>
      <c r="I321" s="226">
        <f>I301+I319</f>
        <v>300000</v>
      </c>
      <c r="J321" s="305" t="s">
        <v>43</v>
      </c>
      <c r="K321" s="305" t="s">
        <v>43</v>
      </c>
      <c r="L321" s="206"/>
      <c r="M321" s="206">
        <f>M279-M320</f>
        <v>82500</v>
      </c>
      <c r="N321" s="206">
        <f>SUM(B321:K321)</f>
        <v>1815000</v>
      </c>
    </row>
    <row r="322" hidden="1">
      <c r="A322" s="126" t="s">
        <v>0</v>
      </c>
      <c r="B322" s="127" t="s">
        <v>90</v>
      </c>
      <c r="C322" s="127" t="s">
        <v>3</v>
      </c>
      <c r="D322" s="183" t="s">
        <v>109</v>
      </c>
      <c r="E322" s="183" t="s">
        <v>155</v>
      </c>
      <c r="F322" s="183" t="s">
        <v>195</v>
      </c>
      <c r="G322" s="183" t="s">
        <v>476</v>
      </c>
      <c r="H322" s="129" t="s">
        <v>51</v>
      </c>
      <c r="I322" s="129" t="s">
        <v>244</v>
      </c>
      <c r="J322" s="129" t="s">
        <v>232</v>
      </c>
      <c r="K322" s="129" t="s">
        <v>409</v>
      </c>
      <c r="L322" s="129"/>
      <c r="M322" s="129" t="s">
        <v>477</v>
      </c>
      <c r="N322" s="128" t="s">
        <v>110</v>
      </c>
    </row>
    <row r="323" hidden="1">
      <c r="C323" s="72" t="s">
        <v>326</v>
      </c>
      <c r="E323" s="72" t="s">
        <v>375</v>
      </c>
      <c r="G323" s="72" t="s">
        <v>375</v>
      </c>
      <c r="I323" s="72" t="s">
        <v>375</v>
      </c>
    </row>
    <row r="324" hidden="1"/>
    <row r="325" hidden="1">
      <c r="A325" s="126" t="s">
        <v>0</v>
      </c>
      <c r="B325" s="127" t="s">
        <v>90</v>
      </c>
      <c r="C325" s="127" t="s">
        <v>3</v>
      </c>
      <c r="D325" s="183" t="s">
        <v>109</v>
      </c>
      <c r="E325" s="183" t="s">
        <v>155</v>
      </c>
      <c r="F325" s="183" t="s">
        <v>195</v>
      </c>
      <c r="G325" s="183" t="s">
        <v>476</v>
      </c>
      <c r="H325" s="129" t="s">
        <v>51</v>
      </c>
      <c r="I325" s="129" t="s">
        <v>244</v>
      </c>
      <c r="J325" s="129" t="s">
        <v>477</v>
      </c>
      <c r="K325" s="129" t="s">
        <v>206</v>
      </c>
      <c r="L325" s="129"/>
      <c r="M325" s="129"/>
      <c r="N325" s="128" t="s">
        <v>110</v>
      </c>
    </row>
    <row r="326" hidden="1">
      <c r="A326" s="130" t="s">
        <v>124</v>
      </c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2"/>
    </row>
    <row r="327" hidden="1">
      <c r="A327" s="133" t="s">
        <v>111</v>
      </c>
      <c r="B327" s="134">
        <v>225000.0</v>
      </c>
      <c r="C327" s="134">
        <v>225000.0</v>
      </c>
      <c r="D327" s="134">
        <v>200000.0</v>
      </c>
      <c r="E327" s="134">
        <v>110000.0</v>
      </c>
      <c r="F327" s="134">
        <v>225000.0</v>
      </c>
      <c r="G327" s="134">
        <v>150000.0</v>
      </c>
      <c r="H327" s="134">
        <v>130000.0</v>
      </c>
      <c r="I327" s="134">
        <v>150000.0</v>
      </c>
      <c r="J327" s="134">
        <v>100000.0</v>
      </c>
      <c r="K327" s="134">
        <v>125000.0</v>
      </c>
      <c r="L327" s="134"/>
      <c r="M327" s="134"/>
      <c r="N327" s="136">
        <f t="shared" ref="N327:N330" si="122">SUM(B327:J327)</f>
        <v>1515000</v>
      </c>
    </row>
    <row r="328" hidden="1">
      <c r="A328" s="137"/>
      <c r="B328" s="134">
        <v>225000.0</v>
      </c>
      <c r="C328" s="134">
        <v>225000.0</v>
      </c>
      <c r="D328" s="134">
        <v>200000.0</v>
      </c>
      <c r="E328" s="134">
        <v>110000.0</v>
      </c>
      <c r="F328" s="134">
        <v>225000.0</v>
      </c>
      <c r="G328" s="134">
        <v>150000.0</v>
      </c>
      <c r="H328" s="134">
        <v>130000.0</v>
      </c>
      <c r="I328" s="134">
        <v>150000.0</v>
      </c>
      <c r="J328" s="134">
        <v>100000.0</v>
      </c>
      <c r="K328" s="134">
        <v>125000.0</v>
      </c>
      <c r="L328" s="134"/>
      <c r="M328" s="134"/>
      <c r="N328" s="136">
        <f t="shared" si="122"/>
        <v>1515000</v>
      </c>
      <c r="Q328" s="91"/>
    </row>
    <row r="329" hidden="1">
      <c r="A329" s="137"/>
      <c r="B329" s="134">
        <v>225000.0</v>
      </c>
      <c r="C329" s="134">
        <v>225000.0</v>
      </c>
      <c r="D329" s="134">
        <v>200000.0</v>
      </c>
      <c r="E329" s="134">
        <v>110000.0</v>
      </c>
      <c r="F329" s="134">
        <v>225000.0</v>
      </c>
      <c r="G329" s="134">
        <v>150000.0</v>
      </c>
      <c r="H329" s="134">
        <v>130000.0</v>
      </c>
      <c r="I329" s="134">
        <v>150000.0</v>
      </c>
      <c r="J329" s="134">
        <v>100000.0</v>
      </c>
      <c r="K329" s="134">
        <v>125000.0</v>
      </c>
      <c r="L329" s="134"/>
      <c r="M329" s="134"/>
      <c r="N329" s="136">
        <f t="shared" si="122"/>
        <v>1515000</v>
      </c>
    </row>
    <row r="330" hidden="1">
      <c r="A330" s="138"/>
      <c r="B330" s="134">
        <v>225000.0</v>
      </c>
      <c r="C330" s="134">
        <v>225000.0</v>
      </c>
      <c r="D330" s="134">
        <v>200000.0</v>
      </c>
      <c r="E330" s="134">
        <v>110000.0</v>
      </c>
      <c r="F330" s="134">
        <v>225000.0</v>
      </c>
      <c r="G330" s="134">
        <v>150000.0</v>
      </c>
      <c r="H330" s="134">
        <v>130000.0</v>
      </c>
      <c r="I330" s="134">
        <v>150000.0</v>
      </c>
      <c r="J330" s="134">
        <v>100000.0</v>
      </c>
      <c r="K330" s="134">
        <v>125000.0</v>
      </c>
      <c r="L330" s="134"/>
      <c r="M330" s="134"/>
      <c r="N330" s="139">
        <f t="shared" si="122"/>
        <v>1515000</v>
      </c>
    </row>
    <row r="331" hidden="1">
      <c r="A331" s="140" t="s">
        <v>113</v>
      </c>
      <c r="B331" s="141">
        <f t="shared" ref="B331:K331" si="123">SUM(B327:B330)</f>
        <v>900000</v>
      </c>
      <c r="C331" s="141">
        <f t="shared" si="123"/>
        <v>900000</v>
      </c>
      <c r="D331" s="141">
        <f t="shared" si="123"/>
        <v>800000</v>
      </c>
      <c r="E331" s="141">
        <f t="shared" si="123"/>
        <v>440000</v>
      </c>
      <c r="F331" s="141">
        <f t="shared" si="123"/>
        <v>900000</v>
      </c>
      <c r="G331" s="141">
        <f t="shared" si="123"/>
        <v>600000</v>
      </c>
      <c r="H331" s="141">
        <f t="shared" si="123"/>
        <v>520000</v>
      </c>
      <c r="I331" s="141">
        <f t="shared" si="123"/>
        <v>600000</v>
      </c>
      <c r="J331" s="141">
        <f t="shared" si="123"/>
        <v>400000</v>
      </c>
      <c r="K331" s="141">
        <f t="shared" si="123"/>
        <v>500000</v>
      </c>
      <c r="L331" s="141"/>
      <c r="M331" s="141"/>
      <c r="N331" s="141">
        <f>SUM(N327:N330)</f>
        <v>6060000</v>
      </c>
    </row>
    <row r="332" hidden="1">
      <c r="A332" s="157" t="s">
        <v>138</v>
      </c>
      <c r="B332" s="158">
        <f>B328/6/8</f>
        <v>4687.5</v>
      </c>
      <c r="C332" s="158">
        <f>C327/8/6</f>
        <v>4687.5</v>
      </c>
      <c r="D332" s="158">
        <f>D327/6/8</f>
        <v>4166.666667</v>
      </c>
      <c r="E332" s="158"/>
      <c r="F332" s="158">
        <f t="shared" ref="F332:H332" si="124">F327/6/8</f>
        <v>4687.5</v>
      </c>
      <c r="G332" s="158">
        <f t="shared" si="124"/>
        <v>3125</v>
      </c>
      <c r="H332" s="158">
        <f t="shared" si="124"/>
        <v>2708.333333</v>
      </c>
      <c r="I332" s="158">
        <f>I328/6/8</f>
        <v>3125</v>
      </c>
      <c r="J332" s="158">
        <f>J327/8/6</f>
        <v>2083.333333</v>
      </c>
      <c r="K332" s="159">
        <f>K327/6/8</f>
        <v>2604.166667</v>
      </c>
      <c r="L332" s="159"/>
      <c r="M332" s="159">
        <f t="shared" ref="M332:N332" si="125">M330/6/8</f>
        <v>0</v>
      </c>
      <c r="N332" s="159">
        <f t="shared" si="125"/>
        <v>31562.5</v>
      </c>
      <c r="O332" s="122"/>
    </row>
    <row r="333" hidden="1">
      <c r="A333" s="306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</row>
    <row r="334" hidden="1">
      <c r="A334" s="307"/>
    </row>
    <row r="335" hidden="1">
      <c r="A335" s="195" t="s">
        <v>487</v>
      </c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7"/>
    </row>
    <row r="336" hidden="1">
      <c r="A336" s="200" t="s">
        <v>288</v>
      </c>
      <c r="B336" s="222"/>
      <c r="C336" s="221"/>
      <c r="D336" s="199"/>
      <c r="E336" s="199"/>
      <c r="F336" s="199"/>
      <c r="G336" s="221"/>
      <c r="H336" s="199"/>
      <c r="I336" s="221"/>
      <c r="J336" s="199"/>
      <c r="K336" s="221"/>
      <c r="L336" s="202"/>
      <c r="M336" s="202"/>
      <c r="N336" s="202"/>
    </row>
    <row r="337" hidden="1">
      <c r="A337" s="198" t="s">
        <v>40</v>
      </c>
      <c r="B337" s="221"/>
      <c r="C337" s="221"/>
      <c r="D337" s="221">
        <f>8*D332</f>
        <v>33333.33333</v>
      </c>
      <c r="E337" s="221"/>
      <c r="F337" s="221"/>
      <c r="G337" s="199"/>
      <c r="H337" s="221"/>
      <c r="I337" s="199"/>
      <c r="J337" s="199">
        <f>18*J332</f>
        <v>37500</v>
      </c>
      <c r="K337" s="199"/>
      <c r="L337" s="251"/>
      <c r="M337" s="251"/>
      <c r="N337" s="251"/>
    </row>
    <row r="338" hidden="1">
      <c r="A338" s="200" t="s">
        <v>255</v>
      </c>
      <c r="B338" s="211"/>
      <c r="C338" s="222"/>
      <c r="D338" s="211"/>
      <c r="E338" s="222"/>
      <c r="F338" s="222"/>
      <c r="G338" s="221"/>
      <c r="H338" s="221"/>
      <c r="I338" s="221"/>
      <c r="J338" s="221"/>
      <c r="K338" s="211"/>
      <c r="L338" s="252"/>
      <c r="M338" s="252"/>
      <c r="N338" s="252"/>
    </row>
    <row r="339" hidden="1">
      <c r="A339" s="200" t="s">
        <v>119</v>
      </c>
      <c r="B339" s="255"/>
      <c r="C339" s="308">
        <f>C302*2</f>
        <v>0</v>
      </c>
      <c r="D339" s="255">
        <f>D320*2</f>
        <v>0</v>
      </c>
      <c r="E339" s="256"/>
      <c r="F339" s="256"/>
      <c r="G339" s="255"/>
      <c r="H339" s="255"/>
      <c r="I339" s="255"/>
      <c r="J339" s="255"/>
      <c r="K339" s="255"/>
      <c r="L339" s="257"/>
      <c r="M339" s="257"/>
      <c r="N339" s="257"/>
    </row>
    <row r="340" hidden="1">
      <c r="A340" s="200" t="s">
        <v>453</v>
      </c>
      <c r="B340" s="255"/>
      <c r="C340" s="255"/>
      <c r="D340" s="255"/>
      <c r="E340" s="255"/>
      <c r="F340" s="255"/>
      <c r="G340" s="255"/>
      <c r="H340" s="255"/>
      <c r="I340" s="255"/>
      <c r="J340" s="255">
        <f>4200+2240+2240+2240</f>
        <v>10920</v>
      </c>
      <c r="K340" s="255"/>
      <c r="L340" s="255"/>
      <c r="M340" s="255"/>
      <c r="N340" s="257"/>
    </row>
    <row r="341" hidden="1">
      <c r="A341" s="205" t="s">
        <v>118</v>
      </c>
      <c r="B341" s="226">
        <f>B327</f>
        <v>225000</v>
      </c>
      <c r="C341" s="226" t="s">
        <v>43</v>
      </c>
      <c r="D341" s="226">
        <f>D327+D337</f>
        <v>233333.3333</v>
      </c>
      <c r="E341" s="226">
        <v>110000.0</v>
      </c>
      <c r="F341" s="226">
        <f>F301</f>
        <v>225000</v>
      </c>
      <c r="G341" s="226">
        <f t="shared" ref="G341:H341" si="126">G327</f>
        <v>150000</v>
      </c>
      <c r="H341" s="226">
        <f t="shared" si="126"/>
        <v>130000</v>
      </c>
      <c r="I341" s="226" t="s">
        <v>43</v>
      </c>
      <c r="J341" s="305">
        <f>J327-J340+J337</f>
        <v>126580</v>
      </c>
      <c r="K341" s="305">
        <f>K327</f>
        <v>125000</v>
      </c>
      <c r="L341" s="206"/>
      <c r="M341" s="206"/>
      <c r="N341" s="206">
        <f>SUM(B341:K341)</f>
        <v>1324913.333</v>
      </c>
    </row>
    <row r="342" hidden="1">
      <c r="A342" s="126" t="s">
        <v>0</v>
      </c>
      <c r="B342" s="127" t="s">
        <v>90</v>
      </c>
      <c r="C342" s="127" t="s">
        <v>3</v>
      </c>
      <c r="D342" s="183" t="s">
        <v>109</v>
      </c>
      <c r="E342" s="183" t="s">
        <v>155</v>
      </c>
      <c r="F342" s="183" t="s">
        <v>195</v>
      </c>
      <c r="G342" s="183" t="s">
        <v>476</v>
      </c>
      <c r="H342" s="129" t="s">
        <v>51</v>
      </c>
      <c r="I342" s="129" t="s">
        <v>244</v>
      </c>
      <c r="J342" s="129" t="s">
        <v>477</v>
      </c>
      <c r="K342" s="129" t="s">
        <v>206</v>
      </c>
      <c r="L342" s="129"/>
      <c r="M342" s="129"/>
      <c r="N342" s="128" t="s">
        <v>110</v>
      </c>
    </row>
    <row r="343" hidden="1">
      <c r="D343" s="72" t="s">
        <v>488</v>
      </c>
      <c r="F343" s="72" t="s">
        <v>326</v>
      </c>
      <c r="K343" s="72" t="s">
        <v>489</v>
      </c>
    </row>
    <row r="344" hidden="1">
      <c r="A344" s="272"/>
      <c r="B344" s="273"/>
      <c r="C344" s="273"/>
      <c r="D344" s="309" t="s">
        <v>490</v>
      </c>
      <c r="E344" s="274"/>
      <c r="F344" s="274"/>
      <c r="G344" s="247"/>
      <c r="H344" s="247"/>
      <c r="I344" s="247"/>
      <c r="J344" s="247"/>
      <c r="K344" s="247"/>
      <c r="L344" s="272"/>
      <c r="M344" s="272"/>
    </row>
    <row r="345" hidden="1">
      <c r="A345" s="243"/>
      <c r="B345" s="310"/>
      <c r="C345" s="310"/>
      <c r="D345" s="310"/>
      <c r="E345" s="310"/>
      <c r="F345" s="310"/>
      <c r="G345" s="310"/>
      <c r="H345" s="310"/>
      <c r="I345" s="310"/>
      <c r="J345" s="310"/>
      <c r="K345" s="218"/>
    </row>
    <row r="346" hidden="1">
      <c r="A346" s="195" t="s">
        <v>491</v>
      </c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7"/>
    </row>
    <row r="347" hidden="1">
      <c r="A347" s="200" t="s">
        <v>288</v>
      </c>
      <c r="B347" s="222"/>
      <c r="C347" s="221"/>
      <c r="D347" s="199"/>
      <c r="E347" s="199"/>
      <c r="F347" s="199"/>
      <c r="G347" s="221">
        <v>30000.0</v>
      </c>
      <c r="H347" s="199"/>
      <c r="I347" s="221"/>
      <c r="J347" s="199"/>
      <c r="K347" s="221"/>
      <c r="L347" s="202"/>
      <c r="M347" s="202"/>
      <c r="N347" s="202"/>
    </row>
    <row r="348" hidden="1">
      <c r="A348" s="198" t="s">
        <v>40</v>
      </c>
      <c r="B348" s="221"/>
      <c r="C348" s="221"/>
      <c r="D348" s="221">
        <f>D337</f>
        <v>33333.33333</v>
      </c>
      <c r="E348" s="221"/>
      <c r="F348" s="221"/>
      <c r="G348" s="199"/>
      <c r="H348" s="221"/>
      <c r="I348" s="199"/>
      <c r="J348" s="199">
        <f>6*J332</f>
        <v>12500</v>
      </c>
      <c r="K348" s="199"/>
      <c r="L348" s="251"/>
      <c r="M348" s="251"/>
      <c r="N348" s="251"/>
    </row>
    <row r="349" hidden="1">
      <c r="A349" s="200" t="s">
        <v>255</v>
      </c>
      <c r="B349" s="211"/>
      <c r="C349" s="222"/>
      <c r="D349" s="211"/>
      <c r="E349" s="222"/>
      <c r="F349" s="222"/>
      <c r="G349" s="221"/>
      <c r="H349" s="221"/>
      <c r="I349" s="221"/>
      <c r="J349" s="221"/>
      <c r="K349" s="211"/>
      <c r="L349" s="252"/>
      <c r="M349" s="252"/>
      <c r="N349" s="252"/>
    </row>
    <row r="350" hidden="1">
      <c r="A350" s="200" t="s">
        <v>119</v>
      </c>
      <c r="B350" s="255"/>
      <c r="C350" s="255">
        <f>C313*2</f>
        <v>0</v>
      </c>
      <c r="D350" s="255"/>
      <c r="E350" s="256"/>
      <c r="F350" s="256"/>
      <c r="G350" s="255"/>
      <c r="H350" s="255"/>
      <c r="I350" s="255"/>
      <c r="J350" s="255"/>
      <c r="K350" s="255"/>
      <c r="L350" s="257"/>
      <c r="M350" s="257"/>
      <c r="N350" s="257"/>
      <c r="R350" s="174"/>
      <c r="S350" s="174"/>
      <c r="T350" s="174"/>
      <c r="U350" s="174"/>
      <c r="V350" s="174"/>
      <c r="W350" s="174"/>
      <c r="X350" s="174"/>
      <c r="Y350" s="174"/>
      <c r="Z350" s="174"/>
      <c r="AA350" s="174"/>
      <c r="AB350" s="174"/>
      <c r="AC350" s="174"/>
    </row>
    <row r="351" hidden="1">
      <c r="A351" s="200" t="s">
        <v>453</v>
      </c>
      <c r="B351" s="255"/>
      <c r="C351" s="255"/>
      <c r="D351" s="255"/>
      <c r="E351" s="255"/>
      <c r="F351" s="255"/>
      <c r="G351" s="255"/>
      <c r="H351" s="255"/>
      <c r="I351" s="255"/>
      <c r="J351" s="255">
        <f>11200+4900+2240</f>
        <v>18340</v>
      </c>
      <c r="K351" s="255"/>
      <c r="L351" s="255"/>
      <c r="M351" s="255"/>
      <c r="N351" s="257"/>
    </row>
    <row r="352" hidden="1">
      <c r="A352" s="205" t="s">
        <v>118</v>
      </c>
      <c r="B352" s="226">
        <f>B327</f>
        <v>225000</v>
      </c>
      <c r="C352" s="226" t="s">
        <v>43</v>
      </c>
      <c r="D352" s="226">
        <f>D330+D348</f>
        <v>233333.3333</v>
      </c>
      <c r="E352" s="226">
        <v>110000.0</v>
      </c>
      <c r="F352" s="226">
        <f>F330</f>
        <v>225000</v>
      </c>
      <c r="G352" s="226">
        <f>G327-G347</f>
        <v>120000</v>
      </c>
      <c r="H352" s="226">
        <f t="shared" ref="H352:I352" si="127">H330</f>
        <v>130000</v>
      </c>
      <c r="I352" s="226">
        <f t="shared" si="127"/>
        <v>150000</v>
      </c>
      <c r="J352" s="305">
        <f>J330-J351+J348</f>
        <v>94160</v>
      </c>
      <c r="K352" s="311" t="str">
        <f>K338</f>
        <v/>
      </c>
      <c r="L352" s="206"/>
      <c r="M352" s="206"/>
      <c r="N352" s="206">
        <f>SUM(B352:K352)</f>
        <v>1287493.333</v>
      </c>
    </row>
    <row r="353" hidden="1">
      <c r="A353" s="126" t="s">
        <v>0</v>
      </c>
      <c r="B353" s="127" t="s">
        <v>90</v>
      </c>
      <c r="C353" s="127" t="s">
        <v>3</v>
      </c>
      <c r="D353" s="183" t="s">
        <v>109</v>
      </c>
      <c r="E353" s="183" t="s">
        <v>155</v>
      </c>
      <c r="F353" s="183" t="s">
        <v>195</v>
      </c>
      <c r="G353" s="183" t="s">
        <v>476</v>
      </c>
      <c r="H353" s="129" t="s">
        <v>51</v>
      </c>
      <c r="I353" s="129" t="s">
        <v>244</v>
      </c>
      <c r="J353" s="129" t="s">
        <v>477</v>
      </c>
      <c r="K353" s="129" t="s">
        <v>206</v>
      </c>
      <c r="L353" s="129"/>
      <c r="M353" s="129"/>
      <c r="N353" s="128" t="s">
        <v>110</v>
      </c>
    </row>
    <row r="354" hidden="1">
      <c r="D354" s="72" t="s">
        <v>488</v>
      </c>
      <c r="F354" s="72" t="s">
        <v>326</v>
      </c>
      <c r="K354" s="72" t="s">
        <v>489</v>
      </c>
    </row>
    <row r="355" hidden="1">
      <c r="A355" s="312"/>
      <c r="B355" s="125"/>
      <c r="C355" s="125"/>
      <c r="D355" s="125"/>
      <c r="E355" s="125"/>
      <c r="F355" s="313"/>
      <c r="G355" s="125"/>
      <c r="H355" s="313"/>
      <c r="I355" s="313"/>
      <c r="J355" s="313"/>
      <c r="K355" s="313"/>
      <c r="L355" s="125"/>
      <c r="M355" s="125"/>
    </row>
    <row r="356" hidden="1">
      <c r="A356" s="195" t="s">
        <v>492</v>
      </c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7"/>
    </row>
    <row r="357" hidden="1">
      <c r="A357" s="200" t="s">
        <v>288</v>
      </c>
      <c r="B357" s="222"/>
      <c r="C357" s="221"/>
      <c r="D357" s="221">
        <v>50000.0</v>
      </c>
      <c r="E357" s="199"/>
      <c r="F357" s="199"/>
      <c r="G357" s="221"/>
      <c r="H357" s="199"/>
      <c r="I357" s="221"/>
      <c r="J357" s="199"/>
      <c r="K357" s="221"/>
      <c r="L357" s="202"/>
      <c r="M357" s="202"/>
      <c r="N357" s="202"/>
    </row>
    <row r="358" hidden="1">
      <c r="A358" s="198" t="s">
        <v>40</v>
      </c>
      <c r="B358" s="221"/>
      <c r="C358" s="221"/>
      <c r="D358" s="221" t="str">
        <f>D347</f>
        <v/>
      </c>
      <c r="E358" s="221"/>
      <c r="F358" s="221"/>
      <c r="G358" s="199"/>
      <c r="H358" s="221"/>
      <c r="I358" s="199"/>
      <c r="J358" s="199"/>
      <c r="K358" s="199"/>
      <c r="L358" s="251"/>
      <c r="M358" s="251"/>
      <c r="N358" s="251"/>
    </row>
    <row r="359" hidden="1">
      <c r="A359" s="200" t="s">
        <v>255</v>
      </c>
      <c r="B359" s="211"/>
      <c r="C359" s="222"/>
      <c r="D359" s="211"/>
      <c r="E359" s="222"/>
      <c r="F359" s="222"/>
      <c r="G359" s="221"/>
      <c r="H359" s="221"/>
      <c r="I359" s="221"/>
      <c r="J359" s="221"/>
      <c r="K359" s="211"/>
      <c r="L359" s="252"/>
      <c r="M359" s="252"/>
      <c r="N359" s="252"/>
    </row>
    <row r="360" hidden="1">
      <c r="A360" s="200" t="s">
        <v>119</v>
      </c>
      <c r="B360" s="255"/>
      <c r="C360" s="255"/>
      <c r="D360" s="255"/>
      <c r="E360" s="256"/>
      <c r="F360" s="256"/>
      <c r="G360" s="255"/>
      <c r="H360" s="255"/>
      <c r="I360" s="255"/>
      <c r="J360" s="255"/>
      <c r="K360" s="255"/>
      <c r="L360" s="257"/>
      <c r="M360" s="257"/>
      <c r="N360" s="257"/>
    </row>
    <row r="361" hidden="1">
      <c r="A361" s="200" t="s">
        <v>453</v>
      </c>
      <c r="B361" s="255"/>
      <c r="C361" s="255"/>
      <c r="D361" s="255"/>
      <c r="E361" s="255"/>
      <c r="F361" s="255"/>
      <c r="G361" s="255"/>
      <c r="H361" s="255"/>
      <c r="I361" s="255"/>
      <c r="J361" s="255">
        <f>6300+13300</f>
        <v>19600</v>
      </c>
      <c r="K361" s="255"/>
      <c r="L361" s="255"/>
      <c r="M361" s="255"/>
      <c r="N361" s="257"/>
    </row>
    <row r="362" hidden="1">
      <c r="A362" s="205" t="s">
        <v>118</v>
      </c>
      <c r="B362" s="226">
        <f>B328</f>
        <v>225000</v>
      </c>
      <c r="C362" s="226">
        <f t="shared" ref="C362:D362" si="128">C329</f>
        <v>225000</v>
      </c>
      <c r="D362" s="226">
        <f t="shared" si="128"/>
        <v>200000</v>
      </c>
      <c r="E362" s="226">
        <v>110000.0</v>
      </c>
      <c r="F362" s="226">
        <f t="shared" ref="F362:I362" si="129">F328</f>
        <v>225000</v>
      </c>
      <c r="G362" s="226">
        <f t="shared" si="129"/>
        <v>150000</v>
      </c>
      <c r="H362" s="226">
        <f t="shared" si="129"/>
        <v>130000</v>
      </c>
      <c r="I362" s="226">
        <f t="shared" si="129"/>
        <v>150000</v>
      </c>
      <c r="J362" s="305">
        <f>J329-J361</f>
        <v>80400</v>
      </c>
      <c r="K362" s="305" t="str">
        <f>K348</f>
        <v/>
      </c>
      <c r="L362" s="206"/>
      <c r="M362" s="206"/>
      <c r="N362" s="206">
        <f>SUM(B362:K362)</f>
        <v>1495400</v>
      </c>
    </row>
    <row r="363" hidden="1">
      <c r="A363" s="126" t="s">
        <v>0</v>
      </c>
      <c r="B363" s="127" t="s">
        <v>90</v>
      </c>
      <c r="C363" s="127" t="s">
        <v>3</v>
      </c>
      <c r="D363" s="183" t="s">
        <v>109</v>
      </c>
      <c r="E363" s="183" t="s">
        <v>155</v>
      </c>
      <c r="F363" s="183" t="s">
        <v>195</v>
      </c>
      <c r="G363" s="183" t="s">
        <v>476</v>
      </c>
      <c r="H363" s="129" t="s">
        <v>51</v>
      </c>
      <c r="I363" s="129" t="s">
        <v>244</v>
      </c>
      <c r="J363" s="129" t="s">
        <v>477</v>
      </c>
      <c r="K363" s="129" t="s">
        <v>206</v>
      </c>
      <c r="L363" s="129"/>
      <c r="M363" s="129"/>
      <c r="N363" s="128" t="s">
        <v>110</v>
      </c>
    </row>
    <row r="364" hidden="1">
      <c r="C364" s="72" t="s">
        <v>326</v>
      </c>
      <c r="D364" s="72" t="s">
        <v>326</v>
      </c>
      <c r="F364" s="72" t="s">
        <v>326</v>
      </c>
      <c r="K364" s="72" t="s">
        <v>489</v>
      </c>
    </row>
    <row r="365" hidden="1">
      <c r="A365" s="312"/>
      <c r="B365" s="125"/>
      <c r="C365" s="125"/>
      <c r="D365" s="125"/>
      <c r="E365" s="125"/>
      <c r="F365" s="313"/>
      <c r="G365" s="125"/>
      <c r="H365" s="313"/>
      <c r="I365" s="313"/>
      <c r="J365" s="313"/>
      <c r="K365" s="313"/>
      <c r="L365" s="125"/>
      <c r="M365" s="125"/>
    </row>
    <row r="366" hidden="1">
      <c r="A366" s="195" t="s">
        <v>493</v>
      </c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7"/>
    </row>
    <row r="367" hidden="1">
      <c r="A367" s="200" t="s">
        <v>288</v>
      </c>
      <c r="B367" s="222"/>
      <c r="C367" s="221"/>
      <c r="D367" s="221"/>
      <c r="E367" s="199"/>
      <c r="F367" s="199"/>
      <c r="G367" s="221"/>
      <c r="H367" s="199"/>
      <c r="I367" s="221"/>
      <c r="J367" s="199"/>
      <c r="K367" s="221"/>
      <c r="L367" s="202"/>
      <c r="M367" s="202"/>
      <c r="N367" s="202"/>
    </row>
    <row r="368" hidden="1">
      <c r="A368" s="198" t="s">
        <v>40</v>
      </c>
      <c r="B368" s="221"/>
      <c r="C368" s="221"/>
      <c r="D368" s="221"/>
      <c r="E368" s="221"/>
      <c r="F368" s="221"/>
      <c r="G368" s="199"/>
      <c r="H368" s="221"/>
      <c r="I368" s="199"/>
      <c r="J368" s="199"/>
      <c r="K368" s="199"/>
      <c r="L368" s="251"/>
      <c r="M368" s="251"/>
      <c r="N368" s="251"/>
    </row>
    <row r="369" hidden="1">
      <c r="A369" s="200" t="s">
        <v>494</v>
      </c>
      <c r="B369" s="211"/>
      <c r="C369" s="222"/>
      <c r="D369" s="211"/>
      <c r="E369" s="222"/>
      <c r="F369" s="222"/>
      <c r="G369" s="221"/>
      <c r="H369" s="221"/>
      <c r="I369" s="221"/>
      <c r="J369" s="221">
        <v>3.0</v>
      </c>
      <c r="K369" s="211"/>
      <c r="L369" s="252"/>
      <c r="M369" s="252"/>
      <c r="N369" s="252"/>
    </row>
    <row r="370" hidden="1">
      <c r="A370" s="200" t="s">
        <v>119</v>
      </c>
      <c r="B370" s="255"/>
      <c r="C370" s="255"/>
      <c r="D370" s="255"/>
      <c r="E370" s="256"/>
      <c r="F370" s="256"/>
      <c r="G370" s="255"/>
      <c r="H370" s="255"/>
      <c r="I370" s="255"/>
      <c r="J370" s="255"/>
      <c r="K370" s="255"/>
      <c r="L370" s="257"/>
      <c r="M370" s="257"/>
      <c r="N370" s="257"/>
    </row>
    <row r="371" hidden="1">
      <c r="A371" s="200" t="s">
        <v>453</v>
      </c>
      <c r="B371" s="255"/>
      <c r="C371" s="255"/>
      <c r="D371" s="255"/>
      <c r="E371" s="255"/>
      <c r="F371" s="255"/>
      <c r="G371" s="255"/>
      <c r="H371" s="255"/>
      <c r="I371" s="255">
        <v>6230.0</v>
      </c>
      <c r="J371" s="255"/>
      <c r="K371" s="255"/>
      <c r="L371" s="255"/>
      <c r="M371" s="255"/>
      <c r="N371" s="257"/>
    </row>
    <row r="372" hidden="1">
      <c r="A372" s="205" t="s">
        <v>118</v>
      </c>
      <c r="B372" s="226">
        <f t="shared" ref="B372:D372" si="130">B330</f>
        <v>225000</v>
      </c>
      <c r="C372" s="226">
        <f t="shared" si="130"/>
        <v>225000</v>
      </c>
      <c r="D372" s="226">
        <f t="shared" si="130"/>
        <v>200000</v>
      </c>
      <c r="E372" s="226">
        <v>110000.0</v>
      </c>
      <c r="F372" s="226">
        <f t="shared" ref="F372:H372" si="131">F330</f>
        <v>225000</v>
      </c>
      <c r="G372" s="226">
        <f t="shared" si="131"/>
        <v>150000</v>
      </c>
      <c r="H372" s="226">
        <f t="shared" si="131"/>
        <v>130000</v>
      </c>
      <c r="I372" s="226">
        <f>I330-I371</f>
        <v>143770</v>
      </c>
      <c r="J372" s="305">
        <f>J330</f>
        <v>100000</v>
      </c>
      <c r="K372" s="305" t="str">
        <f>K358</f>
        <v/>
      </c>
      <c r="L372" s="206"/>
      <c r="M372" s="206"/>
      <c r="N372" s="206">
        <f>SUM(B372:K372)</f>
        <v>1508770</v>
      </c>
    </row>
    <row r="373" hidden="1">
      <c r="A373" s="126" t="s">
        <v>0</v>
      </c>
      <c r="B373" s="127" t="s">
        <v>90</v>
      </c>
      <c r="C373" s="127" t="s">
        <v>3</v>
      </c>
      <c r="D373" s="183" t="s">
        <v>109</v>
      </c>
      <c r="E373" s="183" t="s">
        <v>155</v>
      </c>
      <c r="F373" s="183" t="s">
        <v>195</v>
      </c>
      <c r="G373" s="183" t="s">
        <v>476</v>
      </c>
      <c r="H373" s="129" t="s">
        <v>51</v>
      </c>
      <c r="I373" s="129" t="s">
        <v>244</v>
      </c>
      <c r="J373" s="129" t="s">
        <v>477</v>
      </c>
      <c r="K373" s="129" t="s">
        <v>206</v>
      </c>
      <c r="L373" s="129"/>
      <c r="M373" s="129"/>
      <c r="N373" s="128" t="s">
        <v>110</v>
      </c>
    </row>
    <row r="374" hidden="1">
      <c r="A374" s="314"/>
      <c r="B374" s="315"/>
      <c r="C374" s="125"/>
      <c r="D374" s="313"/>
      <c r="E374" s="125" t="s">
        <v>375</v>
      </c>
      <c r="F374" s="125" t="s">
        <v>375</v>
      </c>
      <c r="G374" s="125" t="s">
        <v>375</v>
      </c>
      <c r="H374" s="125" t="s">
        <v>375</v>
      </c>
      <c r="I374" s="125" t="s">
        <v>375</v>
      </c>
      <c r="J374" s="125"/>
      <c r="K374" s="122"/>
    </row>
    <row r="375" hidden="1">
      <c r="A375" s="312"/>
      <c r="B375" s="125"/>
      <c r="C375" s="125"/>
      <c r="D375" s="125"/>
      <c r="E375" s="125"/>
      <c r="F375" s="313"/>
      <c r="G375" s="125"/>
      <c r="H375" s="313"/>
      <c r="I375" s="313"/>
      <c r="J375" s="313"/>
      <c r="K375" s="313"/>
      <c r="L375" s="125"/>
      <c r="M375" s="125"/>
    </row>
    <row r="376" hidden="1">
      <c r="A376" s="126" t="s">
        <v>0</v>
      </c>
      <c r="B376" s="127" t="s">
        <v>90</v>
      </c>
      <c r="C376" s="127" t="s">
        <v>3</v>
      </c>
      <c r="D376" s="183" t="s">
        <v>109</v>
      </c>
      <c r="E376" s="183" t="s">
        <v>155</v>
      </c>
      <c r="F376" s="183" t="s">
        <v>195</v>
      </c>
      <c r="G376" s="183" t="s">
        <v>476</v>
      </c>
      <c r="H376" s="129" t="s">
        <v>51</v>
      </c>
      <c r="I376" s="129" t="s">
        <v>244</v>
      </c>
      <c r="J376" s="129" t="s">
        <v>477</v>
      </c>
      <c r="K376" s="129" t="s">
        <v>206</v>
      </c>
      <c r="L376" s="129"/>
      <c r="M376" s="129"/>
      <c r="N376" s="128" t="s">
        <v>110</v>
      </c>
    </row>
    <row r="377" hidden="1">
      <c r="A377" s="130" t="s">
        <v>125</v>
      </c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2"/>
    </row>
    <row r="378" hidden="1">
      <c r="A378" s="133" t="s">
        <v>111</v>
      </c>
      <c r="B378" s="134">
        <v>225000.0</v>
      </c>
      <c r="C378" s="134">
        <v>225000.0</v>
      </c>
      <c r="D378" s="134">
        <v>200000.0</v>
      </c>
      <c r="E378" s="134">
        <v>110000.0</v>
      </c>
      <c r="F378" s="134">
        <v>270000.0</v>
      </c>
      <c r="G378" s="134">
        <v>150000.0</v>
      </c>
      <c r="H378" s="134">
        <v>130000.0</v>
      </c>
      <c r="I378" s="134">
        <v>150000.0</v>
      </c>
      <c r="J378" s="134">
        <v>100000.0</v>
      </c>
      <c r="K378" s="134">
        <v>125000.0</v>
      </c>
      <c r="L378" s="134"/>
      <c r="M378" s="134"/>
      <c r="N378" s="136">
        <f t="shared" ref="N378:N381" si="132">SUM(B378:J378)</f>
        <v>1560000</v>
      </c>
    </row>
    <row r="379" hidden="1">
      <c r="A379" s="137"/>
      <c r="B379" s="134">
        <v>225000.0</v>
      </c>
      <c r="C379" s="134">
        <v>225000.0</v>
      </c>
      <c r="D379" s="134">
        <v>200000.0</v>
      </c>
      <c r="E379" s="134">
        <v>110000.0</v>
      </c>
      <c r="F379" s="134">
        <v>270000.0</v>
      </c>
      <c r="G379" s="134">
        <v>150000.0</v>
      </c>
      <c r="H379" s="134">
        <v>130000.0</v>
      </c>
      <c r="I379" s="134">
        <v>150000.0</v>
      </c>
      <c r="J379" s="134">
        <v>100000.0</v>
      </c>
      <c r="K379" s="134">
        <v>125000.0</v>
      </c>
      <c r="L379" s="134"/>
      <c r="M379" s="134"/>
      <c r="N379" s="136">
        <f t="shared" si="132"/>
        <v>1560000</v>
      </c>
      <c r="Q379" s="91"/>
    </row>
    <row r="380" hidden="1">
      <c r="A380" s="137"/>
      <c r="B380" s="134">
        <v>225000.0</v>
      </c>
      <c r="C380" s="134">
        <v>225000.0</v>
      </c>
      <c r="D380" s="134">
        <v>200000.0</v>
      </c>
      <c r="E380" s="134">
        <v>110000.0</v>
      </c>
      <c r="F380" s="134">
        <v>270000.0</v>
      </c>
      <c r="G380" s="134">
        <v>150000.0</v>
      </c>
      <c r="H380" s="134">
        <v>130000.0</v>
      </c>
      <c r="I380" s="134">
        <v>150000.0</v>
      </c>
      <c r="J380" s="134">
        <v>100000.0</v>
      </c>
      <c r="K380" s="134">
        <v>125000.0</v>
      </c>
      <c r="L380" s="134"/>
      <c r="M380" s="134"/>
      <c r="N380" s="136">
        <f t="shared" si="132"/>
        <v>1560000</v>
      </c>
    </row>
    <row r="381" hidden="1">
      <c r="A381" s="138"/>
      <c r="B381" s="134">
        <v>225000.0</v>
      </c>
      <c r="C381" s="134">
        <v>225000.0</v>
      </c>
      <c r="D381" s="134">
        <v>200000.0</v>
      </c>
      <c r="E381" s="134">
        <v>110000.0</v>
      </c>
      <c r="F381" s="134">
        <v>270000.0</v>
      </c>
      <c r="G381" s="134">
        <v>150000.0</v>
      </c>
      <c r="H381" s="134">
        <v>130000.0</v>
      </c>
      <c r="I381" s="134">
        <v>150000.0</v>
      </c>
      <c r="J381" s="134">
        <v>100000.0</v>
      </c>
      <c r="K381" s="134">
        <v>125000.0</v>
      </c>
      <c r="L381" s="134"/>
      <c r="M381" s="134"/>
      <c r="N381" s="139">
        <f t="shared" si="132"/>
        <v>1560000</v>
      </c>
    </row>
    <row r="382" hidden="1">
      <c r="A382" s="140" t="s">
        <v>113</v>
      </c>
      <c r="B382" s="141">
        <f t="shared" ref="B382:K382" si="133">SUM(B378:B381)</f>
        <v>900000</v>
      </c>
      <c r="C382" s="141">
        <f t="shared" si="133"/>
        <v>900000</v>
      </c>
      <c r="D382" s="141">
        <f t="shared" si="133"/>
        <v>800000</v>
      </c>
      <c r="E382" s="141">
        <f t="shared" si="133"/>
        <v>440000</v>
      </c>
      <c r="F382" s="141">
        <f t="shared" si="133"/>
        <v>1080000</v>
      </c>
      <c r="G382" s="141">
        <f t="shared" si="133"/>
        <v>600000</v>
      </c>
      <c r="H382" s="141">
        <f t="shared" si="133"/>
        <v>520000</v>
      </c>
      <c r="I382" s="141">
        <f t="shared" si="133"/>
        <v>600000</v>
      </c>
      <c r="J382" s="141">
        <f t="shared" si="133"/>
        <v>400000</v>
      </c>
      <c r="K382" s="141">
        <f t="shared" si="133"/>
        <v>500000</v>
      </c>
      <c r="L382" s="141"/>
      <c r="M382" s="141"/>
      <c r="N382" s="141">
        <f>SUM(N378:N381)</f>
        <v>6240000</v>
      </c>
    </row>
    <row r="383" hidden="1">
      <c r="A383" s="157" t="s">
        <v>138</v>
      </c>
      <c r="B383" s="158">
        <f>B379/6/8</f>
        <v>4687.5</v>
      </c>
      <c r="C383" s="158">
        <f>C378/8/6</f>
        <v>4687.5</v>
      </c>
      <c r="D383" s="158">
        <f>D378/6/8</f>
        <v>4166.666667</v>
      </c>
      <c r="E383" s="158">
        <f>E378/8/6</f>
        <v>2291.666667</v>
      </c>
      <c r="F383" s="158">
        <f t="shared" ref="F383:H383" si="134">F378/6/8</f>
        <v>5625</v>
      </c>
      <c r="G383" s="158">
        <f t="shared" si="134"/>
        <v>3125</v>
      </c>
      <c r="H383" s="158">
        <f t="shared" si="134"/>
        <v>2708.333333</v>
      </c>
      <c r="I383" s="158">
        <f>I379/6/8</f>
        <v>3125</v>
      </c>
      <c r="J383" s="158">
        <f>J378/8/6</f>
        <v>2083.333333</v>
      </c>
      <c r="K383" s="159">
        <f>K378/6/8</f>
        <v>2604.166667</v>
      </c>
      <c r="L383" s="159"/>
      <c r="M383" s="159">
        <f t="shared" ref="M383:N383" si="135">M381/6/8</f>
        <v>0</v>
      </c>
      <c r="N383" s="159">
        <f t="shared" si="135"/>
        <v>32500</v>
      </c>
      <c r="O383" s="122"/>
    </row>
    <row r="384" hidden="1">
      <c r="A384" s="314"/>
      <c r="B384" s="315"/>
      <c r="C384" s="125"/>
      <c r="D384" s="313"/>
      <c r="E384" s="313"/>
      <c r="F384" s="125"/>
      <c r="G384" s="313"/>
      <c r="H384" s="125"/>
      <c r="I384" s="313"/>
      <c r="J384" s="125"/>
      <c r="K384" s="122"/>
    </row>
    <row r="385" hidden="1">
      <c r="A385" s="312"/>
      <c r="B385" s="125"/>
      <c r="C385" s="125"/>
      <c r="D385" s="125"/>
      <c r="E385" s="125"/>
      <c r="F385" s="313"/>
      <c r="G385" s="125"/>
      <c r="H385" s="313"/>
      <c r="I385" s="313"/>
      <c r="J385" s="313"/>
      <c r="K385" s="313"/>
      <c r="L385" s="125"/>
      <c r="M385" s="125"/>
    </row>
    <row r="386" hidden="1">
      <c r="A386" s="195" t="s">
        <v>495</v>
      </c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7"/>
    </row>
    <row r="387" hidden="1">
      <c r="A387" s="200" t="s">
        <v>288</v>
      </c>
      <c r="B387" s="222"/>
      <c r="C387" s="221"/>
      <c r="D387" s="221"/>
      <c r="E387" s="199"/>
      <c r="F387" s="199"/>
      <c r="G387" s="221"/>
      <c r="H387" s="199"/>
      <c r="I387" s="221"/>
      <c r="J387" s="199"/>
      <c r="K387" s="221"/>
      <c r="L387" s="202"/>
      <c r="M387" s="202"/>
      <c r="N387" s="202"/>
    </row>
    <row r="388" hidden="1">
      <c r="A388" s="198" t="s">
        <v>40</v>
      </c>
      <c r="B388" s="221"/>
      <c r="C388" s="221">
        <f>2*C383</f>
        <v>9375</v>
      </c>
      <c r="D388" s="221"/>
      <c r="E388" s="221">
        <f>2*E383</f>
        <v>4583.333333</v>
      </c>
      <c r="F388" s="221"/>
      <c r="G388" s="221">
        <f t="shared" ref="G388:I388" si="136">4*G383</f>
        <v>12500</v>
      </c>
      <c r="H388" s="221">
        <f t="shared" si="136"/>
        <v>10833.33333</v>
      </c>
      <c r="I388" s="199">
        <f t="shared" si="136"/>
        <v>12500</v>
      </c>
      <c r="J388" s="221"/>
      <c r="K388" s="199"/>
      <c r="L388" s="251"/>
      <c r="M388" s="251"/>
      <c r="N388" s="251"/>
    </row>
    <row r="389" hidden="1">
      <c r="A389" s="200" t="s">
        <v>496</v>
      </c>
      <c r="B389" s="221">
        <f>5*B383</f>
        <v>23437.5</v>
      </c>
      <c r="C389" s="221">
        <f>8*C383</f>
        <v>37500</v>
      </c>
      <c r="D389" s="211"/>
      <c r="E389" s="221">
        <f>8*E383</f>
        <v>18333.33333</v>
      </c>
      <c r="F389" s="222"/>
      <c r="G389" s="221">
        <f t="shared" ref="G389:I389" si="137">6*G383</f>
        <v>18750</v>
      </c>
      <c r="H389" s="221">
        <f t="shared" si="137"/>
        <v>16250</v>
      </c>
      <c r="I389" s="221">
        <f t="shared" si="137"/>
        <v>18750</v>
      </c>
      <c r="J389" s="221"/>
      <c r="K389" s="211"/>
      <c r="L389" s="252"/>
      <c r="M389" s="252"/>
      <c r="N389" s="252"/>
    </row>
    <row r="390" hidden="1">
      <c r="A390" s="200" t="s">
        <v>119</v>
      </c>
      <c r="B390" s="255"/>
      <c r="C390" s="255"/>
      <c r="D390" s="255"/>
      <c r="E390" s="255"/>
      <c r="F390" s="256"/>
      <c r="G390" s="255"/>
      <c r="H390" s="255"/>
      <c r="I390" s="255"/>
      <c r="J390" s="255"/>
      <c r="K390" s="255"/>
      <c r="L390" s="257"/>
      <c r="M390" s="257"/>
      <c r="N390" s="257"/>
    </row>
    <row r="391" hidden="1">
      <c r="A391" s="200" t="s">
        <v>453</v>
      </c>
      <c r="B391" s="255"/>
      <c r="C391" s="255"/>
      <c r="D391" s="255"/>
      <c r="E391" s="255"/>
      <c r="F391" s="255"/>
      <c r="G391" s="255"/>
      <c r="H391" s="255"/>
      <c r="I391" s="255"/>
      <c r="J391" s="255">
        <f>2660+7344</f>
        <v>10004</v>
      </c>
      <c r="K391" s="255"/>
      <c r="L391" s="255"/>
      <c r="M391" s="255"/>
      <c r="N391" s="257"/>
    </row>
    <row r="392" hidden="1">
      <c r="A392" s="205" t="s">
        <v>118</v>
      </c>
      <c r="B392" s="226">
        <f t="shared" ref="B392:C392" si="138">B381+B388+B389</f>
        <v>248437.5</v>
      </c>
      <c r="C392" s="226">
        <f t="shared" si="138"/>
        <v>271875</v>
      </c>
      <c r="D392" s="226">
        <f>D381</f>
        <v>200000</v>
      </c>
      <c r="E392" s="226">
        <f>E381+E388+E389</f>
        <v>132916.6667</v>
      </c>
      <c r="F392" s="226">
        <f>F379</f>
        <v>270000</v>
      </c>
      <c r="G392" s="226">
        <f t="shared" ref="G392:H392" si="139">G381+G388+G389</f>
        <v>181250</v>
      </c>
      <c r="H392" s="226">
        <f t="shared" si="139"/>
        <v>157083.3333</v>
      </c>
      <c r="I392" s="226">
        <f>I379+I389+I388</f>
        <v>181250</v>
      </c>
      <c r="J392" s="226">
        <f>J381+J388+J389-J391</f>
        <v>89996</v>
      </c>
      <c r="K392" s="305">
        <f>K378</f>
        <v>125000</v>
      </c>
      <c r="L392" s="206"/>
      <c r="M392" s="206">
        <f>42000+88000</f>
        <v>130000</v>
      </c>
      <c r="N392" s="206">
        <f>SUM(B392:K392)</f>
        <v>1857808.5</v>
      </c>
    </row>
    <row r="393" hidden="1">
      <c r="A393" s="126" t="s">
        <v>0</v>
      </c>
      <c r="B393" s="127" t="s">
        <v>90</v>
      </c>
      <c r="C393" s="127" t="s">
        <v>3</v>
      </c>
      <c r="D393" s="183" t="s">
        <v>109</v>
      </c>
      <c r="E393" s="183" t="s">
        <v>155</v>
      </c>
      <c r="F393" s="183" t="s">
        <v>195</v>
      </c>
      <c r="G393" s="183" t="s">
        <v>476</v>
      </c>
      <c r="H393" s="129" t="s">
        <v>51</v>
      </c>
      <c r="I393" s="129" t="s">
        <v>244</v>
      </c>
      <c r="J393" s="129" t="s">
        <v>477</v>
      </c>
      <c r="K393" s="129" t="s">
        <v>206</v>
      </c>
      <c r="L393" s="129"/>
      <c r="M393" s="129" t="s">
        <v>394</v>
      </c>
      <c r="N393" s="128" t="s">
        <v>110</v>
      </c>
    </row>
    <row r="394" hidden="1">
      <c r="A394" s="272"/>
      <c r="B394" s="274" t="s">
        <v>326</v>
      </c>
      <c r="C394" s="274" t="s">
        <v>326</v>
      </c>
      <c r="D394" s="274" t="s">
        <v>326</v>
      </c>
      <c r="E394" s="274"/>
      <c r="F394" s="316" t="s">
        <v>375</v>
      </c>
      <c r="G394" s="247"/>
      <c r="H394" s="247"/>
      <c r="I394" s="247"/>
      <c r="J394" s="247"/>
      <c r="K394" s="247"/>
      <c r="L394" s="272"/>
      <c r="M394" s="272"/>
    </row>
    <row r="395" hidden="1">
      <c r="A395" s="243"/>
      <c r="B395" s="310"/>
      <c r="C395" s="310"/>
      <c r="D395" s="310"/>
      <c r="E395" s="310"/>
      <c r="F395" s="310"/>
      <c r="G395" s="310"/>
      <c r="H395" s="310"/>
      <c r="I395" s="310"/>
      <c r="J395" s="310"/>
      <c r="K395" s="218"/>
    </row>
    <row r="396" hidden="1">
      <c r="A396" s="241"/>
      <c r="B396" s="310"/>
      <c r="C396" s="310"/>
      <c r="D396" s="310"/>
      <c r="E396" s="310"/>
      <c r="F396" s="310"/>
      <c r="G396" s="310"/>
      <c r="H396" s="310"/>
      <c r="I396" s="310"/>
      <c r="J396" s="310"/>
      <c r="K396" s="218"/>
    </row>
    <row r="397" hidden="1">
      <c r="A397" s="195" t="s">
        <v>497</v>
      </c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7"/>
    </row>
    <row r="398" hidden="1">
      <c r="A398" s="200" t="s">
        <v>288</v>
      </c>
      <c r="B398" s="222"/>
      <c r="C398" s="221"/>
      <c r="D398" s="221"/>
      <c r="E398" s="199"/>
      <c r="F398" s="199"/>
      <c r="G398" s="221"/>
      <c r="H398" s="199"/>
      <c r="I398" s="221"/>
      <c r="J398" s="199"/>
      <c r="K398" s="221"/>
      <c r="L398" s="202"/>
      <c r="M398" s="202"/>
      <c r="N398" s="202"/>
    </row>
    <row r="399" hidden="1">
      <c r="A399" s="198" t="s">
        <v>40</v>
      </c>
      <c r="B399" s="221"/>
      <c r="C399" s="221"/>
      <c r="D399" s="221"/>
      <c r="E399" s="221">
        <f>8*E383</f>
        <v>18333.33333</v>
      </c>
      <c r="F399" s="221"/>
      <c r="G399" s="221">
        <f>1*G383</f>
        <v>3125</v>
      </c>
      <c r="H399" s="221"/>
      <c r="I399" s="199"/>
      <c r="J399" s="221"/>
      <c r="K399" s="199"/>
      <c r="L399" s="251"/>
      <c r="M399" s="251"/>
      <c r="N399" s="251"/>
    </row>
    <row r="400" hidden="1">
      <c r="A400" s="200"/>
      <c r="B400" s="221"/>
      <c r="C400" s="221"/>
      <c r="D400" s="211"/>
      <c r="E400" s="221"/>
      <c r="F400" s="222"/>
      <c r="G400" s="221"/>
      <c r="H400" s="221"/>
      <c r="I400" s="221"/>
      <c r="J400" s="221"/>
      <c r="K400" s="211"/>
      <c r="L400" s="252"/>
      <c r="M400" s="252"/>
      <c r="N400" s="252"/>
    </row>
    <row r="401" hidden="1">
      <c r="A401" s="200" t="s">
        <v>119</v>
      </c>
      <c r="B401" s="255"/>
      <c r="C401" s="255"/>
      <c r="D401" s="255"/>
      <c r="E401" s="255"/>
      <c r="F401" s="256"/>
      <c r="G401" s="255"/>
      <c r="H401" s="255"/>
      <c r="I401" s="255"/>
      <c r="J401" s="255"/>
      <c r="K401" s="255"/>
      <c r="L401" s="257"/>
      <c r="M401" s="257"/>
      <c r="N401" s="257"/>
    </row>
    <row r="402" hidden="1">
      <c r="A402" s="200" t="s">
        <v>453</v>
      </c>
      <c r="B402" s="255"/>
      <c r="C402" s="255"/>
      <c r="D402" s="255"/>
      <c r="E402" s="255"/>
      <c r="F402" s="255"/>
      <c r="G402" s="255"/>
      <c r="H402" s="255"/>
      <c r="I402" s="255"/>
      <c r="J402" s="255"/>
      <c r="K402" s="255"/>
      <c r="L402" s="255"/>
      <c r="M402" s="255"/>
      <c r="N402" s="257"/>
    </row>
    <row r="403" hidden="1">
      <c r="A403" s="205" t="s">
        <v>118</v>
      </c>
      <c r="B403" s="226">
        <f t="shared" ref="B403:C403" si="140">B378</f>
        <v>225000</v>
      </c>
      <c r="C403" s="226">
        <f t="shared" si="140"/>
        <v>225000</v>
      </c>
      <c r="D403" s="226">
        <v>400000.0</v>
      </c>
      <c r="E403" s="226">
        <f>E380+E399</f>
        <v>128333.3333</v>
      </c>
      <c r="F403" s="226">
        <f>F380</f>
        <v>270000</v>
      </c>
      <c r="G403" s="226">
        <f>G381+G399</f>
        <v>153125</v>
      </c>
      <c r="H403" s="226">
        <f t="shared" ref="H403:J403" si="141">H381</f>
        <v>130000</v>
      </c>
      <c r="I403" s="226">
        <f t="shared" si="141"/>
        <v>150000</v>
      </c>
      <c r="J403" s="226">
        <f t="shared" si="141"/>
        <v>100000</v>
      </c>
      <c r="K403" s="311" t="str">
        <f>K389</f>
        <v/>
      </c>
      <c r="L403" s="206"/>
      <c r="M403" s="206"/>
      <c r="N403" s="206">
        <f>SUM(B403:K403)</f>
        <v>1781458.333</v>
      </c>
    </row>
    <row r="404" hidden="1">
      <c r="A404" s="126" t="s">
        <v>0</v>
      </c>
      <c r="B404" s="127" t="s">
        <v>90</v>
      </c>
      <c r="C404" s="127" t="s">
        <v>3</v>
      </c>
      <c r="D404" s="183" t="s">
        <v>109</v>
      </c>
      <c r="E404" s="183" t="s">
        <v>155</v>
      </c>
      <c r="F404" s="183" t="s">
        <v>195</v>
      </c>
      <c r="G404" s="183" t="s">
        <v>476</v>
      </c>
      <c r="H404" s="129" t="s">
        <v>51</v>
      </c>
      <c r="I404" s="129" t="s">
        <v>244</v>
      </c>
      <c r="J404" s="129" t="s">
        <v>477</v>
      </c>
      <c r="K404" s="129" t="s">
        <v>206</v>
      </c>
      <c r="L404" s="129"/>
      <c r="M404" s="129" t="s">
        <v>394</v>
      </c>
      <c r="N404" s="128" t="s">
        <v>110</v>
      </c>
    </row>
    <row r="405" hidden="1">
      <c r="A405" s="272"/>
      <c r="B405" s="274" t="s">
        <v>326</v>
      </c>
      <c r="C405" s="274" t="s">
        <v>326</v>
      </c>
      <c r="D405" s="274" t="s">
        <v>326</v>
      </c>
      <c r="E405" s="274" t="s">
        <v>375</v>
      </c>
      <c r="F405" s="316" t="s">
        <v>498</v>
      </c>
      <c r="G405" s="247" t="s">
        <v>375</v>
      </c>
      <c r="H405" s="247" t="s">
        <v>375</v>
      </c>
      <c r="I405" s="247" t="s">
        <v>498</v>
      </c>
      <c r="J405" s="247" t="s">
        <v>375</v>
      </c>
      <c r="K405" s="247"/>
      <c r="L405" s="247"/>
      <c r="M405" s="247" t="s">
        <v>280</v>
      </c>
    </row>
    <row r="406" hidden="1">
      <c r="A406" s="314"/>
      <c r="B406" s="253" t="s">
        <v>280</v>
      </c>
      <c r="C406" s="315" t="s">
        <v>280</v>
      </c>
      <c r="D406" s="253" t="s">
        <v>499</v>
      </c>
      <c r="E406" s="315"/>
      <c r="F406" s="125"/>
      <c r="G406" s="125"/>
      <c r="H406" s="125"/>
      <c r="I406" s="125"/>
      <c r="J406" s="253"/>
      <c r="K406" s="263"/>
      <c r="L406" s="253"/>
      <c r="M406" s="253"/>
    </row>
    <row r="407" hidden="1">
      <c r="A407" s="314"/>
      <c r="B407" s="125"/>
      <c r="C407" s="125"/>
      <c r="D407" s="125"/>
      <c r="E407" s="317"/>
      <c r="F407" s="125"/>
      <c r="G407" s="125"/>
      <c r="H407" s="125"/>
      <c r="I407" s="125"/>
      <c r="J407" s="125"/>
      <c r="K407" s="318"/>
      <c r="L407" s="125"/>
      <c r="M407" s="125"/>
    </row>
    <row r="408" hidden="1">
      <c r="A408" s="195" t="s">
        <v>500</v>
      </c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7"/>
    </row>
    <row r="409" hidden="1">
      <c r="A409" s="200" t="s">
        <v>288</v>
      </c>
      <c r="B409" s="222"/>
      <c r="C409" s="221"/>
      <c r="D409" s="221"/>
      <c r="E409" s="199"/>
      <c r="F409" s="199"/>
      <c r="G409" s="221"/>
      <c r="H409" s="199"/>
      <c r="I409" s="221"/>
      <c r="J409" s="199"/>
      <c r="K409" s="221"/>
      <c r="L409" s="202"/>
      <c r="M409" s="202"/>
      <c r="N409" s="202"/>
    </row>
    <row r="410" hidden="1">
      <c r="A410" s="198" t="s">
        <v>40</v>
      </c>
      <c r="B410" s="221"/>
      <c r="C410" s="221"/>
      <c r="D410" s="221"/>
      <c r="E410" s="221">
        <f>13*E383</f>
        <v>29791.66667</v>
      </c>
      <c r="F410" s="221"/>
      <c r="G410" s="221">
        <f>1*G394</f>
        <v>0</v>
      </c>
      <c r="H410" s="221"/>
      <c r="I410" s="199"/>
      <c r="J410" s="221">
        <f>6*J383</f>
        <v>12500</v>
      </c>
      <c r="K410" s="199"/>
      <c r="L410" s="251"/>
      <c r="M410" s="251"/>
      <c r="N410" s="251"/>
    </row>
    <row r="411" hidden="1">
      <c r="A411" s="200" t="s">
        <v>501</v>
      </c>
      <c r="B411" s="221"/>
      <c r="C411" s="221"/>
      <c r="D411" s="211"/>
      <c r="E411" s="221">
        <f>(9*E383)*30%</f>
        <v>6187.5</v>
      </c>
      <c r="F411" s="222"/>
      <c r="G411" s="221">
        <f>(9*G383)*30%</f>
        <v>8437.5</v>
      </c>
      <c r="H411" s="221"/>
      <c r="I411" s="221">
        <v>150000.0</v>
      </c>
      <c r="J411" s="221">
        <f>(9*J383)*30%</f>
        <v>5625</v>
      </c>
      <c r="K411" s="211"/>
      <c r="L411" s="252"/>
      <c r="M411" s="252"/>
      <c r="N411" s="252"/>
    </row>
    <row r="412" hidden="1">
      <c r="A412" s="200" t="s">
        <v>119</v>
      </c>
      <c r="B412" s="255"/>
      <c r="C412" s="255"/>
      <c r="D412" s="255"/>
      <c r="E412" s="255"/>
      <c r="F412" s="256"/>
      <c r="G412" s="255"/>
      <c r="H412" s="255"/>
      <c r="I412" s="255"/>
      <c r="J412" s="255"/>
      <c r="K412" s="255"/>
      <c r="L412" s="257"/>
      <c r="M412" s="257"/>
      <c r="N412" s="257"/>
    </row>
    <row r="413" hidden="1">
      <c r="A413" s="200" t="s">
        <v>453</v>
      </c>
      <c r="B413" s="255"/>
      <c r="C413" s="255"/>
      <c r="D413" s="255"/>
      <c r="E413" s="255"/>
      <c r="F413" s="255"/>
      <c r="G413" s="255"/>
      <c r="H413" s="255"/>
      <c r="I413" s="255"/>
      <c r="J413" s="255">
        <f>2240+8190+4550+4020</f>
        <v>19000</v>
      </c>
      <c r="K413" s="255"/>
      <c r="L413" s="255"/>
      <c r="M413" s="255"/>
      <c r="N413" s="257"/>
    </row>
    <row r="414" hidden="1">
      <c r="A414" s="205" t="s">
        <v>118</v>
      </c>
      <c r="B414" s="226">
        <f t="shared" ref="B414:C414" si="142">B381</f>
        <v>225000</v>
      </c>
      <c r="C414" s="226">
        <f t="shared" si="142"/>
        <v>225000</v>
      </c>
      <c r="D414" s="226">
        <v>400000.0</v>
      </c>
      <c r="E414" s="226">
        <f>E381+E411+E410</f>
        <v>145979.1667</v>
      </c>
      <c r="F414" s="226">
        <f>F381</f>
        <v>270000</v>
      </c>
      <c r="G414" s="226">
        <f>G381+G411</f>
        <v>158437.5</v>
      </c>
      <c r="H414" s="226">
        <f>H378</f>
        <v>130000</v>
      </c>
      <c r="I414" s="226"/>
      <c r="J414" s="226">
        <f>J380+J410+J411-J413</f>
        <v>99125</v>
      </c>
      <c r="K414" s="311" t="str">
        <f>K400</f>
        <v/>
      </c>
      <c r="L414" s="226"/>
      <c r="M414" s="226">
        <v>120000.0</v>
      </c>
      <c r="N414" s="206">
        <f>SUM(B414:M414)</f>
        <v>1773541.667</v>
      </c>
    </row>
    <row r="415" hidden="1">
      <c r="A415" s="126" t="s">
        <v>0</v>
      </c>
      <c r="B415" s="127" t="s">
        <v>90</v>
      </c>
      <c r="C415" s="127" t="s">
        <v>3</v>
      </c>
      <c r="D415" s="183" t="s">
        <v>109</v>
      </c>
      <c r="E415" s="183" t="s">
        <v>155</v>
      </c>
      <c r="F415" s="183" t="s">
        <v>195</v>
      </c>
      <c r="G415" s="183" t="s">
        <v>476</v>
      </c>
      <c r="H415" s="129" t="s">
        <v>51</v>
      </c>
      <c r="I415" s="129" t="s">
        <v>244</v>
      </c>
      <c r="J415" s="129" t="s">
        <v>477</v>
      </c>
      <c r="K415" s="129" t="s">
        <v>206</v>
      </c>
      <c r="L415" s="129"/>
      <c r="M415" s="129" t="s">
        <v>394</v>
      </c>
      <c r="N415" s="128" t="s">
        <v>110</v>
      </c>
    </row>
    <row r="416" hidden="1">
      <c r="A416" s="272"/>
      <c r="B416" s="274" t="s">
        <v>326</v>
      </c>
      <c r="C416" s="274" t="s">
        <v>326</v>
      </c>
      <c r="D416" s="274"/>
      <c r="E416" s="274" t="s">
        <v>375</v>
      </c>
      <c r="F416" s="316" t="s">
        <v>498</v>
      </c>
      <c r="G416" s="247" t="s">
        <v>375</v>
      </c>
      <c r="H416" s="247" t="s">
        <v>375</v>
      </c>
      <c r="I416" s="247" t="s">
        <v>375</v>
      </c>
      <c r="J416" s="247" t="s">
        <v>375</v>
      </c>
      <c r="K416" s="247"/>
      <c r="L416" s="247"/>
      <c r="M416" s="247" t="s">
        <v>375</v>
      </c>
    </row>
    <row r="417" hidden="1">
      <c r="A417" s="314"/>
      <c r="B417" s="253"/>
      <c r="C417" s="315"/>
      <c r="D417" s="253"/>
      <c r="E417" s="315" t="s">
        <v>502</v>
      </c>
      <c r="F417" s="125"/>
      <c r="G417" s="125"/>
      <c r="H417" s="125"/>
      <c r="I417" s="125"/>
      <c r="J417" s="253"/>
      <c r="K417" s="263"/>
      <c r="L417" s="253"/>
      <c r="M417" s="253"/>
    </row>
    <row r="418" hidden="1">
      <c r="A418" s="314"/>
      <c r="B418" s="125"/>
      <c r="C418" s="125"/>
      <c r="D418" s="125"/>
      <c r="E418" s="317" t="s">
        <v>503</v>
      </c>
      <c r="F418" s="125"/>
      <c r="G418" s="125"/>
      <c r="H418" s="125"/>
      <c r="I418" s="125"/>
      <c r="J418" s="125"/>
      <c r="K418" s="318"/>
      <c r="L418" s="125"/>
      <c r="M418" s="125"/>
    </row>
    <row r="419" hidden="1">
      <c r="A419" s="195" t="s">
        <v>504</v>
      </c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7"/>
    </row>
    <row r="420" hidden="1">
      <c r="A420" s="200" t="s">
        <v>288</v>
      </c>
      <c r="B420" s="222"/>
      <c r="C420" s="221"/>
      <c r="D420" s="221"/>
      <c r="E420" s="199"/>
      <c r="F420" s="199"/>
      <c r="G420" s="221"/>
      <c r="H420" s="199"/>
      <c r="I420" s="221"/>
      <c r="J420" s="199"/>
      <c r="K420" s="221"/>
      <c r="L420" s="202"/>
      <c r="M420" s="202"/>
      <c r="N420" s="202"/>
    </row>
    <row r="421" hidden="1">
      <c r="A421" s="198" t="s">
        <v>40</v>
      </c>
      <c r="B421" s="221"/>
      <c r="C421" s="221"/>
      <c r="D421" s="221"/>
      <c r="E421" s="221"/>
      <c r="F421" s="221"/>
      <c r="G421" s="221"/>
      <c r="H421" s="221"/>
      <c r="I421" s="199"/>
      <c r="J421" s="221"/>
      <c r="K421" s="199"/>
      <c r="L421" s="251"/>
      <c r="M421" s="251"/>
      <c r="N421" s="251"/>
    </row>
    <row r="422" hidden="1">
      <c r="A422" s="200" t="s">
        <v>501</v>
      </c>
      <c r="B422" s="221"/>
      <c r="C422" s="221">
        <f>(5*C383)</f>
        <v>23437.5</v>
      </c>
      <c r="D422" s="211"/>
      <c r="E422" s="221">
        <f>(9*E383)*30%</f>
        <v>6187.5</v>
      </c>
      <c r="F422" s="222"/>
      <c r="G422" s="221">
        <f>(9*G383)*30%</f>
        <v>8437.5</v>
      </c>
      <c r="H422" s="221"/>
      <c r="I422" s="221"/>
      <c r="J422" s="221">
        <f>(9*J383)*30%</f>
        <v>5625</v>
      </c>
      <c r="K422" s="211"/>
      <c r="L422" s="252"/>
      <c r="M422" s="252"/>
      <c r="N422" s="252"/>
    </row>
    <row r="423" hidden="1">
      <c r="A423" s="200" t="s">
        <v>141</v>
      </c>
      <c r="B423" s="255">
        <f>8*B383</f>
        <v>37500</v>
      </c>
      <c r="C423" s="255">
        <f>10*C383</f>
        <v>46875</v>
      </c>
      <c r="D423" s="255"/>
      <c r="E423" s="255"/>
      <c r="F423" s="256"/>
      <c r="G423" s="255"/>
      <c r="H423" s="319">
        <f t="shared" ref="H423:I423" si="143">10*H383</f>
        <v>27083.33333</v>
      </c>
      <c r="I423" s="255">
        <f t="shared" si="143"/>
        <v>31250</v>
      </c>
      <c r="J423" s="255"/>
      <c r="K423" s="255"/>
      <c r="L423" s="257"/>
      <c r="M423" s="257"/>
      <c r="N423" s="257"/>
    </row>
    <row r="424" hidden="1">
      <c r="A424" s="200" t="s">
        <v>453</v>
      </c>
      <c r="B424" s="255"/>
      <c r="C424" s="255"/>
      <c r="D424" s="255"/>
      <c r="E424" s="255"/>
      <c r="F424" s="255"/>
      <c r="G424" s="255"/>
      <c r="H424" s="255">
        <v>29000.0</v>
      </c>
      <c r="I424" s="255"/>
      <c r="J424" s="255"/>
      <c r="K424" s="255"/>
      <c r="L424" s="255"/>
      <c r="M424" s="255"/>
      <c r="N424" s="257"/>
    </row>
    <row r="425" hidden="1">
      <c r="A425" s="205" t="s">
        <v>118</v>
      </c>
      <c r="B425" s="226">
        <f>B381+B423</f>
        <v>262500</v>
      </c>
      <c r="C425" s="226">
        <f>C381+C423+C422</f>
        <v>295312.5</v>
      </c>
      <c r="D425" s="226">
        <v>250000.0</v>
      </c>
      <c r="E425" s="226">
        <f>E379+E422</f>
        <v>116187.5</v>
      </c>
      <c r="F425" s="226">
        <f>F392</f>
        <v>270000</v>
      </c>
      <c r="G425" s="226">
        <f>G381+G422</f>
        <v>158437.5</v>
      </c>
      <c r="H425" s="320">
        <f>H381+H423-H424</f>
        <v>128083.3333</v>
      </c>
      <c r="I425" s="226">
        <f>I381+I423</f>
        <v>181250</v>
      </c>
      <c r="J425" s="226">
        <f>J381+J422</f>
        <v>105625</v>
      </c>
      <c r="K425" s="311" t="str">
        <f>K411</f>
        <v/>
      </c>
      <c r="L425" s="226"/>
      <c r="M425" s="226">
        <v>120000.0</v>
      </c>
      <c r="N425" s="206">
        <f>SUM(B425:M425)</f>
        <v>1887395.833</v>
      </c>
    </row>
    <row r="426" hidden="1">
      <c r="A426" s="126" t="s">
        <v>0</v>
      </c>
      <c r="B426" s="127" t="s">
        <v>90</v>
      </c>
      <c r="C426" s="127" t="s">
        <v>3</v>
      </c>
      <c r="D426" s="183" t="s">
        <v>109</v>
      </c>
      <c r="E426" s="183" t="s">
        <v>155</v>
      </c>
      <c r="F426" s="183" t="s">
        <v>195</v>
      </c>
      <c r="G426" s="183" t="s">
        <v>476</v>
      </c>
      <c r="H426" s="129" t="s">
        <v>51</v>
      </c>
      <c r="I426" s="129" t="s">
        <v>244</v>
      </c>
      <c r="J426" s="129" t="s">
        <v>477</v>
      </c>
      <c r="K426" s="129" t="s">
        <v>206</v>
      </c>
      <c r="L426" s="129"/>
      <c r="M426" s="129" t="s">
        <v>394</v>
      </c>
      <c r="N426" s="128" t="s">
        <v>110</v>
      </c>
    </row>
    <row r="427" hidden="1">
      <c r="A427" s="312"/>
      <c r="B427" s="125" t="s">
        <v>326</v>
      </c>
      <c r="C427" s="125" t="s">
        <v>326</v>
      </c>
      <c r="D427" s="125" t="s">
        <v>326</v>
      </c>
      <c r="E427" s="125"/>
      <c r="F427" s="313"/>
      <c r="G427" s="125"/>
      <c r="H427" s="313"/>
      <c r="I427" s="313"/>
      <c r="J427" s="313"/>
      <c r="K427" s="313"/>
      <c r="L427" s="125"/>
      <c r="M427" s="125"/>
    </row>
    <row r="428" hidden="1">
      <c r="A428" s="314"/>
      <c r="B428" s="253"/>
      <c r="C428" s="315"/>
      <c r="D428" s="125" t="s">
        <v>505</v>
      </c>
      <c r="E428" s="315"/>
      <c r="F428" s="125"/>
      <c r="G428" s="125"/>
      <c r="H428" s="125"/>
      <c r="I428" s="125"/>
      <c r="J428" s="253"/>
      <c r="K428" s="263"/>
      <c r="L428" s="253"/>
      <c r="M428" s="253"/>
    </row>
    <row r="429" hidden="1">
      <c r="A429" s="126" t="s">
        <v>0</v>
      </c>
      <c r="B429" s="127" t="s">
        <v>90</v>
      </c>
      <c r="C429" s="127" t="s">
        <v>3</v>
      </c>
      <c r="D429" s="183" t="s">
        <v>109</v>
      </c>
      <c r="E429" s="183" t="s">
        <v>155</v>
      </c>
      <c r="F429" s="183" t="s">
        <v>195</v>
      </c>
      <c r="G429" s="183" t="s">
        <v>476</v>
      </c>
      <c r="H429" s="129" t="s">
        <v>51</v>
      </c>
      <c r="I429" s="129" t="s">
        <v>244</v>
      </c>
      <c r="J429" s="129" t="s">
        <v>477</v>
      </c>
      <c r="K429" s="129" t="s">
        <v>394</v>
      </c>
      <c r="L429" s="129"/>
      <c r="M429" s="129" t="s">
        <v>10</v>
      </c>
      <c r="N429" s="128" t="s">
        <v>110</v>
      </c>
    </row>
    <row r="430" hidden="1">
      <c r="A430" s="130" t="s">
        <v>137</v>
      </c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2"/>
    </row>
    <row r="431" hidden="1">
      <c r="A431" s="133" t="s">
        <v>111</v>
      </c>
      <c r="B431" s="134">
        <v>225000.0</v>
      </c>
      <c r="C431" s="134">
        <v>225000.0</v>
      </c>
      <c r="D431" s="134">
        <v>250000.0</v>
      </c>
      <c r="E431" s="134">
        <v>110000.0</v>
      </c>
      <c r="F431" s="134">
        <v>270000.0</v>
      </c>
      <c r="G431" s="134">
        <v>150000.0</v>
      </c>
      <c r="H431" s="134">
        <v>130000.0</v>
      </c>
      <c r="I431" s="134">
        <v>150000.0</v>
      </c>
      <c r="J431" s="134">
        <v>100000.0</v>
      </c>
      <c r="K431" s="134">
        <v>150000.0</v>
      </c>
      <c r="L431" s="134"/>
      <c r="M431" s="134">
        <v>150000.0</v>
      </c>
      <c r="N431" s="139">
        <f t="shared" ref="N431:N434" si="144">SUM(B431:M431)</f>
        <v>1910000</v>
      </c>
    </row>
    <row r="432" hidden="1">
      <c r="A432" s="137"/>
      <c r="B432" s="134">
        <v>225000.0</v>
      </c>
      <c r="C432" s="134">
        <v>225000.0</v>
      </c>
      <c r="D432" s="134">
        <v>250000.0</v>
      </c>
      <c r="E432" s="134">
        <v>110000.0</v>
      </c>
      <c r="F432" s="134">
        <v>270000.0</v>
      </c>
      <c r="G432" s="134">
        <v>150000.0</v>
      </c>
      <c r="H432" s="134">
        <v>130000.0</v>
      </c>
      <c r="I432" s="134">
        <v>150000.0</v>
      </c>
      <c r="J432" s="134">
        <v>100000.0</v>
      </c>
      <c r="K432" s="134">
        <v>150000.0</v>
      </c>
      <c r="L432" s="134"/>
      <c r="M432" s="134">
        <v>150000.0</v>
      </c>
      <c r="N432" s="139">
        <f t="shared" si="144"/>
        <v>1910000</v>
      </c>
      <c r="Q432" s="91"/>
    </row>
    <row r="433" hidden="1">
      <c r="A433" s="137"/>
      <c r="B433" s="134">
        <v>225000.0</v>
      </c>
      <c r="C433" s="134">
        <v>225000.0</v>
      </c>
      <c r="D433" s="134">
        <v>250000.0</v>
      </c>
      <c r="E433" s="134">
        <v>110000.0</v>
      </c>
      <c r="F433" s="134">
        <v>270000.0</v>
      </c>
      <c r="G433" s="134">
        <v>150000.0</v>
      </c>
      <c r="H433" s="134">
        <v>130000.0</v>
      </c>
      <c r="I433" s="134">
        <v>150000.0</v>
      </c>
      <c r="J433" s="134">
        <v>100000.0</v>
      </c>
      <c r="K433" s="134">
        <v>150000.0</v>
      </c>
      <c r="L433" s="134"/>
      <c r="M433" s="134">
        <v>150000.0</v>
      </c>
      <c r="N433" s="139">
        <f t="shared" si="144"/>
        <v>1910000</v>
      </c>
    </row>
    <row r="434" hidden="1">
      <c r="A434" s="138"/>
      <c r="B434" s="134">
        <v>225000.0</v>
      </c>
      <c r="C434" s="134">
        <v>225000.0</v>
      </c>
      <c r="D434" s="134">
        <v>250000.0</v>
      </c>
      <c r="E434" s="134">
        <v>110000.0</v>
      </c>
      <c r="F434" s="134">
        <v>270000.0</v>
      </c>
      <c r="G434" s="134">
        <v>150000.0</v>
      </c>
      <c r="H434" s="134">
        <v>130000.0</v>
      </c>
      <c r="I434" s="134">
        <v>150000.0</v>
      </c>
      <c r="J434" s="134">
        <v>100000.0</v>
      </c>
      <c r="K434" s="134">
        <v>150000.0</v>
      </c>
      <c r="L434" s="134"/>
      <c r="M434" s="134">
        <v>150000.0</v>
      </c>
      <c r="N434" s="139">
        <f t="shared" si="144"/>
        <v>1910000</v>
      </c>
    </row>
    <row r="435" hidden="1">
      <c r="A435" s="140" t="s">
        <v>113</v>
      </c>
      <c r="B435" s="141">
        <f t="shared" ref="B435:K435" si="145">SUM(B431:B434)</f>
        <v>900000</v>
      </c>
      <c r="C435" s="141">
        <f t="shared" si="145"/>
        <v>900000</v>
      </c>
      <c r="D435" s="141">
        <f t="shared" si="145"/>
        <v>1000000</v>
      </c>
      <c r="E435" s="141">
        <f t="shared" si="145"/>
        <v>440000</v>
      </c>
      <c r="F435" s="141">
        <f t="shared" si="145"/>
        <v>1080000</v>
      </c>
      <c r="G435" s="141">
        <f t="shared" si="145"/>
        <v>600000</v>
      </c>
      <c r="H435" s="141">
        <f t="shared" si="145"/>
        <v>520000</v>
      </c>
      <c r="I435" s="141">
        <f t="shared" si="145"/>
        <v>600000</v>
      </c>
      <c r="J435" s="141">
        <f t="shared" si="145"/>
        <v>400000</v>
      </c>
      <c r="K435" s="141">
        <f t="shared" si="145"/>
        <v>600000</v>
      </c>
      <c r="L435" s="141"/>
      <c r="M435" s="141">
        <f t="shared" ref="M435:N435" si="146">SUM(M431:M434)</f>
        <v>600000</v>
      </c>
      <c r="N435" s="141">
        <f t="shared" si="146"/>
        <v>7640000</v>
      </c>
    </row>
    <row r="436" hidden="1">
      <c r="A436" s="157" t="s">
        <v>138</v>
      </c>
      <c r="B436" s="158">
        <f>B432/6/8</f>
        <v>4687.5</v>
      </c>
      <c r="C436" s="158">
        <f>C431/8/6</f>
        <v>4687.5</v>
      </c>
      <c r="D436" s="158">
        <f>D431/6/8</f>
        <v>5208.333333</v>
      </c>
      <c r="E436" s="158">
        <f>E431/8/6</f>
        <v>2291.666667</v>
      </c>
      <c r="F436" s="158">
        <f t="shared" ref="F436:H436" si="147">F431/6/8</f>
        <v>5625</v>
      </c>
      <c r="G436" s="158">
        <f t="shared" si="147"/>
        <v>3125</v>
      </c>
      <c r="H436" s="158">
        <f t="shared" si="147"/>
        <v>2708.333333</v>
      </c>
      <c r="I436" s="158">
        <f>I432/6/8</f>
        <v>3125</v>
      </c>
      <c r="J436" s="158">
        <f>J431/8/6</f>
        <v>2083.333333</v>
      </c>
      <c r="K436" s="159">
        <f>K431/6/8</f>
        <v>3125</v>
      </c>
      <c r="L436" s="159"/>
      <c r="M436" s="159">
        <f t="shared" ref="M436:N436" si="148">M434/6/8</f>
        <v>3125</v>
      </c>
      <c r="N436" s="159">
        <f t="shared" si="148"/>
        <v>39791.66667</v>
      </c>
      <c r="O436" s="122"/>
    </row>
    <row r="437" hidden="1">
      <c r="A437" s="312"/>
      <c r="B437" s="125"/>
      <c r="C437" s="125"/>
      <c r="D437" s="125"/>
      <c r="E437" s="125"/>
      <c r="F437" s="313"/>
      <c r="G437" s="125"/>
      <c r="H437" s="313"/>
      <c r="I437" s="313"/>
      <c r="J437" s="313"/>
      <c r="K437" s="313"/>
      <c r="L437" s="125"/>
      <c r="M437" s="125"/>
    </row>
    <row r="438" hidden="1">
      <c r="A438" s="314"/>
      <c r="B438" s="253"/>
      <c r="C438" s="315"/>
      <c r="D438" s="253"/>
      <c r="E438" s="315"/>
      <c r="F438" s="125"/>
      <c r="G438" s="125"/>
      <c r="H438" s="125"/>
      <c r="I438" s="125"/>
      <c r="J438" s="253"/>
      <c r="K438" s="263"/>
      <c r="L438" s="253"/>
      <c r="M438" s="253"/>
    </row>
    <row r="439" hidden="1">
      <c r="A439" s="195" t="s">
        <v>506</v>
      </c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7"/>
    </row>
    <row r="440" hidden="1">
      <c r="A440" s="200" t="s">
        <v>288</v>
      </c>
      <c r="B440" s="222"/>
      <c r="C440" s="221"/>
      <c r="D440" s="221"/>
      <c r="E440" s="199"/>
      <c r="F440" s="199"/>
      <c r="G440" s="221"/>
      <c r="H440" s="199"/>
      <c r="I440" s="221"/>
      <c r="J440" s="199"/>
      <c r="K440" s="221"/>
      <c r="L440" s="202"/>
      <c r="M440" s="202"/>
      <c r="N440" s="202"/>
    </row>
    <row r="441" hidden="1">
      <c r="A441" s="198" t="s">
        <v>40</v>
      </c>
      <c r="B441" s="221"/>
      <c r="C441" s="221">
        <f>3*C436</f>
        <v>14062.5</v>
      </c>
      <c r="D441" s="221"/>
      <c r="E441" s="221"/>
      <c r="F441" s="221"/>
      <c r="G441" s="221"/>
      <c r="H441" s="221"/>
      <c r="I441" s="199"/>
      <c r="J441" s="221"/>
      <c r="K441" s="199"/>
      <c r="L441" s="251"/>
      <c r="M441" s="251"/>
      <c r="N441" s="251"/>
    </row>
    <row r="442" hidden="1">
      <c r="A442" s="200" t="s">
        <v>501</v>
      </c>
      <c r="B442" s="221"/>
      <c r="C442" s="221"/>
      <c r="D442" s="211"/>
      <c r="E442" s="221">
        <f>(9*E436)*30%</f>
        <v>6187.5</v>
      </c>
      <c r="F442" s="222"/>
      <c r="G442" s="221">
        <f>(9*G436)*30%</f>
        <v>8437.5</v>
      </c>
      <c r="H442" s="221"/>
      <c r="I442" s="221">
        <f t="shared" ref="I442:J442" si="149">(5*I436)*30%</f>
        <v>4687.5</v>
      </c>
      <c r="J442" s="221">
        <f t="shared" si="149"/>
        <v>3125</v>
      </c>
      <c r="K442" s="211"/>
      <c r="L442" s="252"/>
      <c r="M442" s="252"/>
      <c r="N442" s="252"/>
    </row>
    <row r="443" hidden="1">
      <c r="A443" s="200" t="s">
        <v>141</v>
      </c>
      <c r="B443" s="255">
        <f>8*B436</f>
        <v>37500</v>
      </c>
      <c r="C443" s="255"/>
      <c r="D443" s="255"/>
      <c r="E443" s="255">
        <f>9*E436</f>
        <v>20625</v>
      </c>
      <c r="F443" s="256">
        <f>4*F436</f>
        <v>22500</v>
      </c>
      <c r="G443" s="255">
        <f>9*G436</f>
        <v>28125</v>
      </c>
      <c r="H443" s="319"/>
      <c r="I443" s="255"/>
      <c r="J443" s="255">
        <f>9*J436</f>
        <v>18750</v>
      </c>
      <c r="K443" s="255"/>
      <c r="L443" s="257"/>
      <c r="M443" s="257"/>
      <c r="N443" s="257"/>
    </row>
    <row r="444" hidden="1">
      <c r="A444" s="200" t="s">
        <v>453</v>
      </c>
      <c r="B444" s="255"/>
      <c r="C444" s="255"/>
      <c r="D444" s="255"/>
      <c r="E444" s="255"/>
      <c r="F444" s="255"/>
      <c r="G444" s="255">
        <v>10500.0</v>
      </c>
      <c r="H444" s="255"/>
      <c r="I444" s="255"/>
      <c r="J444" s="255">
        <f>31640+1960</f>
        <v>33600</v>
      </c>
      <c r="K444" s="255"/>
      <c r="L444" s="255"/>
      <c r="M444" s="255"/>
      <c r="N444" s="257"/>
    </row>
    <row r="445" hidden="1">
      <c r="A445" s="205" t="s">
        <v>118</v>
      </c>
      <c r="B445" s="226">
        <f>B431+B443</f>
        <v>262500</v>
      </c>
      <c r="C445" s="226">
        <f>C431+C441</f>
        <v>239062.5</v>
      </c>
      <c r="D445" s="226">
        <v>250000.0</v>
      </c>
      <c r="E445" s="226">
        <f>E431+E443+E442</f>
        <v>136812.5</v>
      </c>
      <c r="F445" s="226">
        <f>F431+F443</f>
        <v>292500</v>
      </c>
      <c r="G445" s="226">
        <f>G431+G443+G442-G444</f>
        <v>176062.5</v>
      </c>
      <c r="H445" s="321">
        <f>H431</f>
        <v>130000</v>
      </c>
      <c r="I445" s="226">
        <f>I431+I442</f>
        <v>154687.5</v>
      </c>
      <c r="J445" s="226">
        <f>J431+J443+J442-J444</f>
        <v>88275</v>
      </c>
      <c r="K445" s="305">
        <v>125000.0</v>
      </c>
      <c r="L445" s="226"/>
      <c r="M445" s="226">
        <v>120000.0</v>
      </c>
      <c r="N445" s="206">
        <f>SUM(B445:M445)</f>
        <v>1974900</v>
      </c>
    </row>
    <row r="446" hidden="1">
      <c r="A446" s="126" t="s">
        <v>0</v>
      </c>
      <c r="B446" s="127" t="s">
        <v>90</v>
      </c>
      <c r="C446" s="127" t="s">
        <v>3</v>
      </c>
      <c r="D446" s="183" t="s">
        <v>109</v>
      </c>
      <c r="E446" s="183" t="s">
        <v>155</v>
      </c>
      <c r="F446" s="183" t="s">
        <v>195</v>
      </c>
      <c r="G446" s="183" t="s">
        <v>476</v>
      </c>
      <c r="H446" s="129" t="s">
        <v>51</v>
      </c>
      <c r="I446" s="129" t="s">
        <v>244</v>
      </c>
      <c r="J446" s="129" t="s">
        <v>477</v>
      </c>
      <c r="K446" s="129" t="s">
        <v>10</v>
      </c>
      <c r="L446" s="129"/>
      <c r="M446" s="129" t="s">
        <v>394</v>
      </c>
      <c r="N446" s="128" t="s">
        <v>110</v>
      </c>
    </row>
    <row r="447" hidden="1">
      <c r="A447" s="243"/>
      <c r="B447" s="322" t="s">
        <v>21</v>
      </c>
      <c r="C447" s="322" t="s">
        <v>21</v>
      </c>
      <c r="D447" s="322" t="s">
        <v>21</v>
      </c>
      <c r="E447" s="322" t="s">
        <v>458</v>
      </c>
      <c r="F447" s="322" t="s">
        <v>458</v>
      </c>
      <c r="G447" s="322"/>
      <c r="H447" s="322" t="s">
        <v>458</v>
      </c>
      <c r="I447" s="322" t="s">
        <v>458</v>
      </c>
      <c r="J447" s="322" t="s">
        <v>458</v>
      </c>
      <c r="K447" s="323"/>
      <c r="L447" s="324"/>
      <c r="M447" s="324" t="s">
        <v>375</v>
      </c>
    </row>
    <row r="448" hidden="1">
      <c r="A448" s="241"/>
      <c r="B448" s="310"/>
      <c r="C448" s="310"/>
      <c r="D448" s="125" t="s">
        <v>507</v>
      </c>
      <c r="E448" s="310"/>
      <c r="F448" s="310"/>
      <c r="G448" s="310"/>
      <c r="H448" s="310"/>
      <c r="I448" s="310"/>
      <c r="J448" s="310"/>
    </row>
    <row r="449" hidden="1">
      <c r="A449" s="241"/>
      <c r="B449" s="310"/>
      <c r="C449" s="310"/>
      <c r="D449" s="310"/>
      <c r="E449" s="310"/>
      <c r="F449" s="310"/>
      <c r="G449" s="310"/>
      <c r="H449" s="310"/>
      <c r="I449" s="310"/>
      <c r="J449" s="310"/>
    </row>
    <row r="450" hidden="1">
      <c r="A450" s="195" t="s">
        <v>508</v>
      </c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7"/>
    </row>
    <row r="451" hidden="1">
      <c r="A451" s="200" t="s">
        <v>288</v>
      </c>
      <c r="B451" s="222"/>
      <c r="C451" s="221"/>
      <c r="D451" s="221"/>
      <c r="E451" s="199"/>
      <c r="F451" s="199"/>
      <c r="G451" s="221"/>
      <c r="H451" s="199"/>
      <c r="I451" s="221"/>
      <c r="J451" s="199"/>
      <c r="K451" s="221"/>
      <c r="L451" s="202"/>
      <c r="M451" s="202"/>
      <c r="N451" s="202"/>
    </row>
    <row r="452" hidden="1">
      <c r="A452" s="198" t="s">
        <v>40</v>
      </c>
      <c r="B452" s="221"/>
      <c r="C452" s="221"/>
      <c r="D452" s="221"/>
      <c r="E452" s="221"/>
      <c r="F452" s="221"/>
      <c r="G452" s="221"/>
      <c r="H452" s="221"/>
      <c r="I452" s="199"/>
      <c r="J452" s="221"/>
      <c r="K452" s="199"/>
      <c r="L452" s="251"/>
      <c r="M452" s="251"/>
      <c r="N452" s="251"/>
    </row>
    <row r="453" hidden="1">
      <c r="A453" s="200" t="s">
        <v>501</v>
      </c>
      <c r="B453" s="221"/>
      <c r="C453" s="221"/>
      <c r="D453" s="211"/>
      <c r="E453" s="221">
        <f>(9*E436)*30%</f>
        <v>6187.5</v>
      </c>
      <c r="F453" s="222"/>
      <c r="G453" s="221">
        <f>(9*G436)*30%</f>
        <v>8437.5</v>
      </c>
      <c r="H453" s="221"/>
      <c r="I453" s="221"/>
      <c r="J453" s="221">
        <f>(9*J436)*30%</f>
        <v>5625</v>
      </c>
      <c r="K453" s="211"/>
      <c r="L453" s="252"/>
      <c r="M453" s="252"/>
      <c r="N453" s="252"/>
    </row>
    <row r="454" hidden="1">
      <c r="A454" s="200" t="s">
        <v>141</v>
      </c>
      <c r="B454" s="255"/>
      <c r="C454" s="255"/>
      <c r="D454" s="255"/>
      <c r="E454" s="255"/>
      <c r="F454" s="256"/>
      <c r="G454" s="255"/>
      <c r="H454" s="319"/>
      <c r="I454" s="255"/>
      <c r="J454" s="255"/>
      <c r="K454" s="255"/>
      <c r="L454" s="257"/>
      <c r="M454" s="257"/>
      <c r="N454" s="257"/>
    </row>
    <row r="455" hidden="1">
      <c r="A455" s="200" t="s">
        <v>453</v>
      </c>
      <c r="B455" s="255"/>
      <c r="C455" s="255"/>
      <c r="D455" s="255"/>
      <c r="E455" s="255"/>
      <c r="F455" s="255"/>
      <c r="G455" s="255"/>
      <c r="H455" s="255"/>
      <c r="I455" s="255"/>
      <c r="J455" s="255">
        <f>3400+6700+1900+3400</f>
        <v>15400</v>
      </c>
      <c r="K455" s="255"/>
      <c r="L455" s="255"/>
      <c r="M455" s="255"/>
      <c r="N455" s="257"/>
    </row>
    <row r="456" hidden="1">
      <c r="A456" s="205" t="s">
        <v>118</v>
      </c>
      <c r="B456" s="226">
        <f>B434</f>
        <v>225000</v>
      </c>
      <c r="C456" s="226">
        <f>C433</f>
        <v>225000</v>
      </c>
      <c r="D456" s="226">
        <v>250000.0</v>
      </c>
      <c r="E456" s="226">
        <f>E431+E453</f>
        <v>116187.5</v>
      </c>
      <c r="F456" s="226">
        <v>270000.0</v>
      </c>
      <c r="G456" s="226">
        <f>G431+G453</f>
        <v>158437.5</v>
      </c>
      <c r="H456" s="321">
        <f t="shared" ref="H456:I456" si="150">H431</f>
        <v>130000</v>
      </c>
      <c r="I456" s="226">
        <f t="shared" si="150"/>
        <v>150000</v>
      </c>
      <c r="J456" s="226">
        <f>J431-J455+J453</f>
        <v>90225</v>
      </c>
      <c r="K456" s="305">
        <v>150000.0</v>
      </c>
      <c r="L456" s="226"/>
      <c r="M456" s="226">
        <v>150000.0</v>
      </c>
      <c r="N456" s="206"/>
    </row>
    <row r="457" hidden="1">
      <c r="A457" s="126" t="s">
        <v>0</v>
      </c>
      <c r="B457" s="127" t="s">
        <v>90</v>
      </c>
      <c r="C457" s="127" t="s">
        <v>3</v>
      </c>
      <c r="D457" s="183" t="s">
        <v>109</v>
      </c>
      <c r="E457" s="183" t="s">
        <v>155</v>
      </c>
      <c r="F457" s="183" t="s">
        <v>195</v>
      </c>
      <c r="G457" s="183" t="s">
        <v>476</v>
      </c>
      <c r="H457" s="129" t="s">
        <v>51</v>
      </c>
      <c r="I457" s="129" t="s">
        <v>244</v>
      </c>
      <c r="J457" s="129" t="s">
        <v>477</v>
      </c>
      <c r="K457" s="129" t="s">
        <v>394</v>
      </c>
      <c r="L457" s="129"/>
      <c r="M457" s="129" t="s">
        <v>10</v>
      </c>
      <c r="N457" s="128" t="s">
        <v>110</v>
      </c>
    </row>
    <row r="458" hidden="1">
      <c r="A458" s="314"/>
      <c r="B458" s="125" t="s">
        <v>21</v>
      </c>
      <c r="C458" s="125" t="s">
        <v>21</v>
      </c>
      <c r="D458" s="125" t="s">
        <v>21</v>
      </c>
      <c r="E458" s="317" t="s">
        <v>458</v>
      </c>
      <c r="F458" s="125" t="s">
        <v>458</v>
      </c>
      <c r="G458" s="125" t="s">
        <v>458</v>
      </c>
      <c r="H458" s="125" t="s">
        <v>458</v>
      </c>
      <c r="I458" s="125" t="s">
        <v>458</v>
      </c>
      <c r="J458" s="125" t="s">
        <v>458</v>
      </c>
      <c r="K458" s="125" t="s">
        <v>458</v>
      </c>
      <c r="L458" s="125"/>
      <c r="M458" s="125" t="s">
        <v>458</v>
      </c>
    </row>
    <row r="459" hidden="1">
      <c r="A459" s="314"/>
      <c r="B459" s="125"/>
      <c r="C459" s="125"/>
      <c r="D459" s="125" t="s">
        <v>509</v>
      </c>
      <c r="E459" s="125"/>
      <c r="F459" s="125"/>
      <c r="G459" s="125"/>
      <c r="H459" s="125"/>
      <c r="I459" s="125"/>
      <c r="J459" s="125"/>
      <c r="K459" s="318"/>
      <c r="L459" s="125"/>
      <c r="M459" s="125"/>
    </row>
    <row r="460" hidden="1">
      <c r="A460" s="195" t="s">
        <v>510</v>
      </c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7"/>
    </row>
    <row r="461" hidden="1">
      <c r="A461" s="200" t="s">
        <v>119</v>
      </c>
      <c r="B461" s="222"/>
      <c r="C461" s="221">
        <v>225000.0</v>
      </c>
      <c r="D461" s="221"/>
      <c r="E461" s="199"/>
      <c r="F461" s="199"/>
      <c r="G461" s="221"/>
      <c r="H461" s="199"/>
      <c r="I461" s="221"/>
      <c r="J461" s="199"/>
      <c r="K461" s="221"/>
      <c r="L461" s="202"/>
      <c r="M461" s="202"/>
      <c r="N461" s="202"/>
    </row>
    <row r="462" hidden="1">
      <c r="A462" s="198" t="s">
        <v>40</v>
      </c>
      <c r="B462" s="221"/>
      <c r="C462" s="221"/>
      <c r="D462" s="221"/>
      <c r="E462" s="221"/>
      <c r="F462" s="221"/>
      <c r="G462" s="221"/>
      <c r="H462" s="221"/>
      <c r="I462" s="199"/>
      <c r="J462" s="221">
        <f>J436</f>
        <v>2083.333333</v>
      </c>
      <c r="K462" s="199"/>
      <c r="L462" s="251"/>
      <c r="M462" s="251"/>
      <c r="N462" s="251"/>
    </row>
    <row r="463" hidden="1">
      <c r="A463" s="200" t="s">
        <v>501</v>
      </c>
      <c r="B463" s="221"/>
      <c r="C463" s="221"/>
      <c r="D463" s="211"/>
      <c r="E463" s="221">
        <f>(9*E436)*30%</f>
        <v>6187.5</v>
      </c>
      <c r="F463" s="222"/>
      <c r="G463" s="221">
        <f>(9*G436)*30%</f>
        <v>8437.5</v>
      </c>
      <c r="H463" s="221"/>
      <c r="I463" s="221"/>
      <c r="J463" s="221">
        <f>(9*J436)*30%</f>
        <v>5625</v>
      </c>
      <c r="K463" s="211"/>
      <c r="L463" s="252"/>
      <c r="M463" s="252"/>
      <c r="N463" s="252"/>
    </row>
    <row r="464" hidden="1">
      <c r="A464" s="200" t="s">
        <v>141</v>
      </c>
      <c r="B464" s="255">
        <f>6.5*B436</f>
        <v>30468.75</v>
      </c>
      <c r="C464" s="255">
        <f>9*C436</f>
        <v>42187.5</v>
      </c>
      <c r="D464" s="255"/>
      <c r="E464" s="255"/>
      <c r="F464" s="256">
        <f>4*F436</f>
        <v>22500</v>
      </c>
      <c r="G464" s="255"/>
      <c r="H464" s="319"/>
      <c r="I464" s="255"/>
      <c r="J464" s="255">
        <f>9*J436</f>
        <v>18750</v>
      </c>
      <c r="K464" s="255"/>
      <c r="L464" s="255"/>
      <c r="M464" s="255">
        <f>9*M436</f>
        <v>28125</v>
      </c>
      <c r="N464" s="257"/>
    </row>
    <row r="465" hidden="1">
      <c r="A465" s="200" t="s">
        <v>453</v>
      </c>
      <c r="B465" s="255"/>
      <c r="C465" s="255"/>
      <c r="D465" s="255"/>
      <c r="E465" s="255"/>
      <c r="F465" s="255"/>
      <c r="G465" s="255"/>
      <c r="H465" s="255"/>
      <c r="I465" s="255"/>
      <c r="J465" s="255">
        <f>4200+3400+4200</f>
        <v>11800</v>
      </c>
      <c r="K465" s="255"/>
      <c r="L465" s="255"/>
      <c r="M465" s="255"/>
      <c r="N465" s="257"/>
    </row>
    <row r="466" hidden="1">
      <c r="A466" s="205" t="s">
        <v>118</v>
      </c>
      <c r="B466" s="226">
        <f t="shared" ref="B466:C466" si="151">B434+B464</f>
        <v>255468.75</v>
      </c>
      <c r="C466" s="226">
        <f t="shared" si="151"/>
        <v>267187.5</v>
      </c>
      <c r="D466" s="226">
        <v>250000.0</v>
      </c>
      <c r="E466" s="226">
        <f>E434+E463</f>
        <v>116187.5</v>
      </c>
      <c r="F466" s="226">
        <f>270000+F464</f>
        <v>292500</v>
      </c>
      <c r="G466" s="226">
        <f>G433+G463</f>
        <v>158437.5</v>
      </c>
      <c r="H466" s="321">
        <f t="shared" ref="H466:I466" si="152">H433</f>
        <v>130000</v>
      </c>
      <c r="I466" s="226">
        <f t="shared" si="152"/>
        <v>150000</v>
      </c>
      <c r="J466" s="226">
        <f>J434+J464+J463-J465+J462</f>
        <v>114658.3333</v>
      </c>
      <c r="K466" s="305">
        <v>120000.0</v>
      </c>
      <c r="L466" s="226"/>
      <c r="M466" s="226">
        <f>150000+M464</f>
        <v>178125</v>
      </c>
      <c r="N466" s="206">
        <f>SUM(B466:M466)</f>
        <v>2032564.583</v>
      </c>
    </row>
    <row r="467" hidden="1">
      <c r="A467" s="126" t="s">
        <v>0</v>
      </c>
      <c r="B467" s="127" t="s">
        <v>90</v>
      </c>
      <c r="C467" s="127" t="s">
        <v>3</v>
      </c>
      <c r="D467" s="183" t="s">
        <v>109</v>
      </c>
      <c r="E467" s="183" t="s">
        <v>155</v>
      </c>
      <c r="F467" s="183" t="s">
        <v>195</v>
      </c>
      <c r="G467" s="183" t="s">
        <v>476</v>
      </c>
      <c r="H467" s="129" t="s">
        <v>51</v>
      </c>
      <c r="I467" s="129" t="s">
        <v>244</v>
      </c>
      <c r="J467" s="129" t="s">
        <v>477</v>
      </c>
      <c r="K467" s="129" t="s">
        <v>394</v>
      </c>
      <c r="L467" s="129"/>
      <c r="M467" s="129" t="s">
        <v>10</v>
      </c>
      <c r="N467" s="128" t="s">
        <v>110</v>
      </c>
    </row>
    <row r="468" hidden="1">
      <c r="A468" s="314"/>
      <c r="B468" s="125" t="s">
        <v>21</v>
      </c>
      <c r="C468" s="125" t="s">
        <v>21</v>
      </c>
      <c r="D468" s="125" t="s">
        <v>21</v>
      </c>
      <c r="E468" s="317" t="s">
        <v>458</v>
      </c>
      <c r="F468" s="125" t="s">
        <v>458</v>
      </c>
      <c r="G468" s="125" t="s">
        <v>458</v>
      </c>
      <c r="H468" s="125" t="s">
        <v>458</v>
      </c>
      <c r="I468" s="125" t="s">
        <v>458</v>
      </c>
      <c r="J468" s="125" t="s">
        <v>458</v>
      </c>
      <c r="K468" s="125" t="s">
        <v>326</v>
      </c>
      <c r="L468" s="125"/>
      <c r="M468" s="125" t="s">
        <v>458</v>
      </c>
    </row>
    <row r="469" hidden="1">
      <c r="A469" s="314"/>
      <c r="B469" s="125"/>
      <c r="C469" s="125"/>
      <c r="D469" s="125" t="s">
        <v>511</v>
      </c>
      <c r="E469" s="125"/>
      <c r="F469" s="125"/>
      <c r="G469" s="125"/>
      <c r="H469" s="125"/>
      <c r="I469" s="125"/>
      <c r="J469" s="125"/>
      <c r="K469" s="318"/>
      <c r="L469" s="125"/>
      <c r="M469" s="125"/>
    </row>
    <row r="470" hidden="1">
      <c r="A470" s="195" t="s">
        <v>512</v>
      </c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7"/>
    </row>
    <row r="471" hidden="1">
      <c r="A471" s="200" t="s">
        <v>119</v>
      </c>
      <c r="B471" s="222"/>
      <c r="C471" s="221"/>
      <c r="D471" s="221"/>
      <c r="E471" s="199"/>
      <c r="F471" s="199"/>
      <c r="G471" s="221"/>
      <c r="H471" s="199"/>
      <c r="I471" s="221"/>
      <c r="J471" s="199"/>
      <c r="K471" s="221"/>
      <c r="L471" s="202"/>
      <c r="M471" s="202"/>
      <c r="N471" s="202"/>
    </row>
    <row r="472" hidden="1">
      <c r="A472" s="198" t="s">
        <v>40</v>
      </c>
      <c r="B472" s="221">
        <v>20000.0</v>
      </c>
      <c r="C472" s="221">
        <v>20000.0</v>
      </c>
      <c r="D472" s="221"/>
      <c r="E472" s="221">
        <f>10*E436</f>
        <v>22916.66667</v>
      </c>
      <c r="F472" s="221"/>
      <c r="G472" s="221"/>
      <c r="H472" s="221"/>
      <c r="I472" s="199"/>
      <c r="J472" s="221">
        <f>6*J436</f>
        <v>12500</v>
      </c>
      <c r="K472" s="199"/>
      <c r="L472" s="251"/>
      <c r="M472" s="251"/>
      <c r="N472" s="251"/>
    </row>
    <row r="473" hidden="1">
      <c r="A473" s="200" t="s">
        <v>501</v>
      </c>
      <c r="B473" s="221"/>
      <c r="C473" s="221"/>
      <c r="D473" s="211"/>
      <c r="E473" s="221">
        <f>(9*E436)*30%</f>
        <v>6187.5</v>
      </c>
      <c r="F473" s="222"/>
      <c r="G473" s="221">
        <f>(9*G436)*30%</f>
        <v>8437.5</v>
      </c>
      <c r="H473" s="221"/>
      <c r="I473" s="221"/>
      <c r="J473" s="221">
        <f>(9*J436)*30%</f>
        <v>5625</v>
      </c>
      <c r="K473" s="211"/>
      <c r="L473" s="252"/>
      <c r="M473" s="252"/>
      <c r="N473" s="252"/>
    </row>
    <row r="474" hidden="1">
      <c r="A474" s="200" t="s">
        <v>141</v>
      </c>
      <c r="B474" s="255"/>
      <c r="C474" s="255"/>
      <c r="D474" s="255"/>
      <c r="E474" s="255"/>
      <c r="F474" s="256"/>
      <c r="G474" s="255"/>
      <c r="H474" s="319"/>
      <c r="I474" s="255"/>
      <c r="J474" s="255"/>
      <c r="K474" s="255"/>
      <c r="L474" s="255"/>
      <c r="M474" s="255"/>
      <c r="N474" s="257"/>
    </row>
    <row r="475" hidden="1">
      <c r="A475" s="200" t="s">
        <v>453</v>
      </c>
      <c r="B475" s="255"/>
      <c r="C475" s="255"/>
      <c r="D475" s="255"/>
      <c r="E475" s="255"/>
      <c r="F475" s="255"/>
      <c r="G475" s="255"/>
      <c r="H475" s="255"/>
      <c r="I475" s="255">
        <f>6400+14700</f>
        <v>21100</v>
      </c>
      <c r="J475" s="255">
        <f>4600+4200+14700</f>
        <v>23500</v>
      </c>
      <c r="K475" s="255"/>
      <c r="L475" s="255"/>
      <c r="M475" s="255"/>
      <c r="N475" s="257"/>
    </row>
    <row r="476" hidden="1">
      <c r="A476" s="205" t="s">
        <v>118</v>
      </c>
      <c r="B476" s="226">
        <f t="shared" ref="B476:C476" si="153">B431+B472</f>
        <v>245000</v>
      </c>
      <c r="C476" s="226">
        <f t="shared" si="153"/>
        <v>245000</v>
      </c>
      <c r="D476" s="226"/>
      <c r="E476" s="226">
        <f>E434+E473+E472</f>
        <v>139104.1667</v>
      </c>
      <c r="F476" s="226">
        <f>270000+F474</f>
        <v>270000</v>
      </c>
      <c r="G476" s="226">
        <f>G432+G473</f>
        <v>158437.5</v>
      </c>
      <c r="H476" s="321">
        <v>150000.0</v>
      </c>
      <c r="I476" s="226">
        <f>I434-I475</f>
        <v>128900</v>
      </c>
      <c r="J476" s="226">
        <f>J434+J474+J473-J475+J472</f>
        <v>94625</v>
      </c>
      <c r="K476" s="305"/>
      <c r="L476" s="226"/>
      <c r="M476" s="226">
        <f>150000+M474</f>
        <v>150000</v>
      </c>
      <c r="N476" s="206">
        <f>SUM(B476:M476)</f>
        <v>1581066.667</v>
      </c>
    </row>
    <row r="477" hidden="1">
      <c r="A477" s="126" t="s">
        <v>0</v>
      </c>
      <c r="B477" s="127" t="s">
        <v>90</v>
      </c>
      <c r="C477" s="127" t="s">
        <v>3</v>
      </c>
      <c r="D477" s="183"/>
      <c r="E477" s="183" t="s">
        <v>155</v>
      </c>
      <c r="F477" s="183" t="s">
        <v>195</v>
      </c>
      <c r="G477" s="183" t="s">
        <v>476</v>
      </c>
      <c r="H477" s="129" t="s">
        <v>51</v>
      </c>
      <c r="I477" s="129" t="s">
        <v>244</v>
      </c>
      <c r="J477" s="129" t="s">
        <v>477</v>
      </c>
      <c r="K477" s="129"/>
      <c r="L477" s="129"/>
      <c r="M477" s="129" t="s">
        <v>10</v>
      </c>
      <c r="N477" s="128" t="s">
        <v>110</v>
      </c>
    </row>
    <row r="478" hidden="1">
      <c r="A478" s="312"/>
      <c r="B478" s="125" t="s">
        <v>326</v>
      </c>
      <c r="C478" s="125" t="s">
        <v>326</v>
      </c>
      <c r="D478" s="125"/>
      <c r="E478" s="125"/>
      <c r="F478" s="125" t="s">
        <v>375</v>
      </c>
      <c r="G478" s="125"/>
      <c r="H478" s="313"/>
      <c r="I478" s="313"/>
      <c r="J478" s="313"/>
      <c r="K478" s="313"/>
      <c r="L478" s="125"/>
      <c r="M478" s="125" t="s">
        <v>375</v>
      </c>
    </row>
    <row r="479" hidden="1">
      <c r="A479" s="314"/>
      <c r="B479" s="253"/>
      <c r="C479" s="315"/>
      <c r="D479" s="253"/>
      <c r="E479" s="315"/>
      <c r="F479" s="125"/>
      <c r="G479" s="125"/>
      <c r="H479" s="125"/>
      <c r="I479" s="125"/>
      <c r="J479" s="253"/>
      <c r="K479" s="263"/>
      <c r="L479" s="253"/>
      <c r="M479" s="253"/>
    </row>
    <row r="480" hidden="1">
      <c r="A480" s="314"/>
      <c r="B480" s="125"/>
      <c r="C480" s="125"/>
      <c r="D480" s="125"/>
      <c r="E480" s="317"/>
      <c r="F480" s="125"/>
      <c r="G480" s="125"/>
      <c r="H480" s="125"/>
      <c r="I480" s="125"/>
      <c r="J480" s="125"/>
      <c r="K480" s="318"/>
      <c r="L480" s="125"/>
      <c r="M480" s="125"/>
    </row>
    <row r="481" hidden="1">
      <c r="A481" s="126" t="s">
        <v>0</v>
      </c>
      <c r="B481" s="127" t="s">
        <v>90</v>
      </c>
      <c r="C481" s="127" t="s">
        <v>3</v>
      </c>
      <c r="D481" s="183" t="s">
        <v>155</v>
      </c>
      <c r="E481" s="183" t="s">
        <v>195</v>
      </c>
      <c r="F481" s="183" t="s">
        <v>476</v>
      </c>
      <c r="G481" s="129" t="s">
        <v>51</v>
      </c>
      <c r="H481" s="129" t="s">
        <v>244</v>
      </c>
      <c r="I481" s="129" t="s">
        <v>477</v>
      </c>
      <c r="J481" s="129" t="s">
        <v>394</v>
      </c>
      <c r="K481" s="129" t="s">
        <v>10</v>
      </c>
      <c r="L481" s="129"/>
      <c r="M481" s="129"/>
      <c r="N481" s="128" t="s">
        <v>110</v>
      </c>
    </row>
    <row r="482" hidden="1">
      <c r="A482" s="130" t="s">
        <v>44</v>
      </c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2"/>
    </row>
    <row r="483" hidden="1">
      <c r="A483" s="133" t="s">
        <v>111</v>
      </c>
      <c r="B483" s="134">
        <v>225000.0</v>
      </c>
      <c r="C483" s="134">
        <v>225000.0</v>
      </c>
      <c r="D483" s="134">
        <v>150000.0</v>
      </c>
      <c r="E483" s="134">
        <v>270000.0</v>
      </c>
      <c r="F483" s="134">
        <v>150000.0</v>
      </c>
      <c r="G483" s="134">
        <v>150000.0</v>
      </c>
      <c r="H483" s="134">
        <v>150000.0</v>
      </c>
      <c r="I483" s="134">
        <v>100000.0</v>
      </c>
      <c r="J483" s="134">
        <v>150000.0</v>
      </c>
      <c r="K483" s="134">
        <v>150000.0</v>
      </c>
      <c r="L483" s="218"/>
      <c r="M483" s="139">
        <f t="shared" ref="M483:M486" si="154">SUM(B483:K483)</f>
        <v>1720000</v>
      </c>
    </row>
    <row r="484" hidden="1">
      <c r="A484" s="137"/>
      <c r="B484" s="134">
        <v>225000.0</v>
      </c>
      <c r="C484" s="134">
        <v>225000.0</v>
      </c>
      <c r="D484" s="134">
        <v>150000.0</v>
      </c>
      <c r="E484" s="134">
        <v>270000.0</v>
      </c>
      <c r="F484" s="134">
        <v>150000.0</v>
      </c>
      <c r="G484" s="134">
        <v>150000.0</v>
      </c>
      <c r="H484" s="134">
        <v>150000.0</v>
      </c>
      <c r="I484" s="134">
        <v>100000.0</v>
      </c>
      <c r="J484" s="134">
        <v>150000.0</v>
      </c>
      <c r="K484" s="134">
        <v>150000.0</v>
      </c>
      <c r="L484" s="218"/>
      <c r="M484" s="139">
        <f t="shared" si="154"/>
        <v>1720000</v>
      </c>
      <c r="P484" s="91"/>
    </row>
    <row r="485" hidden="1">
      <c r="A485" s="137"/>
      <c r="B485" s="134">
        <v>225000.0</v>
      </c>
      <c r="C485" s="134">
        <v>225000.0</v>
      </c>
      <c r="D485" s="134">
        <v>150000.0</v>
      </c>
      <c r="E485" s="134">
        <v>270000.0</v>
      </c>
      <c r="F485" s="134">
        <v>150000.0</v>
      </c>
      <c r="G485" s="134">
        <v>150000.0</v>
      </c>
      <c r="H485" s="134">
        <v>150000.0</v>
      </c>
      <c r="I485" s="134">
        <v>130000.0</v>
      </c>
      <c r="J485" s="134">
        <v>150000.0</v>
      </c>
      <c r="K485" s="134">
        <v>150000.0</v>
      </c>
      <c r="L485" s="218"/>
      <c r="M485" s="139">
        <f t="shared" si="154"/>
        <v>1750000</v>
      </c>
    </row>
    <row r="486" hidden="1">
      <c r="A486" s="138"/>
      <c r="B486" s="134">
        <v>225000.0</v>
      </c>
      <c r="C486" s="134">
        <v>225000.0</v>
      </c>
      <c r="D486" s="134">
        <v>150000.0</v>
      </c>
      <c r="E486" s="134">
        <v>270000.0</v>
      </c>
      <c r="F486" s="134">
        <v>150000.0</v>
      </c>
      <c r="G486" s="134">
        <v>150000.0</v>
      </c>
      <c r="H486" s="134">
        <v>150000.0</v>
      </c>
      <c r="I486" s="134">
        <v>130000.0</v>
      </c>
      <c r="J486" s="134">
        <v>150000.0</v>
      </c>
      <c r="K486" s="134">
        <v>150000.0</v>
      </c>
      <c r="L486" s="218"/>
      <c r="M486" s="139">
        <f t="shared" si="154"/>
        <v>1750000</v>
      </c>
    </row>
    <row r="487" hidden="1">
      <c r="A487" s="140" t="s">
        <v>113</v>
      </c>
      <c r="B487" s="141">
        <f t="shared" ref="B487:K487" si="155">SUM(B483:B486)</f>
        <v>900000</v>
      </c>
      <c r="C487" s="141">
        <f t="shared" si="155"/>
        <v>900000</v>
      </c>
      <c r="D487" s="141">
        <f t="shared" si="155"/>
        <v>600000</v>
      </c>
      <c r="E487" s="141">
        <f t="shared" si="155"/>
        <v>1080000</v>
      </c>
      <c r="F487" s="141">
        <f t="shared" si="155"/>
        <v>600000</v>
      </c>
      <c r="G487" s="141">
        <f t="shared" si="155"/>
        <v>600000</v>
      </c>
      <c r="H487" s="141">
        <f t="shared" si="155"/>
        <v>600000</v>
      </c>
      <c r="I487" s="141">
        <f t="shared" si="155"/>
        <v>460000</v>
      </c>
      <c r="J487" s="141">
        <f t="shared" si="155"/>
        <v>600000</v>
      </c>
      <c r="K487" s="141">
        <f t="shared" si="155"/>
        <v>600000</v>
      </c>
      <c r="L487" s="141"/>
      <c r="M487" s="141">
        <f>SUM(M483:M486)</f>
        <v>6940000</v>
      </c>
    </row>
    <row r="488" hidden="1">
      <c r="A488" s="157" t="s">
        <v>138</v>
      </c>
      <c r="B488" s="158">
        <f>B484/6/8</f>
        <v>4687.5</v>
      </c>
      <c r="C488" s="158">
        <f t="shared" ref="C488:D488" si="156">C483/8/6</f>
        <v>4687.5</v>
      </c>
      <c r="D488" s="158">
        <f t="shared" si="156"/>
        <v>3125</v>
      </c>
      <c r="E488" s="158">
        <f t="shared" ref="E488:G488" si="157">E483/6/8</f>
        <v>5625</v>
      </c>
      <c r="F488" s="158">
        <f t="shared" si="157"/>
        <v>3125</v>
      </c>
      <c r="G488" s="158">
        <f t="shared" si="157"/>
        <v>3125</v>
      </c>
      <c r="H488" s="158">
        <f>H484/6/8</f>
        <v>3125</v>
      </c>
      <c r="I488" s="158">
        <f>I486/8/6</f>
        <v>2708.333333</v>
      </c>
      <c r="J488" s="159">
        <f>J483/6/8</f>
        <v>3125</v>
      </c>
      <c r="K488" s="159">
        <f>K486/6/8</f>
        <v>3125</v>
      </c>
      <c r="L488" s="159"/>
      <c r="M488" s="159">
        <f>M486/6/8</f>
        <v>36458.33333</v>
      </c>
      <c r="N488" s="122"/>
    </row>
    <row r="489" hidden="1">
      <c r="A489" s="314"/>
      <c r="B489" s="253">
        <v>250.0</v>
      </c>
      <c r="C489" s="315">
        <v>250.0</v>
      </c>
      <c r="D489" s="253">
        <v>150.0</v>
      </c>
      <c r="E489" s="315"/>
      <c r="F489" s="125"/>
      <c r="G489" s="125">
        <v>150.0</v>
      </c>
      <c r="H489" s="125"/>
      <c r="I489" s="125">
        <v>120.0</v>
      </c>
      <c r="J489" s="253"/>
      <c r="K489" s="263"/>
      <c r="L489" s="253"/>
      <c r="M489" s="253"/>
    </row>
    <row r="490" hidden="1">
      <c r="A490" s="314"/>
      <c r="B490" s="125"/>
      <c r="C490" s="125"/>
      <c r="D490" s="125"/>
      <c r="E490" s="317"/>
      <c r="F490" s="125"/>
      <c r="G490" s="125"/>
      <c r="H490" s="125"/>
      <c r="I490" s="125"/>
      <c r="J490" s="125"/>
      <c r="K490" s="318"/>
      <c r="L490" s="125"/>
      <c r="M490" s="125"/>
    </row>
    <row r="491" hidden="1">
      <c r="A491" s="195" t="s">
        <v>513</v>
      </c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7"/>
    </row>
    <row r="492" hidden="1">
      <c r="A492" s="200" t="s">
        <v>119</v>
      </c>
      <c r="B492" s="222"/>
      <c r="C492" s="221"/>
      <c r="D492" s="199"/>
      <c r="E492" s="199"/>
      <c r="F492" s="221"/>
      <c r="G492" s="199"/>
      <c r="H492" s="221"/>
      <c r="I492" s="199"/>
      <c r="J492" s="221"/>
      <c r="K492" s="202"/>
      <c r="L492" s="202"/>
      <c r="M492" s="202"/>
    </row>
    <row r="493" hidden="1">
      <c r="A493" s="198" t="s">
        <v>40</v>
      </c>
      <c r="B493" s="221">
        <f t="shared" ref="B493:C493" si="158">2*B488</f>
        <v>9375</v>
      </c>
      <c r="C493" s="221">
        <f t="shared" si="158"/>
        <v>9375</v>
      </c>
      <c r="D493" s="221">
        <f>D488</f>
        <v>3125</v>
      </c>
      <c r="E493" s="221"/>
      <c r="F493" s="221">
        <f>F488</f>
        <v>3125</v>
      </c>
      <c r="G493" s="221"/>
      <c r="H493" s="199"/>
      <c r="I493" s="221">
        <f>I488</f>
        <v>2708.333333</v>
      </c>
      <c r="J493" s="199"/>
      <c r="K493" s="251"/>
      <c r="L493" s="251"/>
      <c r="M493" s="251"/>
    </row>
    <row r="494" hidden="1">
      <c r="A494" s="200" t="s">
        <v>501</v>
      </c>
      <c r="B494" s="221"/>
      <c r="C494" s="221"/>
      <c r="D494" s="221">
        <f>(9*D488)*30%</f>
        <v>8437.5</v>
      </c>
      <c r="E494" s="222"/>
      <c r="F494" s="221">
        <f>(9*F488)*30%</f>
        <v>8437.5</v>
      </c>
      <c r="G494" s="221"/>
      <c r="H494" s="221"/>
      <c r="I494" s="221">
        <f>(9*I488)*30%</f>
        <v>7312.5</v>
      </c>
      <c r="J494" s="211"/>
      <c r="K494" s="252"/>
      <c r="L494" s="252"/>
      <c r="M494" s="252"/>
    </row>
    <row r="495" hidden="1">
      <c r="A495" s="200" t="s">
        <v>141</v>
      </c>
      <c r="B495" s="255"/>
      <c r="C495" s="255"/>
      <c r="D495" s="255"/>
      <c r="E495" s="256"/>
      <c r="F495" s="255"/>
      <c r="G495" s="319"/>
      <c r="H495" s="255"/>
      <c r="I495" s="255"/>
      <c r="J495" s="255"/>
      <c r="K495" s="255"/>
      <c r="L495" s="257"/>
      <c r="M495" s="257"/>
    </row>
    <row r="496" hidden="1">
      <c r="A496" s="200" t="s">
        <v>453</v>
      </c>
      <c r="B496" s="255"/>
      <c r="C496" s="255"/>
      <c r="D496" s="255"/>
      <c r="E496" s="255"/>
      <c r="F496" s="255"/>
      <c r="G496" s="255">
        <v>2900.0</v>
      </c>
      <c r="H496" s="255">
        <v>6600.0</v>
      </c>
      <c r="I496" s="255">
        <f>6300+5200+1900+3400</f>
        <v>16800</v>
      </c>
      <c r="J496" s="255"/>
      <c r="K496" s="255"/>
      <c r="L496" s="257"/>
      <c r="M496" s="257"/>
    </row>
    <row r="497" hidden="1">
      <c r="A497" s="205" t="s">
        <v>118</v>
      </c>
      <c r="B497" s="226">
        <f t="shared" ref="B497:C497" si="159">B483+B493</f>
        <v>234375</v>
      </c>
      <c r="C497" s="226">
        <f t="shared" si="159"/>
        <v>234375</v>
      </c>
      <c r="D497" s="226">
        <f>D486+D494+D493</f>
        <v>161562.5</v>
      </c>
      <c r="E497" s="226">
        <f>270000+E495</f>
        <v>270000</v>
      </c>
      <c r="F497" s="226">
        <f>F483+F494+F493</f>
        <v>161562.5</v>
      </c>
      <c r="G497" s="321">
        <f>150000-G496</f>
        <v>147100</v>
      </c>
      <c r="H497" s="226">
        <f>H484-H496</f>
        <v>143400</v>
      </c>
      <c r="I497" s="226">
        <f>I485-I496+I494+I493</f>
        <v>123220.8333</v>
      </c>
      <c r="J497" s="305"/>
      <c r="K497" s="226">
        <f>150000+K495</f>
        <v>150000</v>
      </c>
      <c r="L497" s="206"/>
      <c r="M497" s="206">
        <f>SUM(B497:K497)</f>
        <v>1625595.833</v>
      </c>
    </row>
    <row r="498" hidden="1">
      <c r="A498" s="126" t="s">
        <v>0</v>
      </c>
      <c r="B498" s="127" t="s">
        <v>90</v>
      </c>
      <c r="C498" s="127" t="s">
        <v>3</v>
      </c>
      <c r="D498" s="183" t="s">
        <v>155</v>
      </c>
      <c r="E498" s="183" t="s">
        <v>195</v>
      </c>
      <c r="F498" s="183" t="s">
        <v>476</v>
      </c>
      <c r="G498" s="129" t="s">
        <v>51</v>
      </c>
      <c r="H498" s="129" t="s">
        <v>244</v>
      </c>
      <c r="I498" s="129" t="s">
        <v>477</v>
      </c>
      <c r="J498" s="129"/>
      <c r="K498" s="129" t="s">
        <v>10</v>
      </c>
      <c r="L498" s="128"/>
      <c r="M498" s="128" t="s">
        <v>110</v>
      </c>
    </row>
    <row r="499" hidden="1">
      <c r="A499" s="241"/>
      <c r="B499" s="310"/>
      <c r="C499" s="310"/>
      <c r="D499" s="310" t="s">
        <v>375</v>
      </c>
      <c r="E499" s="310"/>
      <c r="F499" s="310" t="s">
        <v>375</v>
      </c>
      <c r="G499" s="310" t="s">
        <v>375</v>
      </c>
      <c r="H499" s="310" t="s">
        <v>375</v>
      </c>
      <c r="I499" s="310" t="s">
        <v>375</v>
      </c>
      <c r="J499" s="310"/>
    </row>
    <row r="500" hidden="1">
      <c r="A500" s="241"/>
      <c r="B500" s="310"/>
      <c r="C500" s="310"/>
      <c r="D500" s="310"/>
      <c r="E500" s="310"/>
      <c r="F500" s="310"/>
      <c r="G500" s="310"/>
      <c r="H500" s="310"/>
      <c r="I500" s="310"/>
      <c r="J500" s="310"/>
    </row>
    <row r="501" hidden="1">
      <c r="A501" s="195" t="s">
        <v>514</v>
      </c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7"/>
    </row>
    <row r="502" hidden="1">
      <c r="A502" s="200" t="s">
        <v>119</v>
      </c>
      <c r="B502" s="222"/>
      <c r="C502" s="221"/>
      <c r="D502" s="199"/>
      <c r="E502" s="221">
        <v>270000.0</v>
      </c>
      <c r="F502" s="221"/>
      <c r="G502" s="199"/>
      <c r="H502" s="221"/>
      <c r="I502" s="199"/>
      <c r="J502" s="221"/>
      <c r="K502" s="202"/>
      <c r="L502" s="202"/>
      <c r="M502" s="202"/>
    </row>
    <row r="503" hidden="1">
      <c r="A503" s="198" t="s">
        <v>40</v>
      </c>
      <c r="B503" s="221">
        <v>75000.0</v>
      </c>
      <c r="C503" s="221">
        <v>75000.0</v>
      </c>
      <c r="D503" s="221">
        <f>D488</f>
        <v>3125</v>
      </c>
      <c r="E503" s="221">
        <f>4*E488</f>
        <v>22500</v>
      </c>
      <c r="F503" s="221">
        <f>F488</f>
        <v>3125</v>
      </c>
      <c r="G503" s="221"/>
      <c r="H503" s="199"/>
      <c r="I503" s="221">
        <f>7*I488</f>
        <v>18958.33333</v>
      </c>
      <c r="J503" s="199"/>
      <c r="K503" s="251"/>
      <c r="L503" s="251"/>
      <c r="M503" s="251"/>
    </row>
    <row r="504" hidden="1">
      <c r="A504" s="200" t="s">
        <v>501</v>
      </c>
      <c r="B504" s="221"/>
      <c r="C504" s="221"/>
      <c r="D504" s="221">
        <f>(9*D488)*30%</f>
        <v>8437.5</v>
      </c>
      <c r="E504" s="222"/>
      <c r="F504" s="221">
        <f>(9*F488)*30%</f>
        <v>8437.5</v>
      </c>
      <c r="G504" s="221"/>
      <c r="H504" s="221"/>
      <c r="I504" s="221">
        <f>(9*I488)*30%</f>
        <v>7312.5</v>
      </c>
      <c r="J504" s="211"/>
      <c r="K504" s="252"/>
      <c r="L504" s="252"/>
      <c r="M504" s="252"/>
    </row>
    <row r="505" hidden="1">
      <c r="A505" s="200" t="s">
        <v>141</v>
      </c>
      <c r="B505" s="255"/>
      <c r="C505" s="255"/>
      <c r="D505" s="255"/>
      <c r="E505" s="256"/>
      <c r="F505" s="255"/>
      <c r="G505" s="319"/>
      <c r="H505" s="255"/>
      <c r="I505" s="255"/>
      <c r="J505" s="255"/>
      <c r="K505" s="255"/>
      <c r="L505" s="257"/>
      <c r="M505" s="257"/>
    </row>
    <row r="506" hidden="1">
      <c r="A506" s="200" t="s">
        <v>453</v>
      </c>
      <c r="B506" s="255"/>
      <c r="C506" s="255"/>
      <c r="D506" s="255"/>
      <c r="E506" s="255"/>
      <c r="F506" s="255"/>
      <c r="G506" s="255"/>
      <c r="H506" s="255"/>
      <c r="I506" s="255">
        <f>6800+5200+4200</f>
        <v>16200</v>
      </c>
      <c r="J506" s="255"/>
      <c r="K506" s="255"/>
      <c r="L506" s="257"/>
      <c r="M506" s="257"/>
    </row>
    <row r="507" hidden="1">
      <c r="A507" s="205" t="s">
        <v>118</v>
      </c>
      <c r="B507" s="226">
        <f t="shared" ref="B507:C507" si="160">B483+B503</f>
        <v>300000</v>
      </c>
      <c r="C507" s="226">
        <f t="shared" si="160"/>
        <v>300000</v>
      </c>
      <c r="D507" s="226">
        <f>D483+D504+D503</f>
        <v>161562.5</v>
      </c>
      <c r="E507" s="226">
        <f>270000+E502+E503</f>
        <v>562500</v>
      </c>
      <c r="F507" s="226">
        <f>F486+F504+F503</f>
        <v>161562.5</v>
      </c>
      <c r="G507" s="321">
        <f>150000-G506</f>
        <v>150000</v>
      </c>
      <c r="H507" s="226">
        <f>H486</f>
        <v>150000</v>
      </c>
      <c r="I507" s="226">
        <f>I486+I504+I503-I506</f>
        <v>140070.8333</v>
      </c>
      <c r="J507" s="305">
        <f>J485</f>
        <v>150000</v>
      </c>
      <c r="K507" s="226">
        <f>150000+K505</f>
        <v>150000</v>
      </c>
      <c r="L507" s="206"/>
      <c r="M507" s="206">
        <f>SUM(B507:K507)</f>
        <v>2225695.833</v>
      </c>
    </row>
    <row r="508" hidden="1">
      <c r="A508" s="126" t="s">
        <v>0</v>
      </c>
      <c r="B508" s="127" t="s">
        <v>90</v>
      </c>
      <c r="C508" s="127" t="s">
        <v>3</v>
      </c>
      <c r="D508" s="183" t="s">
        <v>155</v>
      </c>
      <c r="E508" s="183" t="s">
        <v>195</v>
      </c>
      <c r="F508" s="183" t="s">
        <v>476</v>
      </c>
      <c r="G508" s="129" t="s">
        <v>51</v>
      </c>
      <c r="H508" s="129" t="s">
        <v>244</v>
      </c>
      <c r="I508" s="129" t="s">
        <v>477</v>
      </c>
      <c r="J508" s="129" t="s">
        <v>515</v>
      </c>
      <c r="K508" s="129" t="s">
        <v>10</v>
      </c>
      <c r="L508" s="128"/>
      <c r="M508" s="128" t="s">
        <v>110</v>
      </c>
    </row>
    <row r="509" hidden="1">
      <c r="A509" s="314"/>
      <c r="B509" s="125" t="s">
        <v>326</v>
      </c>
      <c r="C509" s="125" t="s">
        <v>375</v>
      </c>
      <c r="D509" s="125" t="s">
        <v>375</v>
      </c>
      <c r="E509" s="317"/>
      <c r="F509" s="125"/>
      <c r="G509" s="125" t="s">
        <v>375</v>
      </c>
      <c r="H509" s="125" t="s">
        <v>375</v>
      </c>
      <c r="I509" s="125" t="s">
        <v>375</v>
      </c>
      <c r="J509" s="125" t="s">
        <v>375</v>
      </c>
      <c r="K509" s="125" t="s">
        <v>516</v>
      </c>
      <c r="L509" s="125"/>
      <c r="M509" s="125"/>
    </row>
    <row r="510" hidden="1">
      <c r="A510" s="314"/>
      <c r="B510" s="125"/>
      <c r="C510" s="125"/>
      <c r="D510" s="125"/>
      <c r="E510" s="125"/>
      <c r="F510" s="125"/>
      <c r="G510" s="125"/>
      <c r="H510" s="125"/>
      <c r="I510" s="125"/>
      <c r="J510" s="125"/>
      <c r="K510" s="318"/>
      <c r="L510" s="125"/>
      <c r="M510" s="125"/>
    </row>
    <row r="511" hidden="1">
      <c r="A511" s="195" t="s">
        <v>517</v>
      </c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7"/>
    </row>
    <row r="512" hidden="1">
      <c r="A512" s="200" t="s">
        <v>119</v>
      </c>
      <c r="B512" s="222"/>
      <c r="C512" s="221"/>
      <c r="D512" s="199"/>
      <c r="E512" s="221"/>
      <c r="F512" s="221"/>
      <c r="G512" s="199"/>
      <c r="H512" s="221"/>
      <c r="I512" s="199"/>
      <c r="J512" s="221"/>
      <c r="K512" s="202"/>
      <c r="L512" s="202"/>
      <c r="M512" s="202"/>
    </row>
    <row r="513" hidden="1">
      <c r="A513" s="198" t="s">
        <v>40</v>
      </c>
      <c r="B513" s="221"/>
      <c r="C513" s="221"/>
      <c r="D513" s="221"/>
      <c r="E513" s="221"/>
      <c r="F513" s="221"/>
      <c r="G513" s="221">
        <f>4*G488</f>
        <v>12500</v>
      </c>
      <c r="H513" s="199"/>
      <c r="I513" s="221">
        <f>8*2700</f>
        <v>21600</v>
      </c>
      <c r="J513" s="199"/>
      <c r="K513" s="251"/>
      <c r="L513" s="251"/>
      <c r="M513" s="251"/>
    </row>
    <row r="514" hidden="1">
      <c r="A514" s="200" t="s">
        <v>501</v>
      </c>
      <c r="B514" s="221"/>
      <c r="C514" s="221"/>
      <c r="D514" s="221"/>
      <c r="E514" s="222"/>
      <c r="F514" s="221"/>
      <c r="G514" s="221"/>
      <c r="H514" s="221"/>
      <c r="I514" s="221"/>
      <c r="J514" s="211"/>
      <c r="K514" s="252"/>
      <c r="L514" s="252"/>
      <c r="M514" s="252"/>
    </row>
    <row r="515" hidden="1">
      <c r="A515" s="200" t="s">
        <v>141</v>
      </c>
      <c r="B515" s="255"/>
      <c r="C515" s="255"/>
      <c r="D515" s="255"/>
      <c r="E515" s="256"/>
      <c r="F515" s="255"/>
      <c r="G515" s="319"/>
      <c r="H515" s="255"/>
      <c r="I515" s="255"/>
      <c r="J515" s="255"/>
      <c r="K515" s="255"/>
      <c r="L515" s="257"/>
      <c r="M515" s="257"/>
    </row>
    <row r="516" hidden="1">
      <c r="A516" s="200" t="s">
        <v>453</v>
      </c>
      <c r="B516" s="255"/>
      <c r="C516" s="255"/>
      <c r="D516" s="255"/>
      <c r="E516" s="255"/>
      <c r="F516" s="255"/>
      <c r="G516" s="255"/>
      <c r="H516" s="255"/>
      <c r="I516" s="255"/>
      <c r="J516" s="255"/>
      <c r="K516" s="255"/>
      <c r="L516" s="257"/>
      <c r="M516" s="257"/>
    </row>
    <row r="517" hidden="1">
      <c r="A517" s="205" t="s">
        <v>118</v>
      </c>
      <c r="B517" s="226">
        <f t="shared" ref="B517:D517" si="161">B486</f>
        <v>225000</v>
      </c>
      <c r="C517" s="226">
        <f t="shared" si="161"/>
        <v>225000</v>
      </c>
      <c r="D517" s="226">
        <f t="shared" si="161"/>
        <v>150000</v>
      </c>
      <c r="E517" s="226">
        <f>270000+E512+E513</f>
        <v>270000</v>
      </c>
      <c r="F517" s="226">
        <f>F486</f>
        <v>150000</v>
      </c>
      <c r="G517" s="321">
        <f>150000-G516+G513</f>
        <v>162500</v>
      </c>
      <c r="H517" s="226"/>
      <c r="I517" s="226">
        <f>I485+I513</f>
        <v>151600</v>
      </c>
      <c r="J517" s="305">
        <f>J486</f>
        <v>150000</v>
      </c>
      <c r="K517" s="226" t="s">
        <v>43</v>
      </c>
      <c r="L517" s="206"/>
      <c r="M517" s="206">
        <f>SUM(B517:K517)</f>
        <v>1484100</v>
      </c>
    </row>
    <row r="518" hidden="1">
      <c r="A518" s="126" t="s">
        <v>0</v>
      </c>
      <c r="B518" s="127" t="s">
        <v>90</v>
      </c>
      <c r="C518" s="127" t="s">
        <v>3</v>
      </c>
      <c r="D518" s="183" t="s">
        <v>155</v>
      </c>
      <c r="E518" s="183" t="s">
        <v>195</v>
      </c>
      <c r="F518" s="183" t="s">
        <v>476</v>
      </c>
      <c r="G518" s="129" t="s">
        <v>51</v>
      </c>
      <c r="H518" s="129" t="s">
        <v>244</v>
      </c>
      <c r="I518" s="129" t="s">
        <v>477</v>
      </c>
      <c r="J518" s="129" t="s">
        <v>515</v>
      </c>
      <c r="K518" s="129" t="s">
        <v>10</v>
      </c>
      <c r="L518" s="128"/>
      <c r="M518" s="128" t="s">
        <v>110</v>
      </c>
    </row>
    <row r="519" hidden="1">
      <c r="A519" s="314"/>
      <c r="B519" s="125" t="s">
        <v>375</v>
      </c>
      <c r="C519" s="125" t="s">
        <v>375</v>
      </c>
      <c r="D519" s="125" t="s">
        <v>375</v>
      </c>
      <c r="E519" s="125" t="s">
        <v>375</v>
      </c>
      <c r="F519" s="125" t="s">
        <v>238</v>
      </c>
      <c r="G519" s="125" t="s">
        <v>375</v>
      </c>
      <c r="H519" s="125" t="s">
        <v>518</v>
      </c>
      <c r="I519" s="125" t="s">
        <v>375</v>
      </c>
      <c r="J519" s="125" t="s">
        <v>375</v>
      </c>
      <c r="K519" s="125" t="s">
        <v>519</v>
      </c>
      <c r="L519" s="125"/>
      <c r="M519" s="125"/>
    </row>
    <row r="520" hidden="1">
      <c r="A520" s="314"/>
      <c r="B520" s="125"/>
      <c r="C520" s="125"/>
      <c r="D520" s="125"/>
      <c r="E520" s="125"/>
      <c r="F520" s="125"/>
      <c r="G520" s="125"/>
      <c r="H520" s="125"/>
      <c r="I520" s="125"/>
      <c r="J520" s="125"/>
      <c r="K520" s="318"/>
      <c r="L520" s="125"/>
      <c r="M520" s="125"/>
    </row>
    <row r="521" hidden="1">
      <c r="A521" s="195" t="s">
        <v>520</v>
      </c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7"/>
    </row>
    <row r="522" hidden="1">
      <c r="A522" s="200" t="s">
        <v>119</v>
      </c>
      <c r="B522" s="222"/>
      <c r="C522" s="221"/>
      <c r="D522" s="199"/>
      <c r="E522" s="221"/>
      <c r="F522" s="221"/>
      <c r="G522" s="199"/>
      <c r="H522" s="221"/>
      <c r="I522" s="199"/>
      <c r="J522" s="221"/>
      <c r="K522" s="202"/>
      <c r="L522" s="202"/>
      <c r="M522" s="202"/>
    </row>
    <row r="523" hidden="1">
      <c r="A523" s="198" t="s">
        <v>40</v>
      </c>
      <c r="B523" s="221"/>
      <c r="C523" s="221"/>
      <c r="D523" s="221">
        <f>D488</f>
        <v>3125</v>
      </c>
      <c r="E523" s="221"/>
      <c r="F523" s="221">
        <f>F488</f>
        <v>3125</v>
      </c>
      <c r="G523" s="221"/>
      <c r="H523" s="199">
        <f>9*H529</f>
        <v>24375</v>
      </c>
      <c r="I523" s="221">
        <f>15*I488</f>
        <v>40625</v>
      </c>
      <c r="J523" s="199"/>
      <c r="K523" s="251"/>
      <c r="L523" s="251"/>
      <c r="M523" s="251"/>
    </row>
    <row r="524" hidden="1">
      <c r="A524" s="200" t="s">
        <v>501</v>
      </c>
      <c r="B524" s="221"/>
      <c r="C524" s="221"/>
      <c r="D524" s="221"/>
      <c r="E524" s="222"/>
      <c r="F524" s="221"/>
      <c r="G524" s="221"/>
      <c r="H524" s="221"/>
      <c r="I524" s="221"/>
      <c r="J524" s="211"/>
      <c r="K524" s="252"/>
      <c r="L524" s="252"/>
      <c r="M524" s="252"/>
    </row>
    <row r="525" hidden="1">
      <c r="A525" s="200" t="s">
        <v>141</v>
      </c>
      <c r="B525" s="255"/>
      <c r="C525" s="255"/>
      <c r="D525" s="255">
        <f>8*D488</f>
        <v>25000</v>
      </c>
      <c r="E525" s="256"/>
      <c r="F525" s="255">
        <f>8*F488</f>
        <v>25000</v>
      </c>
      <c r="G525" s="319"/>
      <c r="H525" s="255"/>
      <c r="I525" s="255">
        <f>8*I488</f>
        <v>21666.66667</v>
      </c>
      <c r="J525" s="255"/>
      <c r="K525" s="255"/>
      <c r="L525" s="257"/>
      <c r="M525" s="257"/>
    </row>
    <row r="526" hidden="1">
      <c r="A526" s="200" t="s">
        <v>453</v>
      </c>
      <c r="B526" s="255"/>
      <c r="C526" s="255"/>
      <c r="D526" s="255"/>
      <c r="E526" s="255"/>
      <c r="F526" s="255"/>
      <c r="G526" s="255"/>
      <c r="H526" s="255"/>
      <c r="I526" s="255"/>
      <c r="J526" s="255"/>
      <c r="K526" s="255"/>
      <c r="L526" s="257"/>
      <c r="M526" s="257"/>
    </row>
    <row r="527" hidden="1">
      <c r="A527" s="205" t="s">
        <v>118</v>
      </c>
      <c r="B527" s="226">
        <f>B485</f>
        <v>225000</v>
      </c>
      <c r="C527" s="226">
        <f>C484</f>
        <v>225000</v>
      </c>
      <c r="D527" s="226">
        <f>D486+D525+D524+D523</f>
        <v>178125</v>
      </c>
      <c r="E527" s="226">
        <f>270000+E522+E523</f>
        <v>270000</v>
      </c>
      <c r="F527" s="226">
        <f>F486+F525+F524+F523</f>
        <v>178125</v>
      </c>
      <c r="G527" s="321">
        <f>150000-G526+G523</f>
        <v>150000</v>
      </c>
      <c r="H527" s="226"/>
      <c r="I527" s="226">
        <f>I486+I524+I523+I525</f>
        <v>192291.6667</v>
      </c>
      <c r="J527" s="305">
        <f>J486</f>
        <v>150000</v>
      </c>
      <c r="K527" s="226"/>
      <c r="L527" s="206"/>
      <c r="M527" s="206">
        <f>SUM(B527:K527)</f>
        <v>1568541.667</v>
      </c>
    </row>
    <row r="528" hidden="1">
      <c r="A528" s="126" t="s">
        <v>0</v>
      </c>
      <c r="B528" s="127" t="s">
        <v>90</v>
      </c>
      <c r="C528" s="127" t="s">
        <v>3</v>
      </c>
      <c r="D528" s="183" t="s">
        <v>155</v>
      </c>
      <c r="E528" s="183" t="s">
        <v>195</v>
      </c>
      <c r="F528" s="183" t="s">
        <v>476</v>
      </c>
      <c r="G528" s="129" t="s">
        <v>51</v>
      </c>
      <c r="H528" s="129" t="s">
        <v>372</v>
      </c>
      <c r="I528" s="129" t="s">
        <v>477</v>
      </c>
      <c r="J528" s="129" t="s">
        <v>515</v>
      </c>
      <c r="K528" s="129" t="s">
        <v>10</v>
      </c>
      <c r="L528" s="128"/>
      <c r="M528" s="128" t="s">
        <v>110</v>
      </c>
    </row>
    <row r="529" hidden="1">
      <c r="A529" s="314"/>
      <c r="B529" s="125" t="s">
        <v>375</v>
      </c>
      <c r="C529" s="125" t="s">
        <v>375</v>
      </c>
      <c r="D529" s="125" t="s">
        <v>375</v>
      </c>
      <c r="E529" s="317" t="s">
        <v>375</v>
      </c>
      <c r="F529" s="125" t="s">
        <v>375</v>
      </c>
      <c r="G529" s="125" t="s">
        <v>375</v>
      </c>
      <c r="H529" s="125">
        <f>130000/6/8</f>
        <v>2708.333333</v>
      </c>
      <c r="I529" s="125" t="s">
        <v>375</v>
      </c>
      <c r="J529" s="125" t="s">
        <v>375</v>
      </c>
      <c r="K529" s="125" t="s">
        <v>519</v>
      </c>
      <c r="L529" s="125"/>
      <c r="M529" s="125"/>
    </row>
    <row r="530" hidden="1">
      <c r="A530" s="314"/>
      <c r="B530" s="125"/>
      <c r="C530" s="125"/>
      <c r="D530" s="125"/>
      <c r="E530" s="125"/>
      <c r="F530" s="125"/>
      <c r="G530" s="125"/>
      <c r="H530" s="125" t="s">
        <v>375</v>
      </c>
      <c r="I530" s="125"/>
      <c r="J530" s="125"/>
      <c r="K530" s="318"/>
      <c r="L530" s="125"/>
      <c r="M530" s="125"/>
    </row>
    <row r="531" hidden="1">
      <c r="A531" s="195" t="s">
        <v>521</v>
      </c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7"/>
    </row>
    <row r="532" hidden="1">
      <c r="A532" s="200" t="s">
        <v>119</v>
      </c>
      <c r="B532" s="222"/>
      <c r="C532" s="221"/>
      <c r="D532" s="199"/>
      <c r="E532" s="221"/>
      <c r="F532" s="221"/>
      <c r="G532" s="199"/>
      <c r="H532" s="221"/>
      <c r="I532" s="199"/>
      <c r="J532" s="221"/>
      <c r="K532" s="202"/>
      <c r="L532" s="202"/>
      <c r="M532" s="202"/>
    </row>
    <row r="533" hidden="1">
      <c r="A533" s="198" t="s">
        <v>40</v>
      </c>
      <c r="B533" s="221"/>
      <c r="C533" s="221"/>
      <c r="D533" s="221">
        <f>D488</f>
        <v>3125</v>
      </c>
      <c r="E533" s="221"/>
      <c r="F533" s="221">
        <f>2*F488</f>
        <v>6250</v>
      </c>
      <c r="G533" s="221"/>
      <c r="H533" s="221">
        <v>10000.0</v>
      </c>
      <c r="I533" s="221">
        <f>7*I488</f>
        <v>18958.33333</v>
      </c>
      <c r="J533" s="199"/>
      <c r="K533" s="251"/>
      <c r="L533" s="251"/>
      <c r="M533" s="251"/>
    </row>
    <row r="534" hidden="1">
      <c r="A534" s="200" t="s">
        <v>501</v>
      </c>
      <c r="B534" s="221"/>
      <c r="C534" s="221"/>
      <c r="D534" s="221">
        <f>(9*D488)*30%</f>
        <v>8437.5</v>
      </c>
      <c r="E534" s="222"/>
      <c r="F534" s="221">
        <f>(9*F488)*30%</f>
        <v>8437.5</v>
      </c>
      <c r="G534" s="221"/>
      <c r="H534" s="221"/>
      <c r="I534" s="221">
        <f>(9*I488)*30%</f>
        <v>7312.5</v>
      </c>
      <c r="J534" s="211"/>
      <c r="K534" s="252"/>
      <c r="L534" s="252"/>
      <c r="M534" s="252"/>
    </row>
    <row r="535" hidden="1">
      <c r="A535" s="200" t="s">
        <v>141</v>
      </c>
      <c r="B535" s="255"/>
      <c r="C535" s="255"/>
      <c r="D535" s="255"/>
      <c r="E535" s="256"/>
      <c r="F535" s="255"/>
      <c r="G535" s="319"/>
      <c r="H535" s="255"/>
      <c r="I535" s="255"/>
      <c r="J535" s="255"/>
      <c r="K535" s="255"/>
      <c r="L535" s="257"/>
      <c r="M535" s="257"/>
    </row>
    <row r="536" hidden="1">
      <c r="A536" s="200" t="s">
        <v>453</v>
      </c>
      <c r="B536" s="255">
        <v>50000.0</v>
      </c>
      <c r="C536" s="255"/>
      <c r="D536" s="255"/>
      <c r="E536" s="255"/>
      <c r="F536" s="255"/>
      <c r="G536" s="255"/>
      <c r="H536" s="255">
        <v>7350.0</v>
      </c>
      <c r="I536" s="255">
        <f>5880+9940</f>
        <v>15820</v>
      </c>
      <c r="J536" s="255"/>
      <c r="K536" s="255"/>
      <c r="L536" s="257"/>
      <c r="M536" s="257"/>
    </row>
    <row r="537" hidden="1">
      <c r="A537" s="205" t="s">
        <v>118</v>
      </c>
      <c r="B537" s="226">
        <f>300000-B536</f>
        <v>250000</v>
      </c>
      <c r="C537" s="226">
        <v>300000.0</v>
      </c>
      <c r="D537" s="226">
        <f>D486+D534+D533</f>
        <v>161562.5</v>
      </c>
      <c r="E537" s="226">
        <f>270000+E532+E533</f>
        <v>270000</v>
      </c>
      <c r="F537" s="226">
        <f>F486+F534+F533</f>
        <v>164687.5</v>
      </c>
      <c r="G537" s="321">
        <f>150000-G536+G533</f>
        <v>150000</v>
      </c>
      <c r="H537" s="226">
        <f>150000+H533-H536</f>
        <v>152650</v>
      </c>
      <c r="I537" s="226">
        <f>I486+I534+I533-I536</f>
        <v>140450.8333</v>
      </c>
      <c r="J537" s="305">
        <v>150000.0</v>
      </c>
      <c r="K537" s="226"/>
      <c r="L537" s="206"/>
      <c r="M537" s="206">
        <f>SUM(B537:K537)</f>
        <v>1739350.833</v>
      </c>
    </row>
    <row r="538" hidden="1">
      <c r="A538" s="126" t="s">
        <v>0</v>
      </c>
      <c r="B538" s="127" t="s">
        <v>90</v>
      </c>
      <c r="C538" s="127" t="s">
        <v>3</v>
      </c>
      <c r="D538" s="183" t="s">
        <v>155</v>
      </c>
      <c r="E538" s="183" t="s">
        <v>195</v>
      </c>
      <c r="F538" s="183" t="s">
        <v>476</v>
      </c>
      <c r="G538" s="129" t="s">
        <v>51</v>
      </c>
      <c r="H538" s="129" t="s">
        <v>372</v>
      </c>
      <c r="I538" s="129" t="s">
        <v>477</v>
      </c>
      <c r="J538" s="129" t="s">
        <v>515</v>
      </c>
      <c r="K538" s="129" t="s">
        <v>10</v>
      </c>
      <c r="L538" s="128"/>
      <c r="M538" s="128" t="s">
        <v>110</v>
      </c>
    </row>
    <row r="539" hidden="1">
      <c r="A539" s="314"/>
      <c r="B539" s="253"/>
      <c r="C539" s="315"/>
      <c r="D539" s="253" t="s">
        <v>458</v>
      </c>
      <c r="E539" s="315" t="s">
        <v>375</v>
      </c>
      <c r="F539" s="125" t="s">
        <v>458</v>
      </c>
      <c r="G539" s="125" t="s">
        <v>375</v>
      </c>
      <c r="H539" s="125" t="s">
        <v>458</v>
      </c>
      <c r="I539" s="125" t="s">
        <v>375</v>
      </c>
      <c r="J539" s="253" t="s">
        <v>458</v>
      </c>
      <c r="K539" s="263"/>
      <c r="L539" s="253"/>
      <c r="M539" s="253"/>
    </row>
    <row r="540" hidden="1">
      <c r="A540" s="314"/>
      <c r="B540" s="125"/>
      <c r="C540" s="125"/>
      <c r="D540" s="125"/>
      <c r="E540" s="317"/>
      <c r="F540" s="125"/>
      <c r="G540" s="125"/>
      <c r="H540" s="125"/>
      <c r="I540" s="125"/>
      <c r="J540" s="125"/>
      <c r="K540" s="318"/>
      <c r="L540" s="125"/>
      <c r="M540" s="125"/>
    </row>
    <row r="541" hidden="1">
      <c r="A541" s="126" t="s">
        <v>0</v>
      </c>
      <c r="B541" s="127" t="s">
        <v>90</v>
      </c>
      <c r="C541" s="127" t="s">
        <v>3</v>
      </c>
      <c r="D541" s="183" t="s">
        <v>155</v>
      </c>
      <c r="E541" s="183" t="s">
        <v>195</v>
      </c>
      <c r="F541" s="183" t="s">
        <v>476</v>
      </c>
      <c r="G541" s="129" t="s">
        <v>51</v>
      </c>
      <c r="H541" s="129" t="s">
        <v>372</v>
      </c>
      <c r="I541" s="129" t="s">
        <v>477</v>
      </c>
      <c r="J541" s="129" t="s">
        <v>394</v>
      </c>
      <c r="K541" s="129" t="s">
        <v>10</v>
      </c>
      <c r="L541" s="129"/>
      <c r="M541" s="129"/>
      <c r="N541" s="128" t="s">
        <v>110</v>
      </c>
    </row>
    <row r="542" hidden="1">
      <c r="A542" s="130" t="s">
        <v>52</v>
      </c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2"/>
    </row>
    <row r="543" hidden="1">
      <c r="A543" s="133" t="s">
        <v>111</v>
      </c>
      <c r="B543" s="134">
        <v>300000.0</v>
      </c>
      <c r="C543" s="134">
        <v>300000.0</v>
      </c>
      <c r="D543" s="134">
        <v>150000.0</v>
      </c>
      <c r="E543" s="134">
        <v>270000.0</v>
      </c>
      <c r="F543" s="134">
        <v>185000.0</v>
      </c>
      <c r="G543" s="134">
        <v>150000.0</v>
      </c>
      <c r="H543" s="134">
        <v>150000.0</v>
      </c>
      <c r="I543" s="134">
        <v>130000.0</v>
      </c>
      <c r="J543" s="134">
        <v>200000.0</v>
      </c>
      <c r="K543" s="134">
        <v>150000.0</v>
      </c>
      <c r="L543" s="218"/>
      <c r="M543" s="139">
        <f t="shared" ref="M543:M546" si="162">SUM(B543:K543)</f>
        <v>1985000</v>
      </c>
    </row>
    <row r="544" hidden="1">
      <c r="A544" s="137"/>
      <c r="B544" s="134">
        <v>300000.0</v>
      </c>
      <c r="C544" s="134">
        <v>300000.0</v>
      </c>
      <c r="D544" s="134">
        <v>150000.0</v>
      </c>
      <c r="E544" s="134">
        <v>270000.0</v>
      </c>
      <c r="F544" s="134">
        <v>185000.0</v>
      </c>
      <c r="G544" s="134">
        <v>150000.0</v>
      </c>
      <c r="H544" s="134">
        <v>150000.0</v>
      </c>
      <c r="I544" s="134">
        <v>130000.0</v>
      </c>
      <c r="J544" s="134">
        <v>200000.0</v>
      </c>
      <c r="K544" s="134">
        <v>150000.0</v>
      </c>
      <c r="L544" s="218"/>
      <c r="M544" s="139">
        <f t="shared" si="162"/>
        <v>1985000</v>
      </c>
      <c r="P544" s="91"/>
    </row>
    <row r="545" hidden="1">
      <c r="A545" s="137"/>
      <c r="B545" s="134">
        <v>300000.0</v>
      </c>
      <c r="C545" s="134">
        <v>300000.0</v>
      </c>
      <c r="D545" s="134">
        <v>150000.0</v>
      </c>
      <c r="E545" s="134">
        <v>270000.0</v>
      </c>
      <c r="F545" s="134">
        <v>185000.0</v>
      </c>
      <c r="G545" s="134">
        <v>150000.0</v>
      </c>
      <c r="H545" s="134">
        <v>150000.0</v>
      </c>
      <c r="I545" s="134">
        <v>130000.0</v>
      </c>
      <c r="J545" s="134">
        <v>200000.0</v>
      </c>
      <c r="K545" s="134">
        <v>150000.0</v>
      </c>
      <c r="L545" s="218"/>
      <c r="M545" s="139">
        <f t="shared" si="162"/>
        <v>1985000</v>
      </c>
    </row>
    <row r="546" hidden="1">
      <c r="A546" s="138"/>
      <c r="B546" s="134">
        <v>300000.0</v>
      </c>
      <c r="C546" s="134">
        <v>300000.0</v>
      </c>
      <c r="D546" s="134">
        <v>150000.0</v>
      </c>
      <c r="E546" s="134">
        <v>270000.0</v>
      </c>
      <c r="F546" s="134">
        <v>185000.0</v>
      </c>
      <c r="G546" s="134">
        <v>150000.0</v>
      </c>
      <c r="H546" s="134">
        <v>150000.0</v>
      </c>
      <c r="I546" s="134">
        <v>130000.0</v>
      </c>
      <c r="J546" s="134">
        <v>200000.0</v>
      </c>
      <c r="K546" s="134">
        <v>150000.0</v>
      </c>
      <c r="L546" s="218"/>
      <c r="M546" s="139">
        <f t="shared" si="162"/>
        <v>1985000</v>
      </c>
    </row>
    <row r="547" hidden="1">
      <c r="A547" s="140" t="s">
        <v>113</v>
      </c>
      <c r="B547" s="141">
        <f t="shared" ref="B547:K547" si="163">SUM(B543:B546)</f>
        <v>1200000</v>
      </c>
      <c r="C547" s="141">
        <f t="shared" si="163"/>
        <v>1200000</v>
      </c>
      <c r="D547" s="141">
        <f t="shared" si="163"/>
        <v>600000</v>
      </c>
      <c r="E547" s="141">
        <f t="shared" si="163"/>
        <v>1080000</v>
      </c>
      <c r="F547" s="141">
        <f t="shared" si="163"/>
        <v>740000</v>
      </c>
      <c r="G547" s="141">
        <f t="shared" si="163"/>
        <v>600000</v>
      </c>
      <c r="H547" s="141">
        <f t="shared" si="163"/>
        <v>600000</v>
      </c>
      <c r="I547" s="141">
        <f t="shared" si="163"/>
        <v>520000</v>
      </c>
      <c r="J547" s="141">
        <f t="shared" si="163"/>
        <v>800000</v>
      </c>
      <c r="K547" s="141">
        <f t="shared" si="163"/>
        <v>600000</v>
      </c>
      <c r="L547" s="141"/>
      <c r="M547" s="141">
        <f>SUM(M543:M546)</f>
        <v>7940000</v>
      </c>
    </row>
    <row r="548" hidden="1">
      <c r="A548" s="157" t="s">
        <v>138</v>
      </c>
      <c r="B548" s="158">
        <f>B544/6/8</f>
        <v>6250</v>
      </c>
      <c r="C548" s="158">
        <f t="shared" ref="C548:D548" si="164">C543/8/6</f>
        <v>6250</v>
      </c>
      <c r="D548" s="158">
        <f t="shared" si="164"/>
        <v>3125</v>
      </c>
      <c r="E548" s="158">
        <f t="shared" ref="E548:G548" si="165">E543/6/8</f>
        <v>5625</v>
      </c>
      <c r="F548" s="158">
        <f t="shared" si="165"/>
        <v>3854.166667</v>
      </c>
      <c r="G548" s="158">
        <f t="shared" si="165"/>
        <v>3125</v>
      </c>
      <c r="H548" s="158">
        <f>H544/6/8</f>
        <v>3125</v>
      </c>
      <c r="I548" s="158">
        <f>I546/8/6</f>
        <v>2708.333333</v>
      </c>
      <c r="J548" s="159">
        <f>J543/6/8</f>
        <v>4166.666667</v>
      </c>
      <c r="K548" s="159">
        <f>K546/6/8</f>
        <v>3125</v>
      </c>
      <c r="L548" s="159"/>
      <c r="M548" s="159"/>
      <c r="N548" s="122"/>
    </row>
    <row r="549" hidden="1">
      <c r="A549" s="314"/>
      <c r="B549" s="253"/>
      <c r="C549" s="315"/>
      <c r="D549" s="253"/>
      <c r="E549" s="315"/>
      <c r="F549" s="125"/>
      <c r="G549" s="125"/>
      <c r="H549" s="125"/>
      <c r="I549" s="125"/>
      <c r="J549" s="253"/>
      <c r="K549" s="263"/>
      <c r="L549" s="253"/>
      <c r="M549" s="253"/>
    </row>
    <row r="550" hidden="1">
      <c r="A550" s="195" t="s">
        <v>522</v>
      </c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7"/>
    </row>
    <row r="551" hidden="1">
      <c r="A551" s="200" t="s">
        <v>119</v>
      </c>
      <c r="B551" s="222"/>
      <c r="C551" s="221"/>
      <c r="D551" s="199"/>
      <c r="E551" s="221"/>
      <c r="F551" s="221"/>
      <c r="G551" s="199"/>
      <c r="H551" s="221"/>
      <c r="I551" s="199"/>
      <c r="J551" s="221"/>
      <c r="K551" s="202"/>
      <c r="L551" s="202"/>
      <c r="M551" s="202"/>
    </row>
    <row r="552" hidden="1">
      <c r="A552" s="198" t="s">
        <v>40</v>
      </c>
      <c r="B552" s="221"/>
      <c r="C552" s="221">
        <f>C548</f>
        <v>6250</v>
      </c>
      <c r="D552" s="221"/>
      <c r="E552" s="221"/>
      <c r="F552" s="221">
        <f>F548</f>
        <v>3854.166667</v>
      </c>
      <c r="G552" s="221"/>
      <c r="H552" s="221">
        <f>1*H548</f>
        <v>3125</v>
      </c>
      <c r="I552" s="221">
        <f>5*I548</f>
        <v>13541.66667</v>
      </c>
      <c r="J552" s="199"/>
      <c r="K552" s="251"/>
      <c r="L552" s="251"/>
      <c r="M552" s="251"/>
    </row>
    <row r="553" hidden="1">
      <c r="A553" s="200" t="s">
        <v>501</v>
      </c>
      <c r="B553" s="221"/>
      <c r="C553" s="221">
        <f>(9*C548)*30%</f>
        <v>16875</v>
      </c>
      <c r="D553" s="221"/>
      <c r="E553" s="222"/>
      <c r="F553" s="221">
        <f>(9*F548)*30%</f>
        <v>10406.25</v>
      </c>
      <c r="G553" s="221"/>
      <c r="H553" s="221">
        <f>(9*H548)*30%</f>
        <v>8437.5</v>
      </c>
      <c r="I553" s="221"/>
      <c r="J553" s="211"/>
      <c r="K553" s="252"/>
      <c r="L553" s="252"/>
      <c r="M553" s="252"/>
    </row>
    <row r="554" hidden="1">
      <c r="A554" s="200" t="s">
        <v>141</v>
      </c>
      <c r="B554" s="255"/>
      <c r="C554" s="255"/>
      <c r="D554" s="255"/>
      <c r="E554" s="256"/>
      <c r="F554" s="255"/>
      <c r="G554" s="319"/>
      <c r="H554" s="255"/>
      <c r="I554" s="255"/>
      <c r="J554" s="255"/>
      <c r="K554" s="255"/>
      <c r="L554" s="257"/>
      <c r="M554" s="257"/>
    </row>
    <row r="555" hidden="1">
      <c r="A555" s="200" t="s">
        <v>453</v>
      </c>
      <c r="B555" s="255"/>
      <c r="C555" s="255"/>
      <c r="D555" s="255"/>
      <c r="E555" s="255"/>
      <c r="F555" s="255"/>
      <c r="G555" s="255"/>
      <c r="H555" s="255">
        <f>2200+3800</f>
        <v>6000</v>
      </c>
      <c r="I555" s="255">
        <v>15000.0</v>
      </c>
      <c r="J555" s="255"/>
      <c r="K555" s="255"/>
      <c r="L555" s="257"/>
      <c r="M555" s="257"/>
    </row>
    <row r="556" hidden="1">
      <c r="A556" s="205" t="s">
        <v>118</v>
      </c>
      <c r="B556" s="226">
        <f>300000-B555</f>
        <v>300000</v>
      </c>
      <c r="C556" s="226">
        <f>C545+C553+C552</f>
        <v>323125</v>
      </c>
      <c r="D556" s="226">
        <f>D546</f>
        <v>150000</v>
      </c>
      <c r="E556" s="226">
        <f>270000+E551+E552</f>
        <v>270000</v>
      </c>
      <c r="F556" s="226">
        <f>F545+F553+F552</f>
        <v>199260.4167</v>
      </c>
      <c r="G556" s="321">
        <f>150000-G555+G552</f>
        <v>150000</v>
      </c>
      <c r="H556" s="226">
        <f>150000+H552-H555</f>
        <v>147125</v>
      </c>
      <c r="I556" s="226">
        <f>I545+I552-I555</f>
        <v>128541.6667</v>
      </c>
      <c r="J556" s="305">
        <f t="shared" ref="J556:K556" si="166">J546</f>
        <v>200000</v>
      </c>
      <c r="K556" s="226">
        <f t="shared" si="166"/>
        <v>150000</v>
      </c>
      <c r="L556" s="206"/>
      <c r="M556" s="206">
        <f>SUM(B556:K556)</f>
        <v>2018052.083</v>
      </c>
    </row>
    <row r="557" hidden="1">
      <c r="A557" s="126" t="s">
        <v>0</v>
      </c>
      <c r="B557" s="127" t="s">
        <v>90</v>
      </c>
      <c r="C557" s="127" t="s">
        <v>3</v>
      </c>
      <c r="D557" s="183" t="s">
        <v>155</v>
      </c>
      <c r="E557" s="183" t="s">
        <v>195</v>
      </c>
      <c r="F557" s="183" t="s">
        <v>476</v>
      </c>
      <c r="G557" s="129" t="s">
        <v>51</v>
      </c>
      <c r="H557" s="129" t="s">
        <v>372</v>
      </c>
      <c r="I557" s="129" t="s">
        <v>477</v>
      </c>
      <c r="J557" s="129" t="s">
        <v>515</v>
      </c>
      <c r="K557" s="129" t="s">
        <v>10</v>
      </c>
      <c r="L557" s="128"/>
      <c r="M557" s="128" t="s">
        <v>110</v>
      </c>
    </row>
    <row r="558" hidden="1">
      <c r="A558" s="272"/>
      <c r="B558" s="274" t="s">
        <v>326</v>
      </c>
      <c r="C558" s="274" t="s">
        <v>326</v>
      </c>
      <c r="D558" s="274" t="s">
        <v>375</v>
      </c>
      <c r="E558" s="274" t="s">
        <v>375</v>
      </c>
      <c r="F558" s="274" t="s">
        <v>523</v>
      </c>
      <c r="G558" s="247" t="s">
        <v>375</v>
      </c>
      <c r="H558" s="247" t="s">
        <v>375</v>
      </c>
      <c r="I558" s="247" t="s">
        <v>375</v>
      </c>
      <c r="J558" s="247" t="s">
        <v>375</v>
      </c>
      <c r="K558" s="247" t="s">
        <v>524</v>
      </c>
    </row>
    <row r="559" hidden="1">
      <c r="A559" s="243"/>
      <c r="B559" s="310"/>
      <c r="C559" s="310"/>
      <c r="D559" s="310"/>
      <c r="E559" s="310"/>
      <c r="F559" s="310"/>
      <c r="G559" s="310"/>
      <c r="H559" s="310"/>
      <c r="I559" s="310"/>
      <c r="J559" s="310"/>
    </row>
    <row r="560" hidden="1">
      <c r="A560" s="195" t="s">
        <v>525</v>
      </c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7"/>
    </row>
    <row r="561" hidden="1">
      <c r="A561" s="200" t="s">
        <v>119</v>
      </c>
      <c r="B561" s="222"/>
      <c r="C561" s="221"/>
      <c r="D561" s="199"/>
      <c r="E561" s="221"/>
      <c r="F561" s="221"/>
      <c r="G561" s="199"/>
      <c r="H561" s="221"/>
      <c r="I561" s="199"/>
      <c r="J561" s="221"/>
      <c r="K561" s="202"/>
      <c r="L561" s="202"/>
      <c r="M561" s="202"/>
    </row>
    <row r="562" hidden="1">
      <c r="A562" s="198" t="s">
        <v>40</v>
      </c>
      <c r="B562" s="221"/>
      <c r="C562" s="221"/>
      <c r="D562" s="221">
        <f>D548</f>
        <v>3125</v>
      </c>
      <c r="E562" s="221"/>
      <c r="F562" s="221">
        <f>F548</f>
        <v>3854.166667</v>
      </c>
      <c r="G562" s="221"/>
      <c r="H562" s="221"/>
      <c r="I562" s="221">
        <f>I548</f>
        <v>2708.333333</v>
      </c>
      <c r="J562" s="199"/>
      <c r="K562" s="251"/>
      <c r="L562" s="251"/>
      <c r="M562" s="251"/>
    </row>
    <row r="563" hidden="1">
      <c r="A563" s="200" t="s">
        <v>501</v>
      </c>
      <c r="B563" s="221"/>
      <c r="C563" s="221"/>
      <c r="D563" s="221">
        <f>(9*D548)*30%</f>
        <v>8437.5</v>
      </c>
      <c r="E563" s="222"/>
      <c r="F563" s="221" t="str">
        <f>(9*F548)*30%A571</f>
        <v>#ERROR!</v>
      </c>
      <c r="G563" s="221"/>
      <c r="H563" s="221"/>
      <c r="I563" s="221">
        <f>(9*I548)*30%</f>
        <v>7312.5</v>
      </c>
      <c r="J563" s="211"/>
      <c r="K563" s="252"/>
      <c r="L563" s="252"/>
      <c r="M563" s="252"/>
    </row>
    <row r="564" hidden="1">
      <c r="A564" s="200" t="s">
        <v>141</v>
      </c>
      <c r="B564" s="255"/>
      <c r="C564" s="255"/>
      <c r="D564" s="255"/>
      <c r="E564" s="256"/>
      <c r="F564" s="255"/>
      <c r="G564" s="319"/>
      <c r="H564" s="255"/>
      <c r="I564" s="255"/>
      <c r="J564" s="255"/>
      <c r="K564" s="255"/>
      <c r="L564" s="257"/>
      <c r="M564" s="257"/>
    </row>
    <row r="565" hidden="1">
      <c r="A565" s="200" t="s">
        <v>453</v>
      </c>
      <c r="B565" s="255"/>
      <c r="C565" s="255"/>
      <c r="D565" s="255">
        <v>11900.0</v>
      </c>
      <c r="E565" s="255"/>
      <c r="F565" s="255"/>
      <c r="G565" s="255"/>
      <c r="H565" s="255">
        <v>5600.0</v>
      </c>
      <c r="I565" s="255">
        <v>5600.0</v>
      </c>
      <c r="J565" s="255"/>
      <c r="K565" s="255"/>
      <c r="L565" s="257"/>
      <c r="M565" s="257"/>
    </row>
    <row r="566" hidden="1">
      <c r="A566" s="205" t="s">
        <v>118</v>
      </c>
      <c r="B566" s="226">
        <f>300000-B565</f>
        <v>300000</v>
      </c>
      <c r="C566" s="226">
        <f>C543</f>
        <v>300000</v>
      </c>
      <c r="D566" s="226">
        <f>D556+D563+D562-D565</f>
        <v>149662.5</v>
      </c>
      <c r="E566" s="226">
        <f>270000+E561+E562</f>
        <v>270000</v>
      </c>
      <c r="F566" s="226" t="str">
        <f>F545+F563+F562</f>
        <v>#ERROR!</v>
      </c>
      <c r="G566" s="321">
        <f>150000-G565+G562</f>
        <v>150000</v>
      </c>
      <c r="H566" s="226">
        <f>150000+H562-H565</f>
        <v>144400</v>
      </c>
      <c r="I566" s="226">
        <f>I544+I563+I562-I565</f>
        <v>134420.8333</v>
      </c>
      <c r="J566" s="305">
        <f t="shared" ref="J566:K566" si="167">J556</f>
        <v>200000</v>
      </c>
      <c r="K566" s="226">
        <f t="shared" si="167"/>
        <v>150000</v>
      </c>
      <c r="L566" s="206"/>
      <c r="M566" s="206" t="str">
        <f>SUM(B566:K566)</f>
        <v>#ERROR!</v>
      </c>
    </row>
    <row r="567" hidden="1">
      <c r="A567" s="126" t="s">
        <v>0</v>
      </c>
      <c r="B567" s="127" t="s">
        <v>90</v>
      </c>
      <c r="C567" s="127" t="s">
        <v>3</v>
      </c>
      <c r="D567" s="183" t="s">
        <v>155</v>
      </c>
      <c r="E567" s="183" t="s">
        <v>195</v>
      </c>
      <c r="F567" s="183" t="s">
        <v>476</v>
      </c>
      <c r="G567" s="129" t="s">
        <v>51</v>
      </c>
      <c r="H567" s="129" t="s">
        <v>372</v>
      </c>
      <c r="I567" s="129" t="s">
        <v>477</v>
      </c>
      <c r="J567" s="129" t="s">
        <v>515</v>
      </c>
      <c r="K567" s="129" t="s">
        <v>10</v>
      </c>
      <c r="L567" s="128"/>
      <c r="M567" s="128" t="s">
        <v>110</v>
      </c>
    </row>
    <row r="568" hidden="1">
      <c r="A568" s="272"/>
      <c r="B568" s="274" t="s">
        <v>526</v>
      </c>
      <c r="C568" s="274" t="s">
        <v>526</v>
      </c>
      <c r="D568" s="274" t="s">
        <v>466</v>
      </c>
      <c r="E568" s="274" t="s">
        <v>375</v>
      </c>
      <c r="F568" s="274" t="s">
        <v>466</v>
      </c>
      <c r="G568" s="247" t="s">
        <v>466</v>
      </c>
      <c r="H568" s="247" t="s">
        <v>466</v>
      </c>
      <c r="I568" s="247" t="s">
        <v>466</v>
      </c>
      <c r="J568" s="247" t="s">
        <v>527</v>
      </c>
      <c r="K568" s="247" t="s">
        <v>526</v>
      </c>
    </row>
    <row r="569" hidden="1">
      <c r="A569" s="314"/>
      <c r="B569" s="253"/>
      <c r="C569" s="315"/>
      <c r="D569" s="253"/>
      <c r="E569" s="315"/>
      <c r="F569" s="125"/>
      <c r="G569" s="125"/>
      <c r="H569" s="125"/>
      <c r="I569" s="125"/>
      <c r="J569" s="253"/>
      <c r="K569" s="263"/>
      <c r="L569" s="253"/>
      <c r="M569" s="253"/>
    </row>
    <row r="570" hidden="1">
      <c r="A570" s="314"/>
      <c r="B570" s="125"/>
      <c r="C570" s="125"/>
      <c r="D570" s="125"/>
      <c r="E570" s="317"/>
      <c r="F570" s="125"/>
      <c r="G570" s="125"/>
      <c r="H570" s="125"/>
      <c r="I570" s="125"/>
      <c r="J570" s="125"/>
      <c r="K570" s="318"/>
      <c r="L570" s="125"/>
      <c r="M570" s="125"/>
    </row>
    <row r="571" hidden="1">
      <c r="A571" s="195" t="s">
        <v>528</v>
      </c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7"/>
    </row>
    <row r="572" hidden="1">
      <c r="A572" s="198" t="s">
        <v>40</v>
      </c>
      <c r="B572" s="221"/>
      <c r="C572" s="221"/>
      <c r="D572" s="221">
        <f>D548</f>
        <v>3125</v>
      </c>
      <c r="E572" s="221"/>
      <c r="F572" s="221">
        <f>F548</f>
        <v>3854.166667</v>
      </c>
      <c r="G572" s="221"/>
      <c r="H572" s="221"/>
      <c r="I572" s="221">
        <f>I548</f>
        <v>2708.333333</v>
      </c>
      <c r="J572" s="199"/>
      <c r="K572" s="251"/>
      <c r="L572" s="251"/>
      <c r="M572" s="251"/>
    </row>
    <row r="573" hidden="1">
      <c r="A573" s="200" t="s">
        <v>501</v>
      </c>
      <c r="B573" s="221"/>
      <c r="C573" s="221"/>
      <c r="D573" s="255">
        <f>D563</f>
        <v>8437.5</v>
      </c>
      <c r="E573" s="222"/>
      <c r="F573" s="221" t="str">
        <f>F563</f>
        <v>#ERROR!</v>
      </c>
      <c r="G573" s="221"/>
      <c r="H573" s="221"/>
      <c r="I573" s="221">
        <f>I563</f>
        <v>7312.5</v>
      </c>
      <c r="J573" s="211"/>
      <c r="K573" s="252"/>
      <c r="L573" s="252"/>
      <c r="M573" s="252"/>
    </row>
    <row r="574" hidden="1">
      <c r="A574" s="200" t="s">
        <v>529</v>
      </c>
      <c r="B574" s="255"/>
      <c r="C574" s="255">
        <f>9*C548</f>
        <v>56250</v>
      </c>
      <c r="D574" s="255"/>
      <c r="E574" s="256"/>
      <c r="F574" s="255">
        <f>9*F548</f>
        <v>34687.5</v>
      </c>
      <c r="G574" s="319"/>
      <c r="H574" s="255">
        <f t="shared" ref="H574:I574" si="168">9*H548</f>
        <v>28125</v>
      </c>
      <c r="I574" s="255">
        <f t="shared" si="168"/>
        <v>24375</v>
      </c>
      <c r="J574" s="255" t="s">
        <v>530</v>
      </c>
      <c r="K574" s="255"/>
      <c r="L574" s="257"/>
      <c r="M574" s="257"/>
    </row>
    <row r="575" hidden="1">
      <c r="A575" s="200" t="s">
        <v>531</v>
      </c>
      <c r="B575" s="255">
        <f>7*B548</f>
        <v>43750</v>
      </c>
      <c r="C575" s="255"/>
      <c r="D575" s="255">
        <f>9*D548</f>
        <v>28125</v>
      </c>
      <c r="E575" s="256">
        <f>4*E548</f>
        <v>22500</v>
      </c>
      <c r="F575" s="255"/>
      <c r="G575" s="319">
        <f>9*G548</f>
        <v>28125</v>
      </c>
      <c r="H575" s="255"/>
      <c r="I575" s="255">
        <f>9*I548</f>
        <v>24375</v>
      </c>
      <c r="J575" s="255"/>
      <c r="K575" s="255"/>
      <c r="L575" s="257"/>
      <c r="M575" s="257"/>
    </row>
    <row r="576" hidden="1">
      <c r="A576" s="200" t="s">
        <v>453</v>
      </c>
      <c r="B576" s="255"/>
      <c r="C576" s="255"/>
      <c r="D576" s="255"/>
      <c r="E576" s="255"/>
      <c r="F576" s="255"/>
      <c r="G576" s="255"/>
      <c r="H576" s="255">
        <v>16800.0</v>
      </c>
      <c r="I576" s="255">
        <v>2400.0</v>
      </c>
      <c r="J576" s="255"/>
      <c r="K576" s="255"/>
      <c r="L576" s="257"/>
      <c r="M576" s="257"/>
    </row>
    <row r="577" hidden="1">
      <c r="A577" s="205" t="s">
        <v>118</v>
      </c>
      <c r="B577" s="226">
        <f>300000+B575</f>
        <v>343750</v>
      </c>
      <c r="C577" s="226">
        <f>C566+C574</f>
        <v>356250</v>
      </c>
      <c r="D577" s="226">
        <f>D546+D575+D574+D573+D572</f>
        <v>189687.5</v>
      </c>
      <c r="E577" s="226">
        <f>E566+E575</f>
        <v>292500</v>
      </c>
      <c r="F577" s="226" t="str">
        <f>F546+F574+F573+F572</f>
        <v>#ERROR!</v>
      </c>
      <c r="G577" s="320">
        <f>150000-G576+G572+G575</f>
        <v>178125</v>
      </c>
      <c r="H577" s="226">
        <f>H546+H574-H576</f>
        <v>161325</v>
      </c>
      <c r="I577" s="226">
        <f>I545+I575+I574+I573+I572-I576</f>
        <v>186370.8333</v>
      </c>
      <c r="J577" s="305">
        <f>J544</f>
        <v>200000</v>
      </c>
      <c r="K577" s="226">
        <f>K545</f>
        <v>150000</v>
      </c>
      <c r="L577" s="206"/>
      <c r="M577" s="206" t="str">
        <f>SUM(B577:K577)</f>
        <v>#ERROR!</v>
      </c>
    </row>
    <row r="578" hidden="1">
      <c r="A578" s="126" t="s">
        <v>0</v>
      </c>
      <c r="B578" s="127" t="s">
        <v>90</v>
      </c>
      <c r="C578" s="127" t="s">
        <v>3</v>
      </c>
      <c r="D578" s="183" t="s">
        <v>155</v>
      </c>
      <c r="E578" s="183" t="s">
        <v>195</v>
      </c>
      <c r="F578" s="183" t="s">
        <v>476</v>
      </c>
      <c r="G578" s="129" t="s">
        <v>51</v>
      </c>
      <c r="H578" s="129" t="s">
        <v>372</v>
      </c>
      <c r="I578" s="129" t="s">
        <v>477</v>
      </c>
      <c r="J578" s="129" t="s">
        <v>515</v>
      </c>
      <c r="K578" s="129" t="s">
        <v>10</v>
      </c>
      <c r="L578" s="128"/>
      <c r="M578" s="128" t="s">
        <v>110</v>
      </c>
    </row>
    <row r="579" hidden="1">
      <c r="A579" s="272"/>
      <c r="B579" s="274" t="s">
        <v>466</v>
      </c>
      <c r="C579" s="274" t="s">
        <v>526</v>
      </c>
      <c r="D579" s="274" t="s">
        <v>466</v>
      </c>
      <c r="E579" s="274" t="s">
        <v>375</v>
      </c>
      <c r="F579" s="274" t="s">
        <v>466</v>
      </c>
      <c r="G579" s="247" t="s">
        <v>466</v>
      </c>
      <c r="H579" s="247" t="s">
        <v>466</v>
      </c>
      <c r="I579" s="247" t="s">
        <v>466</v>
      </c>
      <c r="J579" s="247" t="s">
        <v>527</v>
      </c>
      <c r="K579" s="247" t="s">
        <v>526</v>
      </c>
    </row>
    <row r="580" hidden="1">
      <c r="A580" s="314"/>
      <c r="B580" s="125" t="s">
        <v>532</v>
      </c>
      <c r="C580" s="125" t="s">
        <v>532</v>
      </c>
      <c r="D580" s="125" t="s">
        <v>532</v>
      </c>
      <c r="E580" s="317" t="s">
        <v>532</v>
      </c>
      <c r="F580" s="125"/>
      <c r="G580" s="125" t="s">
        <v>532</v>
      </c>
      <c r="H580" s="125" t="s">
        <v>532</v>
      </c>
      <c r="I580" s="125" t="s">
        <v>532</v>
      </c>
      <c r="J580" s="125" t="s">
        <v>532</v>
      </c>
      <c r="K580" s="318"/>
      <c r="L580" s="125"/>
      <c r="M580" s="125"/>
    </row>
    <row r="581" hidden="1">
      <c r="A581" s="314"/>
      <c r="B581" s="125"/>
      <c r="C581" s="125"/>
      <c r="D581" s="125"/>
      <c r="E581" s="125"/>
      <c r="F581" s="125"/>
      <c r="G581" s="125"/>
      <c r="H581" s="125"/>
      <c r="I581" s="125"/>
      <c r="J581" s="125"/>
      <c r="K581" s="318"/>
      <c r="L581" s="125"/>
      <c r="M581" s="125"/>
    </row>
    <row r="582" hidden="1">
      <c r="A582" s="195" t="s">
        <v>533</v>
      </c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7"/>
    </row>
    <row r="583" hidden="1">
      <c r="A583" s="198" t="s">
        <v>40</v>
      </c>
      <c r="B583" s="221"/>
      <c r="C583" s="221">
        <f>4*C548</f>
        <v>25000</v>
      </c>
      <c r="D583" s="221">
        <f>1*D548</f>
        <v>3125</v>
      </c>
      <c r="E583" s="221"/>
      <c r="F583" s="221">
        <f>F548*5</f>
        <v>19270.83333</v>
      </c>
      <c r="G583" s="221"/>
      <c r="H583" s="221"/>
      <c r="I583" s="221">
        <f>16*I548</f>
        <v>43333.33333</v>
      </c>
      <c r="J583" s="199"/>
      <c r="K583" s="251"/>
      <c r="L583" s="251"/>
      <c r="M583" s="251"/>
    </row>
    <row r="584" hidden="1">
      <c r="A584" s="200" t="s">
        <v>501</v>
      </c>
      <c r="B584" s="221"/>
      <c r="C584" s="221"/>
      <c r="D584" s="255">
        <f>D573</f>
        <v>8437.5</v>
      </c>
      <c r="E584" s="222"/>
      <c r="F584" s="221" t="str">
        <f>F573</f>
        <v>#ERROR!</v>
      </c>
      <c r="G584" s="221"/>
      <c r="H584" s="221"/>
      <c r="I584" s="221"/>
      <c r="J584" s="211"/>
      <c r="K584" s="252"/>
      <c r="L584" s="252"/>
      <c r="M584" s="252"/>
    </row>
    <row r="585" hidden="1">
      <c r="A585" s="200"/>
      <c r="B585" s="255"/>
      <c r="C585" s="255">
        <f>9*C559</f>
        <v>0</v>
      </c>
      <c r="D585" s="255"/>
      <c r="E585" s="256"/>
      <c r="F585" s="255">
        <f>9*F559</f>
        <v>0</v>
      </c>
      <c r="G585" s="319"/>
      <c r="H585" s="255">
        <f t="shared" ref="H585:I585" si="169">9*H559</f>
        <v>0</v>
      </c>
      <c r="I585" s="255">
        <f t="shared" si="169"/>
        <v>0</v>
      </c>
      <c r="J585" s="255"/>
      <c r="K585" s="255"/>
      <c r="L585" s="257"/>
      <c r="M585" s="257"/>
    </row>
    <row r="586" hidden="1">
      <c r="A586" s="200" t="s">
        <v>209</v>
      </c>
      <c r="B586" s="255">
        <f>7*B559</f>
        <v>0</v>
      </c>
      <c r="C586" s="255"/>
      <c r="D586" s="255">
        <f>9*D559</f>
        <v>0</v>
      </c>
      <c r="E586" s="256">
        <f>4*E559</f>
        <v>0</v>
      </c>
      <c r="F586" s="255"/>
      <c r="G586" s="319">
        <f>9*G559</f>
        <v>0</v>
      </c>
      <c r="H586" s="255"/>
      <c r="I586" s="255">
        <f>9*I559</f>
        <v>0</v>
      </c>
      <c r="J586" s="255"/>
      <c r="K586" s="255"/>
      <c r="L586" s="257"/>
      <c r="M586" s="257"/>
    </row>
    <row r="587" hidden="1">
      <c r="A587" s="200" t="s">
        <v>453</v>
      </c>
      <c r="B587" s="255"/>
      <c r="C587" s="255"/>
      <c r="D587" s="255"/>
      <c r="E587" s="255"/>
      <c r="F587" s="255"/>
      <c r="G587" s="255"/>
      <c r="H587" s="255"/>
      <c r="I587" s="255"/>
      <c r="J587" s="255"/>
      <c r="K587" s="255"/>
      <c r="L587" s="257"/>
      <c r="M587" s="257"/>
    </row>
    <row r="588" hidden="1">
      <c r="A588" s="205" t="s">
        <v>118</v>
      </c>
      <c r="B588" s="226">
        <f>300000+B586</f>
        <v>300000</v>
      </c>
      <c r="C588" s="226">
        <f>C544+C583</f>
        <v>325000</v>
      </c>
      <c r="D588" s="226">
        <f>D546+D584+D583</f>
        <v>161562.5</v>
      </c>
      <c r="E588" s="226">
        <f>E546</f>
        <v>270000</v>
      </c>
      <c r="F588" s="226" t="str">
        <f>F544+F584+F583</f>
        <v>#ERROR!</v>
      </c>
      <c r="G588" s="321">
        <f>G545</f>
        <v>150000</v>
      </c>
      <c r="H588" s="226">
        <v>150000.0</v>
      </c>
      <c r="I588" s="226">
        <f>I545+I583</f>
        <v>173333.3333</v>
      </c>
      <c r="J588" s="305">
        <f>J546</f>
        <v>200000</v>
      </c>
      <c r="K588" s="226">
        <f>K556</f>
        <v>150000</v>
      </c>
      <c r="L588" s="206"/>
      <c r="M588" s="206" t="str">
        <f>SUM(B588:K588)</f>
        <v>#ERROR!</v>
      </c>
    </row>
    <row r="589" hidden="1">
      <c r="A589" s="126" t="s">
        <v>0</v>
      </c>
      <c r="B589" s="127" t="s">
        <v>90</v>
      </c>
      <c r="C589" s="127" t="s">
        <v>3</v>
      </c>
      <c r="D589" s="183" t="s">
        <v>155</v>
      </c>
      <c r="E589" s="183" t="s">
        <v>195</v>
      </c>
      <c r="F589" s="183" t="s">
        <v>476</v>
      </c>
      <c r="G589" s="129" t="s">
        <v>51</v>
      </c>
      <c r="H589" s="129" t="s">
        <v>372</v>
      </c>
      <c r="I589" s="129" t="s">
        <v>477</v>
      </c>
      <c r="J589" s="129" t="s">
        <v>515</v>
      </c>
      <c r="K589" s="129" t="s">
        <v>10</v>
      </c>
      <c r="L589" s="128"/>
      <c r="M589" s="128" t="s">
        <v>110</v>
      </c>
    </row>
    <row r="590" hidden="1">
      <c r="A590" s="314"/>
      <c r="B590" s="125" t="s">
        <v>375</v>
      </c>
      <c r="C590" s="125" t="s">
        <v>326</v>
      </c>
      <c r="D590" s="125" t="s">
        <v>375</v>
      </c>
      <c r="E590" s="317" t="s">
        <v>375</v>
      </c>
      <c r="F590" s="125"/>
      <c r="G590" s="125" t="s">
        <v>375</v>
      </c>
      <c r="H590" s="125" t="s">
        <v>534</v>
      </c>
      <c r="I590" s="125" t="s">
        <v>375</v>
      </c>
      <c r="J590" s="125"/>
      <c r="K590" s="125" t="s">
        <v>326</v>
      </c>
      <c r="L590" s="125"/>
      <c r="M590" s="125"/>
    </row>
    <row r="591" hidden="1">
      <c r="A591" s="314"/>
      <c r="B591" s="125"/>
      <c r="C591" s="125"/>
      <c r="D591" s="125"/>
      <c r="E591" s="125"/>
      <c r="F591" s="125"/>
      <c r="G591" s="125"/>
      <c r="H591" s="125"/>
      <c r="I591" s="125"/>
      <c r="J591" s="125"/>
      <c r="K591" s="318"/>
      <c r="L591" s="125"/>
      <c r="M591" s="125"/>
    </row>
    <row r="592" hidden="1">
      <c r="A592" s="126" t="s">
        <v>0</v>
      </c>
      <c r="B592" s="127" t="s">
        <v>90</v>
      </c>
      <c r="C592" s="127" t="s">
        <v>3</v>
      </c>
      <c r="D592" s="183" t="s">
        <v>155</v>
      </c>
      <c r="E592" s="183" t="s">
        <v>195</v>
      </c>
      <c r="F592" s="183" t="s">
        <v>476</v>
      </c>
      <c r="G592" s="129" t="s">
        <v>51</v>
      </c>
      <c r="H592" s="129" t="s">
        <v>372</v>
      </c>
      <c r="I592" s="129" t="s">
        <v>477</v>
      </c>
      <c r="J592" s="129" t="s">
        <v>394</v>
      </c>
      <c r="K592" s="129" t="s">
        <v>10</v>
      </c>
      <c r="L592" s="129"/>
      <c r="M592" s="129"/>
      <c r="N592" s="128" t="s">
        <v>110</v>
      </c>
    </row>
    <row r="593" hidden="1">
      <c r="A593" s="130" t="s">
        <v>52</v>
      </c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2"/>
    </row>
    <row r="594" hidden="1">
      <c r="A594" s="133" t="s">
        <v>111</v>
      </c>
      <c r="B594" s="134">
        <v>300000.0</v>
      </c>
      <c r="C594" s="134">
        <v>300000.0</v>
      </c>
      <c r="D594" s="134">
        <v>150000.0</v>
      </c>
      <c r="E594" s="134">
        <v>270000.0</v>
      </c>
      <c r="F594" s="134">
        <v>185000.0</v>
      </c>
      <c r="G594" s="134">
        <v>150000.0</v>
      </c>
      <c r="H594" s="134">
        <v>150000.0</v>
      </c>
      <c r="I594" s="134">
        <v>130000.0</v>
      </c>
      <c r="J594" s="134">
        <v>200000.0</v>
      </c>
      <c r="K594" s="134">
        <v>150000.0</v>
      </c>
      <c r="L594" s="218"/>
      <c r="M594" s="139">
        <f t="shared" ref="M594:M597" si="170">SUM(B594:K594)</f>
        <v>1985000</v>
      </c>
    </row>
    <row r="595" hidden="1">
      <c r="A595" s="137"/>
      <c r="B595" s="134">
        <v>300000.0</v>
      </c>
      <c r="C595" s="134">
        <v>300000.0</v>
      </c>
      <c r="D595" s="134">
        <v>150000.0</v>
      </c>
      <c r="E595" s="134">
        <v>270000.0</v>
      </c>
      <c r="F595" s="134">
        <v>185000.0</v>
      </c>
      <c r="G595" s="134">
        <v>150000.0</v>
      </c>
      <c r="H595" s="134">
        <v>150000.0</v>
      </c>
      <c r="I595" s="134">
        <v>130000.0</v>
      </c>
      <c r="J595" s="134">
        <v>200000.0</v>
      </c>
      <c r="K595" s="134">
        <v>150000.0</v>
      </c>
      <c r="L595" s="218"/>
      <c r="M595" s="139">
        <f t="shared" si="170"/>
        <v>1985000</v>
      </c>
      <c r="P595" s="91"/>
    </row>
    <row r="596" hidden="1">
      <c r="A596" s="137"/>
      <c r="B596" s="134">
        <v>300000.0</v>
      </c>
      <c r="C596" s="134">
        <v>300000.0</v>
      </c>
      <c r="D596" s="134">
        <v>150000.0</v>
      </c>
      <c r="E596" s="134">
        <v>270000.0</v>
      </c>
      <c r="F596" s="134">
        <v>185000.0</v>
      </c>
      <c r="G596" s="134">
        <v>150000.0</v>
      </c>
      <c r="H596" s="134">
        <v>150000.0</v>
      </c>
      <c r="I596" s="134">
        <v>130000.0</v>
      </c>
      <c r="J596" s="134">
        <v>200000.0</v>
      </c>
      <c r="K596" s="134">
        <v>150000.0</v>
      </c>
      <c r="L596" s="218"/>
      <c r="M596" s="139">
        <f t="shared" si="170"/>
        <v>1985000</v>
      </c>
    </row>
    <row r="597" hidden="1">
      <c r="A597" s="138"/>
      <c r="B597" s="134">
        <v>300000.0</v>
      </c>
      <c r="C597" s="134">
        <v>300000.0</v>
      </c>
      <c r="D597" s="134">
        <v>150000.0</v>
      </c>
      <c r="E597" s="134">
        <v>270000.0</v>
      </c>
      <c r="F597" s="134">
        <v>185000.0</v>
      </c>
      <c r="G597" s="134">
        <v>150000.0</v>
      </c>
      <c r="H597" s="134">
        <v>150000.0</v>
      </c>
      <c r="I597" s="134">
        <v>130000.0</v>
      </c>
      <c r="J597" s="134">
        <v>200000.0</v>
      </c>
      <c r="K597" s="134">
        <v>150000.0</v>
      </c>
      <c r="L597" s="218"/>
      <c r="M597" s="139">
        <f t="shared" si="170"/>
        <v>1985000</v>
      </c>
    </row>
    <row r="598" hidden="1">
      <c r="A598" s="140" t="s">
        <v>113</v>
      </c>
      <c r="B598" s="141">
        <f t="shared" ref="B598:K598" si="171">SUM(B594:B597)</f>
        <v>1200000</v>
      </c>
      <c r="C598" s="141">
        <f t="shared" si="171"/>
        <v>1200000</v>
      </c>
      <c r="D598" s="141">
        <f t="shared" si="171"/>
        <v>600000</v>
      </c>
      <c r="E598" s="141">
        <f t="shared" si="171"/>
        <v>1080000</v>
      </c>
      <c r="F598" s="141">
        <f t="shared" si="171"/>
        <v>740000</v>
      </c>
      <c r="G598" s="141">
        <f t="shared" si="171"/>
        <v>600000</v>
      </c>
      <c r="H598" s="141">
        <f t="shared" si="171"/>
        <v>600000</v>
      </c>
      <c r="I598" s="141">
        <f t="shared" si="171"/>
        <v>520000</v>
      </c>
      <c r="J598" s="141">
        <f t="shared" si="171"/>
        <v>800000</v>
      </c>
      <c r="K598" s="141">
        <f t="shared" si="171"/>
        <v>600000</v>
      </c>
      <c r="L598" s="141"/>
      <c r="M598" s="141">
        <f>SUM(M594:M597)</f>
        <v>7940000</v>
      </c>
    </row>
    <row r="599" hidden="1">
      <c r="A599" s="157" t="s">
        <v>138</v>
      </c>
      <c r="B599" s="158">
        <f>B595/6/8</f>
        <v>6250</v>
      </c>
      <c r="C599" s="158">
        <f t="shared" ref="C599:D599" si="172">C594/8/6</f>
        <v>6250</v>
      </c>
      <c r="D599" s="158">
        <f t="shared" si="172"/>
        <v>3125</v>
      </c>
      <c r="E599" s="158">
        <f t="shared" ref="E599:G599" si="173">E594/6/8</f>
        <v>5625</v>
      </c>
      <c r="F599" s="158">
        <f t="shared" si="173"/>
        <v>3854.166667</v>
      </c>
      <c r="G599" s="158">
        <f t="shared" si="173"/>
        <v>3125</v>
      </c>
      <c r="H599" s="158">
        <f>H595/6/8</f>
        <v>3125</v>
      </c>
      <c r="I599" s="158">
        <f>I597/8/6</f>
        <v>2708.333333</v>
      </c>
      <c r="J599" s="159">
        <f>J594/6/8</f>
        <v>4166.666667</v>
      </c>
      <c r="K599" s="159">
        <f>K597/6/8</f>
        <v>3125</v>
      </c>
      <c r="L599" s="159"/>
      <c r="M599" s="159"/>
      <c r="N599" s="122"/>
    </row>
    <row r="600" hidden="1">
      <c r="A600" s="314"/>
      <c r="B600" s="125"/>
      <c r="C600" s="125"/>
      <c r="D600" s="125"/>
      <c r="E600" s="317"/>
      <c r="F600" s="125"/>
      <c r="G600" s="125"/>
      <c r="H600" s="125"/>
      <c r="I600" s="125"/>
      <c r="J600" s="125"/>
      <c r="K600" s="318"/>
      <c r="L600" s="125"/>
      <c r="M600" s="125"/>
    </row>
    <row r="601" hidden="1">
      <c r="A601" s="314"/>
      <c r="B601" s="125"/>
      <c r="C601" s="125"/>
      <c r="D601" s="125"/>
      <c r="E601" s="125"/>
      <c r="F601" s="125"/>
      <c r="G601" s="125"/>
      <c r="H601" s="125"/>
      <c r="I601" s="125"/>
      <c r="J601" s="125"/>
      <c r="K601" s="318"/>
      <c r="L601" s="125"/>
      <c r="M601" s="125"/>
    </row>
    <row r="602" hidden="1">
      <c r="A602" s="195" t="s">
        <v>535</v>
      </c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7"/>
    </row>
    <row r="603" hidden="1">
      <c r="A603" s="198" t="s">
        <v>40</v>
      </c>
      <c r="B603" s="221"/>
      <c r="C603" s="221"/>
      <c r="D603" s="221">
        <f t="shared" ref="D603:D604" si="174">D583</f>
        <v>3125</v>
      </c>
      <c r="E603" s="221"/>
      <c r="F603" s="221">
        <f>F572</f>
        <v>3854.166667</v>
      </c>
      <c r="G603" s="221"/>
      <c r="H603" s="221"/>
      <c r="I603" s="221"/>
      <c r="J603" s="199"/>
      <c r="K603" s="251"/>
      <c r="L603" s="251"/>
      <c r="M603" s="251"/>
    </row>
    <row r="604" hidden="1">
      <c r="A604" s="200" t="s">
        <v>501</v>
      </c>
      <c r="B604" s="221"/>
      <c r="C604" s="221"/>
      <c r="D604" s="255">
        <f t="shared" si="174"/>
        <v>8437.5</v>
      </c>
      <c r="E604" s="222"/>
      <c r="F604" s="221">
        <f>(9*F599)*30%</f>
        <v>10406.25</v>
      </c>
      <c r="G604" s="221"/>
      <c r="H604" s="221"/>
      <c r="I604" s="221"/>
      <c r="J604" s="211"/>
      <c r="K604" s="252"/>
      <c r="L604" s="252"/>
      <c r="M604" s="252"/>
    </row>
    <row r="605" hidden="1">
      <c r="A605" s="200" t="s">
        <v>288</v>
      </c>
      <c r="B605" s="255"/>
      <c r="C605" s="255"/>
      <c r="D605" s="255"/>
      <c r="E605" s="256"/>
      <c r="F605" s="255">
        <v>100000.0</v>
      </c>
      <c r="G605" s="319"/>
      <c r="H605" s="255"/>
      <c r="I605" s="255">
        <v>30000.0</v>
      </c>
      <c r="J605" s="255"/>
      <c r="K605" s="255"/>
      <c r="L605" s="257"/>
      <c r="M605" s="257"/>
    </row>
    <row r="606" hidden="1">
      <c r="A606" s="200" t="s">
        <v>145</v>
      </c>
      <c r="B606" s="255">
        <v>300000.0</v>
      </c>
      <c r="C606" s="255">
        <v>300000.0</v>
      </c>
      <c r="D606" s="255">
        <v>150000.0</v>
      </c>
      <c r="E606" s="256"/>
      <c r="F606" s="255">
        <v>185000.0</v>
      </c>
      <c r="G606" s="319">
        <v>150000.0</v>
      </c>
      <c r="H606" s="255"/>
      <c r="I606" s="255">
        <v>130000.0</v>
      </c>
      <c r="J606" s="255"/>
      <c r="K606" s="255"/>
      <c r="L606" s="257"/>
      <c r="M606" s="257"/>
    </row>
    <row r="607" hidden="1">
      <c r="A607" s="200" t="s">
        <v>209</v>
      </c>
      <c r="B607" s="255"/>
      <c r="C607" s="255"/>
      <c r="D607" s="255"/>
      <c r="E607" s="256"/>
      <c r="F607" s="255"/>
      <c r="G607" s="319"/>
      <c r="H607" s="255"/>
      <c r="I607" s="255"/>
      <c r="J607" s="255"/>
      <c r="K607" s="255"/>
      <c r="L607" s="257"/>
      <c r="M607" s="257"/>
    </row>
    <row r="608" hidden="1">
      <c r="A608" s="200" t="s">
        <v>453</v>
      </c>
      <c r="B608" s="255"/>
      <c r="C608" s="255"/>
      <c r="D608" s="255"/>
      <c r="E608" s="255"/>
      <c r="F608" s="255"/>
      <c r="G608" s="255"/>
      <c r="H608" s="255"/>
      <c r="I608" s="255">
        <f>4200+2200</f>
        <v>6400</v>
      </c>
      <c r="J608" s="255"/>
      <c r="K608" s="255"/>
      <c r="L608" s="257"/>
      <c r="M608" s="257"/>
    </row>
    <row r="609" hidden="1">
      <c r="A609" s="205" t="s">
        <v>118</v>
      </c>
      <c r="B609" s="226">
        <f t="shared" ref="B609:C609" si="175">B597+B606</f>
        <v>600000</v>
      </c>
      <c r="C609" s="226">
        <f t="shared" si="175"/>
        <v>600000</v>
      </c>
      <c r="D609" s="226">
        <f>D597+D606+D604+D603</f>
        <v>311562.5</v>
      </c>
      <c r="E609" s="226">
        <f>E597+E606</f>
        <v>270000</v>
      </c>
      <c r="F609" s="226">
        <f>F597+F606-F605+F604+F603</f>
        <v>284260.4167</v>
      </c>
      <c r="G609" s="325">
        <f t="shared" ref="G609:H609" si="176">G597+G606</f>
        <v>300000</v>
      </c>
      <c r="H609" s="226">
        <f t="shared" si="176"/>
        <v>150000</v>
      </c>
      <c r="I609" s="226">
        <f>I597+I606-I605-I608</f>
        <v>223600</v>
      </c>
      <c r="J609" s="226">
        <f t="shared" ref="J609:K609" si="177">J597+J606</f>
        <v>200000</v>
      </c>
      <c r="K609" s="226">
        <f t="shared" si="177"/>
        <v>150000</v>
      </c>
      <c r="L609" s="206"/>
      <c r="M609" s="206">
        <f>SUM(B609:K609)</f>
        <v>3089422.917</v>
      </c>
    </row>
    <row r="610" hidden="1">
      <c r="A610" s="126" t="s">
        <v>0</v>
      </c>
      <c r="B610" s="127" t="s">
        <v>90</v>
      </c>
      <c r="C610" s="127" t="s">
        <v>3</v>
      </c>
      <c r="D610" s="183" t="s">
        <v>155</v>
      </c>
      <c r="E610" s="183" t="s">
        <v>195</v>
      </c>
      <c r="F610" s="183" t="s">
        <v>476</v>
      </c>
      <c r="G610" s="129" t="s">
        <v>51</v>
      </c>
      <c r="H610" s="129" t="s">
        <v>372</v>
      </c>
      <c r="I610" s="129" t="s">
        <v>477</v>
      </c>
      <c r="J610" s="129" t="s">
        <v>515</v>
      </c>
      <c r="K610" s="129" t="s">
        <v>10</v>
      </c>
      <c r="L610" s="128"/>
      <c r="M610" s="128" t="s">
        <v>110</v>
      </c>
    </row>
    <row r="611" hidden="1">
      <c r="A611" s="241"/>
      <c r="B611" s="310" t="s">
        <v>536</v>
      </c>
      <c r="C611" s="310" t="s">
        <v>537</v>
      </c>
      <c r="D611" s="310" t="s">
        <v>536</v>
      </c>
      <c r="E611" s="310" t="s">
        <v>536</v>
      </c>
      <c r="F611" s="310"/>
      <c r="G611" s="310" t="s">
        <v>536</v>
      </c>
      <c r="H611" s="310" t="s">
        <v>536</v>
      </c>
      <c r="I611" s="310" t="s">
        <v>536</v>
      </c>
      <c r="J611" s="310" t="s">
        <v>536</v>
      </c>
      <c r="K611" s="310" t="s">
        <v>537</v>
      </c>
    </row>
    <row r="612" hidden="1">
      <c r="A612" s="241"/>
      <c r="B612" s="310"/>
      <c r="C612" s="310"/>
      <c r="D612" s="310"/>
      <c r="E612" s="310"/>
      <c r="F612" s="310"/>
      <c r="G612" s="310"/>
      <c r="H612" s="310"/>
      <c r="I612" s="310"/>
      <c r="J612" s="310"/>
    </row>
    <row r="613" hidden="1">
      <c r="A613" s="195" t="s">
        <v>538</v>
      </c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7"/>
    </row>
    <row r="614" hidden="1">
      <c r="A614" s="198" t="s">
        <v>40</v>
      </c>
      <c r="B614" s="221"/>
      <c r="C614" s="221"/>
      <c r="D614" s="221">
        <f t="shared" ref="D614:D615" si="178">D603</f>
        <v>3125</v>
      </c>
      <c r="E614" s="221"/>
      <c r="F614" s="221">
        <f t="shared" ref="F614:F615" si="179">F603</f>
        <v>3854.166667</v>
      </c>
      <c r="G614" s="221"/>
      <c r="H614" s="221">
        <f>H599</f>
        <v>3125</v>
      </c>
      <c r="I614" s="221"/>
      <c r="J614" s="199"/>
      <c r="K614" s="251"/>
      <c r="L614" s="251"/>
      <c r="M614" s="251"/>
    </row>
    <row r="615" hidden="1">
      <c r="A615" s="200" t="s">
        <v>501</v>
      </c>
      <c r="B615" s="221"/>
      <c r="C615" s="221"/>
      <c r="D615" s="255">
        <f t="shared" si="178"/>
        <v>8437.5</v>
      </c>
      <c r="E615" s="222"/>
      <c r="F615" s="221">
        <f t="shared" si="179"/>
        <v>10406.25</v>
      </c>
      <c r="G615" s="221"/>
      <c r="H615" s="221">
        <f>(9*H599)*30%</f>
        <v>8437.5</v>
      </c>
      <c r="I615" s="221"/>
      <c r="J615" s="211"/>
      <c r="K615" s="252"/>
      <c r="L615" s="252"/>
      <c r="M615" s="252"/>
    </row>
    <row r="616" hidden="1">
      <c r="A616" s="200" t="s">
        <v>288</v>
      </c>
      <c r="B616" s="255"/>
      <c r="C616" s="255"/>
      <c r="D616" s="255"/>
      <c r="E616" s="256"/>
      <c r="F616" s="255"/>
      <c r="G616" s="319"/>
      <c r="H616" s="255"/>
      <c r="I616" s="255"/>
      <c r="J616" s="255"/>
      <c r="K616" s="255">
        <v>30000.0</v>
      </c>
      <c r="L616" s="257"/>
      <c r="M616" s="257"/>
    </row>
    <row r="617" hidden="1">
      <c r="A617" s="200" t="s">
        <v>145</v>
      </c>
      <c r="B617" s="255"/>
      <c r="C617" s="255"/>
      <c r="D617" s="255"/>
      <c r="E617" s="256">
        <v>270000.0</v>
      </c>
      <c r="F617" s="255"/>
      <c r="G617" s="319"/>
      <c r="H617" s="255"/>
      <c r="I617" s="255"/>
      <c r="J617" s="255">
        <v>200000.0</v>
      </c>
      <c r="K617" s="255">
        <v>150000.0</v>
      </c>
      <c r="L617" s="257"/>
      <c r="M617" s="257"/>
    </row>
    <row r="618" hidden="1">
      <c r="A618" s="200" t="s">
        <v>209</v>
      </c>
      <c r="B618" s="255"/>
      <c r="C618" s="255"/>
      <c r="D618" s="255">
        <f>9*D599</f>
        <v>28125</v>
      </c>
      <c r="E618" s="256">
        <f>4*E599</f>
        <v>22500</v>
      </c>
      <c r="F618" s="255">
        <f>6*F599</f>
        <v>23125</v>
      </c>
      <c r="G618" s="319"/>
      <c r="H618" s="255"/>
      <c r="I618" s="255">
        <f>9*I599</f>
        <v>24375</v>
      </c>
      <c r="J618" s="255"/>
      <c r="K618" s="255">
        <f>3*K599</f>
        <v>9375</v>
      </c>
      <c r="L618" s="257"/>
      <c r="M618" s="257"/>
    </row>
    <row r="619" hidden="1">
      <c r="A619" s="200" t="s">
        <v>453</v>
      </c>
      <c r="B619" s="255"/>
      <c r="C619" s="255"/>
      <c r="D619" s="255"/>
      <c r="E619" s="255"/>
      <c r="F619" s="255"/>
      <c r="G619" s="255"/>
      <c r="H619" s="255"/>
      <c r="I619" s="255">
        <v>5600.0</v>
      </c>
      <c r="J619" s="255"/>
      <c r="K619" s="255"/>
      <c r="L619" s="257"/>
      <c r="M619" s="257"/>
    </row>
    <row r="620" hidden="1">
      <c r="A620" s="205" t="s">
        <v>118</v>
      </c>
      <c r="B620" s="226">
        <f>B596</f>
        <v>300000</v>
      </c>
      <c r="C620" s="226">
        <f>C597</f>
        <v>300000</v>
      </c>
      <c r="D620" s="226">
        <f>D597+D618+D615+D614</f>
        <v>189687.5</v>
      </c>
      <c r="E620" s="226">
        <f>E597+E617+E618</f>
        <v>562500</v>
      </c>
      <c r="F620" s="226">
        <f>F608+F617-F616+F615+F614+F597+F618</f>
        <v>222385.4167</v>
      </c>
      <c r="G620" s="226">
        <f>G595</f>
        <v>150000</v>
      </c>
      <c r="H620" s="226">
        <f>H597+H615+H614</f>
        <v>161562.5</v>
      </c>
      <c r="I620" s="226">
        <f>I595+I618-I619</f>
        <v>148775</v>
      </c>
      <c r="J620" s="226">
        <f>J597+J617</f>
        <v>400000</v>
      </c>
      <c r="K620" s="226">
        <f>K597+K617+K618-K616</f>
        <v>279375</v>
      </c>
      <c r="L620" s="206"/>
      <c r="M620" s="206">
        <f>SUM(B620:K620)</f>
        <v>2714285.417</v>
      </c>
    </row>
    <row r="621" hidden="1">
      <c r="A621" s="126" t="s">
        <v>0</v>
      </c>
      <c r="B621" s="127" t="s">
        <v>90</v>
      </c>
      <c r="C621" s="127" t="s">
        <v>3</v>
      </c>
      <c r="D621" s="183" t="s">
        <v>155</v>
      </c>
      <c r="E621" s="183" t="s">
        <v>195</v>
      </c>
      <c r="F621" s="183" t="s">
        <v>476</v>
      </c>
      <c r="G621" s="129" t="s">
        <v>51</v>
      </c>
      <c r="H621" s="129" t="s">
        <v>372</v>
      </c>
      <c r="I621" s="129" t="s">
        <v>477</v>
      </c>
      <c r="J621" s="129" t="s">
        <v>515</v>
      </c>
      <c r="K621" s="129" t="s">
        <v>10</v>
      </c>
      <c r="L621" s="129" t="s">
        <v>539</v>
      </c>
      <c r="M621" s="128" t="s">
        <v>110</v>
      </c>
    </row>
    <row r="622" hidden="1">
      <c r="A622" s="241"/>
      <c r="B622" s="310" t="s">
        <v>537</v>
      </c>
      <c r="C622" s="310" t="s">
        <v>537</v>
      </c>
      <c r="D622" s="310" t="s">
        <v>458</v>
      </c>
      <c r="E622" s="310" t="s">
        <v>375</v>
      </c>
      <c r="F622" s="310" t="s">
        <v>458</v>
      </c>
      <c r="G622" s="310" t="s">
        <v>375</v>
      </c>
      <c r="H622" s="310" t="s">
        <v>458</v>
      </c>
      <c r="I622" s="310" t="s">
        <v>458</v>
      </c>
      <c r="J622" s="310" t="s">
        <v>458</v>
      </c>
      <c r="K622" s="310" t="s">
        <v>537</v>
      </c>
    </row>
    <row r="623" hidden="1">
      <c r="A623" s="312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</row>
    <row r="624" hidden="1">
      <c r="A624" s="195" t="s">
        <v>540</v>
      </c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7"/>
    </row>
    <row r="625" hidden="1">
      <c r="A625" s="198" t="s">
        <v>40</v>
      </c>
      <c r="B625" s="221"/>
      <c r="C625" s="221"/>
      <c r="D625" s="221">
        <f t="shared" ref="D625:D626" si="180">D614</f>
        <v>3125</v>
      </c>
      <c r="E625" s="221"/>
      <c r="F625" s="221">
        <f t="shared" ref="F625:F626" si="181">F614</f>
        <v>3854.166667</v>
      </c>
      <c r="G625" s="221"/>
      <c r="H625" s="221"/>
      <c r="I625" s="221"/>
      <c r="J625" s="199"/>
      <c r="K625" s="251"/>
      <c r="L625" s="251"/>
      <c r="M625" s="251"/>
    </row>
    <row r="626" hidden="1">
      <c r="A626" s="200" t="s">
        <v>501</v>
      </c>
      <c r="B626" s="221"/>
      <c r="C626" s="221"/>
      <c r="D626" s="255">
        <f t="shared" si="180"/>
        <v>8437.5</v>
      </c>
      <c r="E626" s="222"/>
      <c r="F626" s="221">
        <f t="shared" si="181"/>
        <v>10406.25</v>
      </c>
      <c r="G626" s="221"/>
      <c r="H626" s="221"/>
      <c r="I626" s="221"/>
      <c r="J626" s="211"/>
      <c r="K626" s="252"/>
      <c r="L626" s="252"/>
      <c r="M626" s="252"/>
    </row>
    <row r="627" hidden="1">
      <c r="A627" s="200" t="s">
        <v>288</v>
      </c>
      <c r="B627" s="255"/>
      <c r="C627" s="255"/>
      <c r="D627" s="255"/>
      <c r="E627" s="256"/>
      <c r="F627" s="255"/>
      <c r="G627" s="319"/>
      <c r="H627" s="255"/>
      <c r="I627" s="255"/>
      <c r="J627" s="255"/>
      <c r="K627" s="255"/>
      <c r="L627" s="257"/>
      <c r="M627" s="257"/>
    </row>
    <row r="628" hidden="1">
      <c r="A628" s="200" t="s">
        <v>149</v>
      </c>
      <c r="B628" s="255"/>
      <c r="C628" s="255"/>
      <c r="D628" s="255"/>
      <c r="E628" s="256"/>
      <c r="F628" s="255"/>
      <c r="G628" s="319">
        <v>150000.0</v>
      </c>
      <c r="H628" s="255"/>
      <c r="I628" s="255"/>
      <c r="J628" s="255"/>
      <c r="K628" s="255"/>
      <c r="L628" s="257"/>
      <c r="M628" s="257"/>
    </row>
    <row r="629" hidden="1">
      <c r="A629" s="200" t="s">
        <v>453</v>
      </c>
      <c r="B629" s="255"/>
      <c r="C629" s="255"/>
      <c r="D629" s="255"/>
      <c r="E629" s="255"/>
      <c r="F629" s="255"/>
      <c r="G629" s="255"/>
      <c r="H629" s="255">
        <v>2400.0</v>
      </c>
      <c r="I629" s="255"/>
      <c r="J629" s="255"/>
      <c r="K629" s="255"/>
      <c r="L629" s="257"/>
      <c r="M629" s="257"/>
    </row>
    <row r="630" hidden="1">
      <c r="A630" s="205" t="s">
        <v>118</v>
      </c>
      <c r="B630" s="226">
        <f t="shared" ref="B630:C630" si="182">B594</f>
        <v>300000</v>
      </c>
      <c r="C630" s="226">
        <f t="shared" si="182"/>
        <v>300000</v>
      </c>
      <c r="D630" s="226">
        <f>D595+D626+D625</f>
        <v>161562.5</v>
      </c>
      <c r="E630" s="226">
        <f>E595</f>
        <v>270000</v>
      </c>
      <c r="F630" s="226">
        <f>F596+F626+F625</f>
        <v>199260.4167</v>
      </c>
      <c r="G630" s="325">
        <f>G606+G628</f>
        <v>300000</v>
      </c>
      <c r="H630" s="226">
        <f>H596-H629</f>
        <v>147600</v>
      </c>
      <c r="I630" s="226">
        <f>I596</f>
        <v>130000</v>
      </c>
      <c r="J630" s="226">
        <f>J595</f>
        <v>200000</v>
      </c>
      <c r="K630" s="226">
        <v>150000.0</v>
      </c>
      <c r="L630" s="226">
        <v>140000.0</v>
      </c>
      <c r="M630" s="206">
        <f>SUM(B630:L630)</f>
        <v>2298422.917</v>
      </c>
    </row>
    <row r="631" hidden="1">
      <c r="A631" s="126" t="s">
        <v>0</v>
      </c>
      <c r="B631" s="127" t="s">
        <v>90</v>
      </c>
      <c r="C631" s="127" t="s">
        <v>3</v>
      </c>
      <c r="D631" s="183" t="s">
        <v>155</v>
      </c>
      <c r="E631" s="183" t="s">
        <v>195</v>
      </c>
      <c r="F631" s="183" t="s">
        <v>476</v>
      </c>
      <c r="G631" s="129" t="s">
        <v>51</v>
      </c>
      <c r="H631" s="129" t="s">
        <v>372</v>
      </c>
      <c r="I631" s="129" t="s">
        <v>477</v>
      </c>
      <c r="J631" s="129" t="s">
        <v>515</v>
      </c>
      <c r="K631" s="129" t="s">
        <v>10</v>
      </c>
      <c r="L631" s="129" t="s">
        <v>539</v>
      </c>
      <c r="M631" s="128" t="s">
        <v>110</v>
      </c>
    </row>
    <row r="632" hidden="1">
      <c r="A632" s="312"/>
      <c r="B632" s="125" t="s">
        <v>320</v>
      </c>
      <c r="C632" s="125" t="s">
        <v>320</v>
      </c>
      <c r="D632" s="125" t="s">
        <v>320</v>
      </c>
      <c r="E632" s="125" t="s">
        <v>320</v>
      </c>
      <c r="F632" s="125"/>
      <c r="G632" s="125" t="s">
        <v>320</v>
      </c>
      <c r="H632" s="125"/>
      <c r="I632" s="125" t="s">
        <v>320</v>
      </c>
      <c r="J632" s="125" t="s">
        <v>320</v>
      </c>
      <c r="K632" s="125" t="s">
        <v>541</v>
      </c>
      <c r="L632" s="72" t="s">
        <v>320</v>
      </c>
    </row>
    <row r="633" hidden="1">
      <c r="A633" s="272"/>
      <c r="B633" s="273"/>
      <c r="C633" s="273"/>
      <c r="D633" s="274"/>
      <c r="E633" s="274"/>
      <c r="F633" s="274"/>
      <c r="G633" s="247"/>
      <c r="H633" s="247"/>
      <c r="I633" s="247"/>
      <c r="J633" s="247"/>
      <c r="K633" s="272"/>
    </row>
    <row r="634">
      <c r="A634" s="195" t="s">
        <v>542</v>
      </c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7"/>
    </row>
    <row r="635">
      <c r="A635" s="198" t="s">
        <v>40</v>
      </c>
      <c r="B635" s="221"/>
      <c r="C635" s="221"/>
      <c r="D635" s="221">
        <f t="shared" ref="D635:D636" si="183">D625</f>
        <v>3125</v>
      </c>
      <c r="E635" s="221"/>
      <c r="F635" s="221">
        <f t="shared" ref="F635:F636" si="184">F625</f>
        <v>3854.166667</v>
      </c>
      <c r="G635" s="221"/>
      <c r="H635" s="221">
        <f>6*400</f>
        <v>2400</v>
      </c>
      <c r="I635" s="221">
        <f>(417*10)</f>
        <v>4170</v>
      </c>
      <c r="J635" s="199"/>
      <c r="K635" s="251"/>
      <c r="L635" s="293">
        <v>3500.0</v>
      </c>
      <c r="M635" s="251"/>
    </row>
    <row r="636">
      <c r="A636" s="200" t="s">
        <v>501</v>
      </c>
      <c r="B636" s="221"/>
      <c r="C636" s="221"/>
      <c r="D636" s="255">
        <f t="shared" si="183"/>
        <v>8437.5</v>
      </c>
      <c r="E636" s="222"/>
      <c r="F636" s="221">
        <f t="shared" si="184"/>
        <v>10406.25</v>
      </c>
      <c r="G636" s="221"/>
      <c r="H636" s="221"/>
      <c r="I636" s="221">
        <f>(I599*10)</f>
        <v>27083.33333</v>
      </c>
      <c r="J636" s="211"/>
      <c r="K636" s="252"/>
      <c r="L636" s="252">
        <f>(L635*9)*30%</f>
        <v>9450</v>
      </c>
      <c r="M636" s="252"/>
    </row>
    <row r="637">
      <c r="A637" s="200" t="s">
        <v>288</v>
      </c>
      <c r="B637" s="255"/>
      <c r="C637" s="255"/>
      <c r="D637" s="255"/>
      <c r="E637" s="256"/>
      <c r="F637" s="255"/>
      <c r="G637" s="319"/>
      <c r="H637" s="255"/>
      <c r="I637" s="255"/>
      <c r="J637" s="255"/>
      <c r="K637" s="255"/>
      <c r="L637" s="257"/>
      <c r="M637" s="257"/>
    </row>
    <row r="638">
      <c r="A638" s="200" t="s">
        <v>149</v>
      </c>
      <c r="B638" s="255"/>
      <c r="C638" s="255"/>
      <c r="D638" s="255"/>
      <c r="E638" s="256"/>
      <c r="F638" s="255"/>
      <c r="G638" s="319"/>
      <c r="H638" s="255"/>
      <c r="I638" s="255"/>
      <c r="J638" s="255"/>
      <c r="K638" s="255"/>
      <c r="L638" s="257"/>
      <c r="M638" s="257"/>
    </row>
    <row r="639">
      <c r="A639" s="200" t="s">
        <v>453</v>
      </c>
      <c r="B639" s="255"/>
      <c r="C639" s="255"/>
      <c r="D639" s="255"/>
      <c r="E639" s="255"/>
      <c r="F639" s="255"/>
      <c r="G639" s="255"/>
      <c r="H639" s="255"/>
      <c r="I639" s="255"/>
      <c r="J639" s="255"/>
      <c r="K639" s="255"/>
      <c r="L639" s="257"/>
      <c r="M639" s="257"/>
    </row>
    <row r="640">
      <c r="A640" s="205" t="s">
        <v>118</v>
      </c>
      <c r="B640" s="226">
        <f>B594</f>
        <v>300000</v>
      </c>
      <c r="C640" s="226">
        <f>C596</f>
        <v>300000</v>
      </c>
      <c r="D640" s="226">
        <f>D595+D636+D635</f>
        <v>161562.5</v>
      </c>
      <c r="E640" s="226">
        <f>E596</f>
        <v>270000</v>
      </c>
      <c r="F640" s="226">
        <f>F606+F636+F635</f>
        <v>199260.4167</v>
      </c>
      <c r="G640" s="226">
        <f>G594</f>
        <v>150000</v>
      </c>
      <c r="H640" s="226">
        <f>H595+H635</f>
        <v>152400</v>
      </c>
      <c r="I640" s="226">
        <f>I606+I635+I636</f>
        <v>161253.3333</v>
      </c>
      <c r="J640" s="226">
        <f>J596</f>
        <v>200000</v>
      </c>
      <c r="K640" s="226">
        <v>150000.0</v>
      </c>
      <c r="L640" s="238">
        <f>(6*8*3500)+L636+L635</f>
        <v>180950</v>
      </c>
      <c r="M640" s="206">
        <f>SUM(B640:L640)</f>
        <v>2225426.25</v>
      </c>
    </row>
    <row r="641">
      <c r="A641" s="126" t="s">
        <v>0</v>
      </c>
      <c r="B641" s="127" t="s">
        <v>90</v>
      </c>
      <c r="C641" s="127" t="s">
        <v>3</v>
      </c>
      <c r="D641" s="183" t="s">
        <v>155</v>
      </c>
      <c r="E641" s="183" t="s">
        <v>195</v>
      </c>
      <c r="F641" s="183" t="s">
        <v>476</v>
      </c>
      <c r="G641" s="129" t="s">
        <v>51</v>
      </c>
      <c r="H641" s="129" t="s">
        <v>372</v>
      </c>
      <c r="I641" s="129" t="s">
        <v>477</v>
      </c>
      <c r="J641" s="129" t="s">
        <v>515</v>
      </c>
      <c r="K641" s="129" t="s">
        <v>10</v>
      </c>
      <c r="L641" s="129" t="s">
        <v>539</v>
      </c>
      <c r="M641" s="128" t="s">
        <v>110</v>
      </c>
    </row>
    <row r="642">
      <c r="A642" s="312"/>
      <c r="B642" s="125"/>
      <c r="C642" s="125" t="s">
        <v>541</v>
      </c>
      <c r="D642" s="125" t="s">
        <v>320</v>
      </c>
      <c r="E642" s="125" t="s">
        <v>320</v>
      </c>
      <c r="F642" s="125" t="s">
        <v>320</v>
      </c>
      <c r="G642" s="125" t="s">
        <v>320</v>
      </c>
      <c r="H642" s="125" t="s">
        <v>320</v>
      </c>
      <c r="I642" s="125" t="s">
        <v>320</v>
      </c>
      <c r="J642" s="125" t="s">
        <v>541</v>
      </c>
      <c r="K642" s="313"/>
      <c r="L642" s="72" t="s">
        <v>320</v>
      </c>
    </row>
    <row r="643">
      <c r="A643" s="272"/>
      <c r="B643" s="273"/>
      <c r="C643" s="273"/>
      <c r="D643" s="274"/>
      <c r="E643" s="274"/>
      <c r="F643" s="274"/>
      <c r="G643" s="247"/>
      <c r="H643" s="247"/>
      <c r="I643" s="247"/>
      <c r="J643" s="247"/>
      <c r="K643" s="272"/>
    </row>
    <row r="644">
      <c r="A644" s="195" t="s">
        <v>543</v>
      </c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7"/>
    </row>
    <row r="645">
      <c r="A645" s="198" t="s">
        <v>40</v>
      </c>
      <c r="B645" s="221"/>
      <c r="C645" s="221"/>
      <c r="D645" s="221">
        <f t="shared" ref="D645:D646" si="185">D635</f>
        <v>3125</v>
      </c>
      <c r="E645" s="221"/>
      <c r="F645" s="221"/>
      <c r="G645" s="221"/>
      <c r="H645" s="221">
        <f>7*H599</f>
        <v>21875</v>
      </c>
      <c r="I645" s="221"/>
      <c r="J645" s="199"/>
      <c r="K645" s="251"/>
      <c r="L645" s="293">
        <v>3500.0</v>
      </c>
      <c r="M645" s="251"/>
    </row>
    <row r="646">
      <c r="A646" s="200" t="s">
        <v>501</v>
      </c>
      <c r="B646" s="221"/>
      <c r="C646" s="221"/>
      <c r="D646" s="255">
        <f t="shared" si="185"/>
        <v>8437.5</v>
      </c>
      <c r="E646" s="222"/>
      <c r="F646" s="221"/>
      <c r="G646" s="221"/>
      <c r="H646" s="221">
        <f>(9*H599)*30%</f>
        <v>8437.5</v>
      </c>
      <c r="I646" s="221"/>
      <c r="J646" s="211"/>
      <c r="K646" s="252"/>
      <c r="L646" s="252">
        <f>(L645*9)*30%</f>
        <v>9450</v>
      </c>
      <c r="M646" s="252"/>
    </row>
    <row r="647">
      <c r="A647" s="200" t="s">
        <v>288</v>
      </c>
      <c r="B647" s="255"/>
      <c r="C647" s="255"/>
      <c r="D647" s="255"/>
      <c r="E647" s="256"/>
      <c r="F647" s="255"/>
      <c r="G647" s="319"/>
      <c r="H647" s="255"/>
      <c r="I647" s="255"/>
      <c r="J647" s="255"/>
      <c r="K647" s="255"/>
      <c r="L647" s="257"/>
      <c r="M647" s="257"/>
    </row>
    <row r="648">
      <c r="A648" s="200" t="s">
        <v>149</v>
      </c>
      <c r="B648" s="255">
        <v>300000.0</v>
      </c>
      <c r="C648" s="255">
        <v>300000.0</v>
      </c>
      <c r="D648" s="255">
        <v>150000.0</v>
      </c>
      <c r="E648" s="256">
        <v>270000.0</v>
      </c>
      <c r="F648" s="255">
        <v>185000.0</v>
      </c>
      <c r="G648" s="319"/>
      <c r="H648" s="255"/>
      <c r="I648" s="255"/>
      <c r="J648" s="255">
        <v>100000.0</v>
      </c>
      <c r="K648" s="255"/>
      <c r="L648" s="257"/>
      <c r="M648" s="257"/>
    </row>
    <row r="649">
      <c r="A649" s="200" t="s">
        <v>453</v>
      </c>
      <c r="B649" s="255"/>
      <c r="C649" s="255"/>
      <c r="D649" s="255"/>
      <c r="E649" s="255"/>
      <c r="F649" s="255"/>
      <c r="G649" s="255"/>
      <c r="H649" s="255"/>
      <c r="I649" s="255">
        <v>11200.0</v>
      </c>
      <c r="J649" s="255"/>
      <c r="K649" s="255"/>
      <c r="L649" s="257"/>
      <c r="M649" s="257"/>
    </row>
    <row r="650">
      <c r="A650" s="205" t="s">
        <v>118</v>
      </c>
      <c r="B650" s="226">
        <f>B594+B648</f>
        <v>600000</v>
      </c>
      <c r="C650" s="226">
        <f>C606+C648</f>
        <v>600000</v>
      </c>
      <c r="D650" s="226">
        <f>D596+D646+D645+D648</f>
        <v>311562.5</v>
      </c>
      <c r="E650" s="226">
        <f>E595+E648</f>
        <v>540000</v>
      </c>
      <c r="F650" s="226">
        <f>F595+F646+F645+F648</f>
        <v>370000</v>
      </c>
      <c r="G650" s="226">
        <f>G596</f>
        <v>150000</v>
      </c>
      <c r="H650" s="226">
        <f>H594+H645+H646</f>
        <v>180312.5</v>
      </c>
      <c r="I650" s="226">
        <f>I596+I648-I649</f>
        <v>118800</v>
      </c>
      <c r="J650" s="226">
        <f>200000+J648</f>
        <v>300000</v>
      </c>
      <c r="K650" s="226">
        <v>150000.0</v>
      </c>
      <c r="L650" s="238">
        <f>(4*8*3500)+L646+L645</f>
        <v>124950</v>
      </c>
      <c r="M650" s="206">
        <f>SUM(B650:L650)</f>
        <v>3445625</v>
      </c>
    </row>
    <row r="651">
      <c r="A651" s="126" t="s">
        <v>0</v>
      </c>
      <c r="B651" s="127" t="s">
        <v>90</v>
      </c>
      <c r="C651" s="127" t="s">
        <v>3</v>
      </c>
      <c r="D651" s="183" t="s">
        <v>155</v>
      </c>
      <c r="E651" s="183" t="s">
        <v>195</v>
      </c>
      <c r="F651" s="183" t="s">
        <v>476</v>
      </c>
      <c r="G651" s="129" t="s">
        <v>51</v>
      </c>
      <c r="H651" s="129" t="s">
        <v>372</v>
      </c>
      <c r="I651" s="129" t="s">
        <v>477</v>
      </c>
      <c r="J651" s="129" t="s">
        <v>515</v>
      </c>
      <c r="K651" s="129" t="s">
        <v>10</v>
      </c>
      <c r="L651" s="129" t="s">
        <v>539</v>
      </c>
      <c r="M651" s="128" t="s">
        <v>110</v>
      </c>
    </row>
    <row r="652">
      <c r="A652" s="312"/>
      <c r="B652" s="125" t="s">
        <v>544</v>
      </c>
      <c r="C652" s="125" t="s">
        <v>541</v>
      </c>
      <c r="D652" s="125" t="s">
        <v>320</v>
      </c>
      <c r="E652" s="125" t="s">
        <v>320</v>
      </c>
      <c r="F652" s="125" t="s">
        <v>320</v>
      </c>
      <c r="G652" s="125" t="s">
        <v>320</v>
      </c>
      <c r="H652" s="125" t="s">
        <v>320</v>
      </c>
      <c r="I652" s="125" t="s">
        <v>320</v>
      </c>
      <c r="J652" s="125" t="s">
        <v>320</v>
      </c>
      <c r="K652" s="125" t="s">
        <v>541</v>
      </c>
      <c r="L652" s="72" t="s">
        <v>320</v>
      </c>
    </row>
    <row r="653">
      <c r="A653" s="272"/>
      <c r="B653" s="273"/>
      <c r="C653" s="273"/>
      <c r="D653" s="274"/>
      <c r="E653" s="274"/>
      <c r="F653" s="274"/>
      <c r="G653" s="247"/>
      <c r="H653" s="247"/>
      <c r="I653" s="247"/>
      <c r="J653" s="247"/>
      <c r="K653" s="272"/>
      <c r="M653" s="326" t="s">
        <v>545</v>
      </c>
    </row>
    <row r="654">
      <c r="A654" s="327" t="s">
        <v>546</v>
      </c>
      <c r="B654" s="328">
        <f>M650+M640+M630+M620+M609</f>
        <v>13773182.5</v>
      </c>
      <c r="C654" s="280"/>
      <c r="D654" s="280"/>
      <c r="E654" s="280"/>
      <c r="F654" s="280"/>
      <c r="G654" s="248"/>
      <c r="H654" s="248"/>
      <c r="I654" s="248"/>
      <c r="J654" s="248"/>
      <c r="K654" s="272"/>
      <c r="M654" s="329">
        <f>M640+M630+M620+M609</f>
        <v>10327557.5</v>
      </c>
    </row>
    <row r="655">
      <c r="A655" s="314"/>
      <c r="B655" s="125"/>
      <c r="C655" s="125"/>
      <c r="D655" s="125"/>
      <c r="E655" s="125"/>
      <c r="F655" s="125"/>
      <c r="G655" s="125"/>
      <c r="H655" s="125"/>
      <c r="I655" s="125"/>
      <c r="J655" s="125"/>
      <c r="K655" s="318"/>
      <c r="L655" s="125"/>
      <c r="M655" s="125"/>
    </row>
    <row r="656">
      <c r="A656" s="126" t="s">
        <v>0</v>
      </c>
      <c r="B656" s="127" t="s">
        <v>90</v>
      </c>
      <c r="C656" s="127" t="s">
        <v>3</v>
      </c>
      <c r="D656" s="183" t="s">
        <v>155</v>
      </c>
      <c r="E656" s="183" t="s">
        <v>195</v>
      </c>
      <c r="F656" s="183" t="s">
        <v>476</v>
      </c>
      <c r="G656" s="129" t="s">
        <v>51</v>
      </c>
      <c r="H656" s="129" t="s">
        <v>372</v>
      </c>
      <c r="I656" s="129" t="s">
        <v>477</v>
      </c>
      <c r="J656" s="129" t="s">
        <v>394</v>
      </c>
      <c r="K656" s="129" t="s">
        <v>10</v>
      </c>
      <c r="L656" s="129" t="s">
        <v>539</v>
      </c>
      <c r="M656" s="129"/>
      <c r="N656" s="128" t="s">
        <v>110</v>
      </c>
    </row>
    <row r="657">
      <c r="A657" s="130" t="s">
        <v>80</v>
      </c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2"/>
    </row>
    <row r="658">
      <c r="A658" s="133" t="s">
        <v>111</v>
      </c>
      <c r="B658" s="134">
        <v>300000.0</v>
      </c>
      <c r="C658" s="134">
        <v>300000.0</v>
      </c>
      <c r="D658" s="134">
        <v>185000.0</v>
      </c>
      <c r="E658" s="134">
        <v>270000.0</v>
      </c>
      <c r="F658" s="134">
        <v>185000.0</v>
      </c>
      <c r="G658" s="134">
        <v>200000.0</v>
      </c>
      <c r="H658" s="134">
        <v>150000.0</v>
      </c>
      <c r="I658" s="134">
        <v>170000.0</v>
      </c>
      <c r="J658" s="134">
        <v>200000.0</v>
      </c>
      <c r="K658" s="134">
        <v>150000.0</v>
      </c>
      <c r="L658" s="134">
        <v>150000.0</v>
      </c>
      <c r="M658" s="139">
        <f t="shared" ref="M658:M661" si="186">SUM(B658:K658)</f>
        <v>2110000</v>
      </c>
    </row>
    <row r="659">
      <c r="A659" s="137"/>
      <c r="B659" s="134">
        <v>300000.0</v>
      </c>
      <c r="C659" s="134">
        <v>300000.0</v>
      </c>
      <c r="D659" s="134">
        <v>185000.0</v>
      </c>
      <c r="E659" s="134">
        <v>270000.0</v>
      </c>
      <c r="F659" s="134">
        <v>185000.0</v>
      </c>
      <c r="G659" s="134">
        <v>200000.0</v>
      </c>
      <c r="H659" s="134">
        <v>150000.0</v>
      </c>
      <c r="I659" s="134">
        <v>170000.0</v>
      </c>
      <c r="J659" s="134">
        <v>200000.0</v>
      </c>
      <c r="K659" s="134">
        <v>150000.0</v>
      </c>
      <c r="L659" s="134">
        <v>150000.0</v>
      </c>
      <c r="M659" s="139">
        <f t="shared" si="186"/>
        <v>2110000</v>
      </c>
      <c r="P659" s="91"/>
    </row>
    <row r="660">
      <c r="A660" s="137"/>
      <c r="B660" s="134">
        <v>300000.0</v>
      </c>
      <c r="C660" s="134">
        <v>300000.0</v>
      </c>
      <c r="D660" s="134">
        <v>185000.0</v>
      </c>
      <c r="E660" s="134">
        <v>270000.0</v>
      </c>
      <c r="F660" s="134">
        <v>185000.0</v>
      </c>
      <c r="G660" s="134">
        <v>200000.0</v>
      </c>
      <c r="H660" s="134">
        <v>150000.0</v>
      </c>
      <c r="I660" s="134">
        <v>170000.0</v>
      </c>
      <c r="J660" s="134">
        <v>200000.0</v>
      </c>
      <c r="K660" s="134">
        <v>150000.0</v>
      </c>
      <c r="L660" s="134">
        <v>150000.0</v>
      </c>
      <c r="M660" s="139">
        <f t="shared" si="186"/>
        <v>2110000</v>
      </c>
    </row>
    <row r="661">
      <c r="A661" s="138"/>
      <c r="B661" s="134">
        <v>300000.0</v>
      </c>
      <c r="C661" s="134">
        <v>300000.0</v>
      </c>
      <c r="D661" s="134">
        <v>185000.0</v>
      </c>
      <c r="E661" s="134">
        <v>270000.0</v>
      </c>
      <c r="F661" s="134">
        <v>185000.0</v>
      </c>
      <c r="G661" s="134">
        <v>200000.0</v>
      </c>
      <c r="H661" s="134">
        <v>150000.0</v>
      </c>
      <c r="I661" s="134">
        <v>170000.0</v>
      </c>
      <c r="J661" s="134">
        <v>200000.0</v>
      </c>
      <c r="K661" s="134">
        <v>150000.0</v>
      </c>
      <c r="L661" s="134">
        <v>150000.0</v>
      </c>
      <c r="M661" s="139">
        <f t="shared" si="186"/>
        <v>2110000</v>
      </c>
    </row>
    <row r="662">
      <c r="A662" s="140" t="s">
        <v>113</v>
      </c>
      <c r="B662" s="141">
        <f t="shared" ref="B662:K662" si="187">SUM(B658:B661)</f>
        <v>1200000</v>
      </c>
      <c r="C662" s="141">
        <f t="shared" si="187"/>
        <v>1200000</v>
      </c>
      <c r="D662" s="141">
        <f t="shared" si="187"/>
        <v>740000</v>
      </c>
      <c r="E662" s="141">
        <f t="shared" si="187"/>
        <v>1080000</v>
      </c>
      <c r="F662" s="141">
        <f t="shared" si="187"/>
        <v>740000</v>
      </c>
      <c r="G662" s="141">
        <f t="shared" si="187"/>
        <v>800000</v>
      </c>
      <c r="H662" s="141">
        <f t="shared" si="187"/>
        <v>600000</v>
      </c>
      <c r="I662" s="141">
        <f t="shared" si="187"/>
        <v>680000</v>
      </c>
      <c r="J662" s="141">
        <f t="shared" si="187"/>
        <v>800000</v>
      </c>
      <c r="K662" s="141">
        <f t="shared" si="187"/>
        <v>600000</v>
      </c>
      <c r="L662" s="129" t="s">
        <v>539</v>
      </c>
      <c r="M662" s="141">
        <f>SUM(M658:M661)</f>
        <v>8440000</v>
      </c>
    </row>
    <row r="663">
      <c r="A663" s="157" t="s">
        <v>138</v>
      </c>
      <c r="B663" s="158">
        <f>B659/6/8</f>
        <v>6250</v>
      </c>
      <c r="C663" s="158">
        <f t="shared" ref="C663:D663" si="188">C658/8/6</f>
        <v>6250</v>
      </c>
      <c r="D663" s="158">
        <f t="shared" si="188"/>
        <v>3854.166667</v>
      </c>
      <c r="E663" s="158">
        <f t="shared" ref="E663:G663" si="189">E658/6/8</f>
        <v>5625</v>
      </c>
      <c r="F663" s="158">
        <f t="shared" si="189"/>
        <v>3854.166667</v>
      </c>
      <c r="G663" s="158">
        <f t="shared" si="189"/>
        <v>4166.666667</v>
      </c>
      <c r="H663" s="158">
        <f>H659/6/8</f>
        <v>3125</v>
      </c>
      <c r="I663" s="158">
        <f>I661/8/6</f>
        <v>3541.666667</v>
      </c>
      <c r="J663" s="159">
        <f>J658/6/8</f>
        <v>4166.666667</v>
      </c>
      <c r="K663" s="159">
        <f t="shared" ref="K663:L663" si="190">K661/6/8</f>
        <v>3125</v>
      </c>
      <c r="L663" s="159">
        <f t="shared" si="190"/>
        <v>3125</v>
      </c>
      <c r="M663" s="159"/>
      <c r="N663" s="122"/>
    </row>
    <row r="664">
      <c r="A664" s="241"/>
      <c r="B664" s="310"/>
      <c r="C664" s="310"/>
      <c r="D664" s="310"/>
      <c r="E664" s="310"/>
      <c r="F664" s="310"/>
      <c r="G664" s="310"/>
      <c r="H664" s="310"/>
      <c r="I664" s="310"/>
      <c r="J664" s="310"/>
    </row>
    <row r="665">
      <c r="A665" s="243"/>
      <c r="B665" s="218"/>
      <c r="C665" s="218"/>
      <c r="D665" s="218"/>
      <c r="E665" s="218"/>
      <c r="F665" s="218"/>
      <c r="G665" s="218"/>
      <c r="H665" s="218"/>
      <c r="I665" s="218"/>
      <c r="J665" s="218"/>
    </row>
    <row r="666">
      <c r="A666" s="195" t="s">
        <v>547</v>
      </c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7"/>
    </row>
    <row r="667">
      <c r="A667" s="198" t="s">
        <v>40</v>
      </c>
      <c r="B667" s="221">
        <f>6*B663</f>
        <v>37500</v>
      </c>
      <c r="C667" s="221">
        <f>C663*6</f>
        <v>37500</v>
      </c>
      <c r="D667" s="221">
        <f>D663</f>
        <v>3854.166667</v>
      </c>
      <c r="E667" s="221"/>
      <c r="F667" s="221">
        <f>F663</f>
        <v>3854.166667</v>
      </c>
      <c r="G667" s="221"/>
      <c r="H667" s="221"/>
      <c r="I667" s="221">
        <f>4*I663</f>
        <v>14166.66667</v>
      </c>
      <c r="J667" s="221">
        <v>37500.0</v>
      </c>
      <c r="K667" s="251"/>
      <c r="L667" s="293">
        <v>3500.0</v>
      </c>
      <c r="M667" s="251"/>
    </row>
    <row r="668">
      <c r="A668" s="200" t="s">
        <v>501</v>
      </c>
      <c r="B668" s="221"/>
      <c r="C668" s="221"/>
      <c r="D668" s="255">
        <f>(D663*9)*30%</f>
        <v>10406.25</v>
      </c>
      <c r="E668" s="222"/>
      <c r="F668" s="221">
        <f>(9*F663)*30%</f>
        <v>10406.25</v>
      </c>
      <c r="G668" s="221"/>
      <c r="H668" s="221"/>
      <c r="I668" s="221"/>
      <c r="J668" s="211"/>
      <c r="K668" s="252"/>
      <c r="L668" s="252">
        <f>(L667*9)*30%</f>
        <v>9450</v>
      </c>
      <c r="M668" s="252"/>
    </row>
    <row r="669">
      <c r="A669" s="200" t="s">
        <v>288</v>
      </c>
      <c r="B669" s="255"/>
      <c r="C669" s="255"/>
      <c r="D669" s="255"/>
      <c r="E669" s="256"/>
      <c r="F669" s="255"/>
      <c r="G669" s="319"/>
      <c r="H669" s="255"/>
      <c r="I669" s="255"/>
      <c r="J669" s="255"/>
      <c r="K669" s="255"/>
      <c r="L669" s="257"/>
      <c r="M669" s="257"/>
    </row>
    <row r="670">
      <c r="A670" s="200" t="s">
        <v>149</v>
      </c>
      <c r="B670" s="255"/>
      <c r="C670" s="255"/>
      <c r="D670" s="255"/>
      <c r="E670" s="256"/>
      <c r="F670" s="255"/>
      <c r="G670" s="319"/>
      <c r="H670" s="255"/>
      <c r="I670" s="255">
        <v>130000.0</v>
      </c>
      <c r="J670" s="255">
        <v>100000.0</v>
      </c>
      <c r="K670" s="255"/>
      <c r="L670" s="257"/>
      <c r="M670" s="257"/>
    </row>
    <row r="671">
      <c r="A671" s="200" t="s">
        <v>453</v>
      </c>
      <c r="B671" s="255"/>
      <c r="C671" s="255"/>
      <c r="D671" s="255"/>
      <c r="E671" s="255"/>
      <c r="F671" s="255">
        <v>2400.0</v>
      </c>
      <c r="G671" s="255"/>
      <c r="H671" s="255">
        <v>9400.0</v>
      </c>
      <c r="I671" s="255">
        <v>4200.0</v>
      </c>
      <c r="J671" s="255"/>
      <c r="K671" s="255"/>
      <c r="L671" s="257"/>
      <c r="M671" s="257"/>
    </row>
    <row r="672">
      <c r="A672" s="205" t="s">
        <v>118</v>
      </c>
      <c r="B672" s="226">
        <f t="shared" ref="B672:C672" si="191">B661+B667</f>
        <v>337500</v>
      </c>
      <c r="C672" s="226">
        <f t="shared" si="191"/>
        <v>337500</v>
      </c>
      <c r="D672" s="226">
        <f>D658+D668+D667</f>
        <v>199260.4167</v>
      </c>
      <c r="E672" s="226">
        <f>E617+E670</f>
        <v>270000</v>
      </c>
      <c r="F672" s="226">
        <f>F660+F668+F667-F671</f>
        <v>196860.4167</v>
      </c>
      <c r="G672" s="226">
        <f>G661</f>
        <v>200000</v>
      </c>
      <c r="H672" s="226">
        <f>H660-H671</f>
        <v>140600</v>
      </c>
      <c r="I672" s="226">
        <f>I661+I670-I671+I66+I667</f>
        <v>309966.6667</v>
      </c>
      <c r="J672" s="226">
        <f>200000+J670+J667</f>
        <v>337500</v>
      </c>
      <c r="K672" s="226">
        <v>150000.0</v>
      </c>
      <c r="L672" s="238">
        <f>(4*8*3500)+L668+L667</f>
        <v>124950</v>
      </c>
      <c r="M672" s="206">
        <f>SUM(B672:L672)</f>
        <v>2604137.5</v>
      </c>
    </row>
    <row r="673">
      <c r="A673" s="126" t="s">
        <v>0</v>
      </c>
      <c r="B673" s="127" t="s">
        <v>90</v>
      </c>
      <c r="C673" s="127" t="s">
        <v>3</v>
      </c>
      <c r="D673" s="183" t="s">
        <v>155</v>
      </c>
      <c r="E673" s="183" t="s">
        <v>195</v>
      </c>
      <c r="F673" s="183" t="s">
        <v>476</v>
      </c>
      <c r="G673" s="129" t="s">
        <v>51</v>
      </c>
      <c r="H673" s="129" t="s">
        <v>372</v>
      </c>
      <c r="I673" s="129" t="s">
        <v>477</v>
      </c>
      <c r="J673" s="129" t="s">
        <v>515</v>
      </c>
      <c r="K673" s="129" t="s">
        <v>10</v>
      </c>
      <c r="L673" s="129" t="s">
        <v>539</v>
      </c>
      <c r="M673" s="128" t="s">
        <v>110</v>
      </c>
    </row>
    <row r="674">
      <c r="A674" s="314"/>
      <c r="B674" s="125" t="s">
        <v>541</v>
      </c>
      <c r="C674" s="125" t="s">
        <v>541</v>
      </c>
      <c r="D674" s="125" t="s">
        <v>320</v>
      </c>
      <c r="E674" s="125" t="s">
        <v>320</v>
      </c>
      <c r="F674" s="125" t="s">
        <v>320</v>
      </c>
      <c r="G674" s="125" t="s">
        <v>320</v>
      </c>
      <c r="H674" s="125" t="s">
        <v>320</v>
      </c>
      <c r="I674" s="125" t="s">
        <v>320</v>
      </c>
      <c r="J674" s="125" t="s">
        <v>541</v>
      </c>
      <c r="K674" s="125" t="s">
        <v>537</v>
      </c>
      <c r="L674" s="125" t="s">
        <v>320</v>
      </c>
      <c r="M674" s="125"/>
    </row>
    <row r="675">
      <c r="A675" s="312"/>
      <c r="B675" s="125"/>
      <c r="C675" s="125"/>
      <c r="D675" s="125"/>
      <c r="E675" s="125"/>
      <c r="F675" s="125"/>
      <c r="G675" s="125"/>
      <c r="H675" s="125"/>
      <c r="I675" s="125"/>
      <c r="J675" s="125"/>
      <c r="K675" s="313"/>
    </row>
    <row r="676">
      <c r="A676" s="195" t="s">
        <v>548</v>
      </c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7"/>
    </row>
    <row r="677">
      <c r="A677" s="198" t="s">
        <v>40</v>
      </c>
      <c r="B677" s="221"/>
      <c r="C677" s="221"/>
      <c r="D677" s="221">
        <f>3*D663</f>
        <v>11562.5</v>
      </c>
      <c r="E677" s="221"/>
      <c r="F677" s="221"/>
      <c r="G677" s="221"/>
      <c r="H677" s="221">
        <f>H663</f>
        <v>3125</v>
      </c>
      <c r="I677" s="221">
        <f>4*I663</f>
        <v>14166.66667</v>
      </c>
      <c r="J677" s="221"/>
      <c r="K677" s="251">
        <f>4*K663</f>
        <v>12500</v>
      </c>
      <c r="L677" s="293">
        <v>3500.0</v>
      </c>
      <c r="M677" s="251"/>
      <c r="R677" s="282"/>
      <c r="S677" s="282"/>
      <c r="T677" s="282"/>
      <c r="U677" s="282"/>
      <c r="V677" s="282"/>
      <c r="W677" s="282"/>
      <c r="X677" s="282"/>
      <c r="Y677" s="282"/>
      <c r="Z677" s="282"/>
      <c r="AA677" s="282"/>
      <c r="AB677" s="282"/>
      <c r="AC677" s="282"/>
      <c r="AD677" s="282"/>
    </row>
    <row r="678">
      <c r="A678" s="200" t="s">
        <v>501</v>
      </c>
      <c r="B678" s="221"/>
      <c r="C678" s="221"/>
      <c r="D678" s="255">
        <f>(9*D663)*30%</f>
        <v>10406.25</v>
      </c>
      <c r="E678" s="222"/>
      <c r="F678" s="221"/>
      <c r="G678" s="221"/>
      <c r="H678" s="221">
        <f>(9*H663)*30%</f>
        <v>8437.5</v>
      </c>
      <c r="I678" s="221"/>
      <c r="J678" s="211"/>
      <c r="K678" s="252"/>
      <c r="L678" s="252">
        <f>(L677*9)*30%</f>
        <v>9450</v>
      </c>
      <c r="M678" s="252"/>
    </row>
    <row r="679">
      <c r="A679" s="200" t="s">
        <v>288</v>
      </c>
      <c r="B679" s="255"/>
      <c r="C679" s="255"/>
      <c r="D679" s="255"/>
      <c r="E679" s="256"/>
      <c r="F679" s="255"/>
      <c r="G679" s="319"/>
      <c r="H679" s="255"/>
      <c r="I679" s="255"/>
      <c r="J679" s="255"/>
      <c r="K679" s="255"/>
      <c r="L679" s="255">
        <v>100000.0</v>
      </c>
      <c r="M679" s="257"/>
    </row>
    <row r="680">
      <c r="A680" s="200" t="s">
        <v>549</v>
      </c>
      <c r="B680" s="255"/>
      <c r="C680" s="255"/>
      <c r="D680" s="255"/>
      <c r="E680" s="256"/>
      <c r="F680" s="255"/>
      <c r="G680" s="319"/>
      <c r="H680" s="255">
        <f>(600000/180)*45*0.5</f>
        <v>75000</v>
      </c>
      <c r="I680" s="255"/>
      <c r="J680" s="255"/>
      <c r="K680" s="255"/>
      <c r="L680" s="257"/>
      <c r="M680" s="257"/>
    </row>
    <row r="681">
      <c r="A681" s="200" t="s">
        <v>141</v>
      </c>
      <c r="B681" s="255"/>
      <c r="C681" s="255"/>
      <c r="D681" s="255">
        <f>D663*10</f>
        <v>38541.66667</v>
      </c>
      <c r="E681" s="256"/>
      <c r="F681" s="255"/>
      <c r="G681" s="319"/>
      <c r="H681" s="255"/>
      <c r="I681" s="255">
        <f>10*I663</f>
        <v>35416.66667</v>
      </c>
      <c r="J681" s="255"/>
      <c r="K681" s="255">
        <f>10*K663</f>
        <v>31250</v>
      </c>
      <c r="L681" s="257"/>
      <c r="M681" s="257"/>
    </row>
    <row r="682">
      <c r="A682" s="200" t="s">
        <v>453</v>
      </c>
      <c r="B682" s="255"/>
      <c r="C682" s="255"/>
      <c r="D682" s="255"/>
      <c r="E682" s="255"/>
      <c r="F682" s="255"/>
      <c r="G682" s="255"/>
      <c r="H682" s="255"/>
      <c r="I682" s="255"/>
      <c r="J682" s="255"/>
      <c r="K682" s="255"/>
      <c r="L682" s="257"/>
      <c r="M682" s="257"/>
    </row>
    <row r="683">
      <c r="A683" s="205" t="s">
        <v>118</v>
      </c>
      <c r="B683" s="226">
        <f t="shared" ref="B683:C683" si="192">B661</f>
        <v>300000</v>
      </c>
      <c r="C683" s="226">
        <f t="shared" si="192"/>
        <v>300000</v>
      </c>
      <c r="D683" s="226">
        <f>D661+D681+D678+D677</f>
        <v>245510.4167</v>
      </c>
      <c r="E683" s="226">
        <f t="shared" ref="E683:G683" si="193">E661</f>
        <v>270000</v>
      </c>
      <c r="F683" s="226">
        <f t="shared" si="193"/>
        <v>185000</v>
      </c>
      <c r="G683" s="226">
        <f t="shared" si="193"/>
        <v>200000</v>
      </c>
      <c r="H683" s="226">
        <f>H661+H678+H677+H680</f>
        <v>236562.5</v>
      </c>
      <c r="I683" s="226">
        <f>I661+I681+I677</f>
        <v>219583.3333</v>
      </c>
      <c r="J683" s="226">
        <f>200000+J681+J677</f>
        <v>200000</v>
      </c>
      <c r="K683" s="226">
        <f>K660+K677+K681</f>
        <v>193750</v>
      </c>
      <c r="L683" s="238">
        <f>(4*8*3500)+L678+L677-L679</f>
        <v>24950</v>
      </c>
      <c r="M683" s="206">
        <f>SUM(B683:L683)</f>
        <v>2375356.25</v>
      </c>
    </row>
    <row r="684">
      <c r="A684" s="126" t="s">
        <v>0</v>
      </c>
      <c r="B684" s="127" t="s">
        <v>90</v>
      </c>
      <c r="C684" s="127" t="s">
        <v>3</v>
      </c>
      <c r="D684" s="183" t="s">
        <v>155</v>
      </c>
      <c r="E684" s="183" t="s">
        <v>195</v>
      </c>
      <c r="F684" s="183" t="s">
        <v>476</v>
      </c>
      <c r="G684" s="129" t="s">
        <v>51</v>
      </c>
      <c r="H684" s="129" t="s">
        <v>372</v>
      </c>
      <c r="I684" s="129" t="s">
        <v>477</v>
      </c>
      <c r="J684" s="129" t="s">
        <v>515</v>
      </c>
      <c r="K684" s="129" t="s">
        <v>10</v>
      </c>
      <c r="L684" s="129" t="s">
        <v>539</v>
      </c>
      <c r="M684" s="128" t="s">
        <v>110</v>
      </c>
    </row>
    <row r="685">
      <c r="A685" s="314"/>
      <c r="B685" s="125" t="s">
        <v>320</v>
      </c>
      <c r="C685" s="125" t="s">
        <v>320</v>
      </c>
      <c r="D685" s="125" t="s">
        <v>320</v>
      </c>
      <c r="E685" s="125" t="s">
        <v>320</v>
      </c>
      <c r="F685" s="125"/>
      <c r="G685" s="125" t="s">
        <v>320</v>
      </c>
      <c r="H685" s="125" t="s">
        <v>320</v>
      </c>
      <c r="I685" s="125" t="s">
        <v>320</v>
      </c>
      <c r="J685" s="125" t="s">
        <v>320</v>
      </c>
      <c r="K685" s="318"/>
      <c r="L685" s="125" t="s">
        <v>320</v>
      </c>
      <c r="M685" s="125"/>
    </row>
    <row r="686">
      <c r="A686" s="312"/>
      <c r="B686" s="125"/>
      <c r="C686" s="125"/>
      <c r="D686" s="125"/>
      <c r="E686" s="125"/>
      <c r="F686" s="125"/>
      <c r="G686" s="125"/>
      <c r="H686" s="125"/>
      <c r="I686" s="125"/>
      <c r="J686" s="125"/>
      <c r="K686" s="313"/>
    </row>
    <row r="687">
      <c r="A687" s="195" t="s">
        <v>550</v>
      </c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7"/>
    </row>
    <row r="688">
      <c r="A688" s="198" t="s">
        <v>40</v>
      </c>
      <c r="B688" s="221"/>
      <c r="C688" s="221"/>
      <c r="D688" s="221">
        <f>D663</f>
        <v>3854.166667</v>
      </c>
      <c r="E688" s="221"/>
      <c r="F688" s="221"/>
      <c r="G688" s="221">
        <f>G66</f>
        <v>7000</v>
      </c>
      <c r="H688" s="221">
        <f>H663</f>
        <v>3125</v>
      </c>
      <c r="I688" s="221"/>
      <c r="J688" s="221"/>
      <c r="K688" s="251"/>
      <c r="L688" s="293"/>
      <c r="M688" s="251"/>
    </row>
    <row r="689">
      <c r="A689" s="200" t="s">
        <v>501</v>
      </c>
      <c r="B689" s="221"/>
      <c r="C689" s="221"/>
      <c r="D689" s="255">
        <f>(9*D663)*30%</f>
        <v>10406.25</v>
      </c>
      <c r="E689" s="222"/>
      <c r="F689" s="221"/>
      <c r="G689" s="221"/>
      <c r="H689" s="221">
        <f>(9*H663)*30%</f>
        <v>8437.5</v>
      </c>
      <c r="I689" s="221"/>
      <c r="J689" s="211"/>
      <c r="K689" s="252"/>
      <c r="L689" s="252">
        <f>(9*L663)*30%</f>
        <v>8437.5</v>
      </c>
      <c r="M689" s="252"/>
    </row>
    <row r="690">
      <c r="A690" s="200" t="s">
        <v>288</v>
      </c>
      <c r="B690" s="255"/>
      <c r="C690" s="255"/>
      <c r="D690" s="255"/>
      <c r="E690" s="256"/>
      <c r="F690" s="255"/>
      <c r="G690" s="319"/>
      <c r="H690" s="255"/>
      <c r="I690" s="255"/>
      <c r="J690" s="255"/>
      <c r="K690" s="255"/>
      <c r="L690" s="255"/>
      <c r="M690" s="257"/>
    </row>
    <row r="691">
      <c r="A691" s="200" t="s">
        <v>141</v>
      </c>
      <c r="B691" s="255"/>
      <c r="C691" s="255"/>
      <c r="D691" s="255"/>
      <c r="E691" s="256"/>
      <c r="F691" s="255"/>
      <c r="G691" s="319"/>
      <c r="H691" s="255"/>
      <c r="I691" s="255"/>
      <c r="J691" s="255"/>
      <c r="K691" s="255"/>
      <c r="L691" s="257"/>
      <c r="M691" s="257"/>
    </row>
    <row r="692">
      <c r="A692" s="200" t="s">
        <v>453</v>
      </c>
      <c r="B692" s="255"/>
      <c r="C692" s="255"/>
      <c r="D692" s="255">
        <v>6300.0</v>
      </c>
      <c r="E692" s="255"/>
      <c r="F692" s="255"/>
      <c r="G692" s="255"/>
      <c r="H692" s="255"/>
      <c r="I692" s="255">
        <v>5320.0</v>
      </c>
      <c r="J692" s="255"/>
      <c r="K692" s="255"/>
      <c r="L692" s="257"/>
      <c r="M692" s="257"/>
    </row>
    <row r="693">
      <c r="A693" s="205" t="s">
        <v>118</v>
      </c>
      <c r="B693" s="226">
        <f>B660</f>
        <v>300000</v>
      </c>
      <c r="C693" s="226">
        <f>C661</f>
        <v>300000</v>
      </c>
      <c r="D693" s="226">
        <f>D660-D692+D689+D688</f>
        <v>192960.4167</v>
      </c>
      <c r="E693" s="226">
        <f>E672</f>
        <v>270000</v>
      </c>
      <c r="F693" s="226">
        <f>F661</f>
        <v>185000</v>
      </c>
      <c r="G693" s="226">
        <f>G672</f>
        <v>200000</v>
      </c>
      <c r="H693" s="226">
        <f>H661+H689+H688</f>
        <v>161562.5</v>
      </c>
      <c r="I693" s="226">
        <f>I660-I692</f>
        <v>164680</v>
      </c>
      <c r="J693" s="226">
        <f>200000+J691+J688</f>
        <v>200000</v>
      </c>
      <c r="K693" s="226">
        <v>200000.0</v>
      </c>
      <c r="L693" s="238">
        <f>37*3500+L689</f>
        <v>137937.5</v>
      </c>
      <c r="M693" s="206">
        <f>SUM(B693:L693)</f>
        <v>2312140.417</v>
      </c>
    </row>
    <row r="694">
      <c r="A694" s="126" t="s">
        <v>0</v>
      </c>
      <c r="B694" s="127" t="s">
        <v>90</v>
      </c>
      <c r="C694" s="127" t="s">
        <v>3</v>
      </c>
      <c r="D694" s="183" t="s">
        <v>155</v>
      </c>
      <c r="E694" s="183" t="s">
        <v>195</v>
      </c>
      <c r="F694" s="183" t="s">
        <v>476</v>
      </c>
      <c r="G694" s="129" t="s">
        <v>51</v>
      </c>
      <c r="H694" s="129" t="s">
        <v>372</v>
      </c>
      <c r="I694" s="129" t="s">
        <v>477</v>
      </c>
      <c r="J694" s="129" t="s">
        <v>515</v>
      </c>
      <c r="K694" s="129" t="s">
        <v>10</v>
      </c>
      <c r="L694" s="129" t="s">
        <v>539</v>
      </c>
      <c r="M694" s="128" t="s">
        <v>110</v>
      </c>
    </row>
    <row r="695">
      <c r="A695" s="312"/>
      <c r="B695" s="125" t="s">
        <v>541</v>
      </c>
      <c r="C695" s="125" t="s">
        <v>541</v>
      </c>
      <c r="D695" s="125" t="s">
        <v>320</v>
      </c>
      <c r="E695" s="125" t="s">
        <v>320</v>
      </c>
      <c r="F695" s="125" t="s">
        <v>551</v>
      </c>
      <c r="G695" s="125" t="s">
        <v>320</v>
      </c>
      <c r="H695" s="125" t="s">
        <v>320</v>
      </c>
      <c r="I695" s="125" t="s">
        <v>320</v>
      </c>
      <c r="J695" s="125" t="s">
        <v>541</v>
      </c>
      <c r="K695" s="125" t="s">
        <v>541</v>
      </c>
      <c r="L695" s="72" t="s">
        <v>320</v>
      </c>
    </row>
    <row r="696">
      <c r="A696" s="272"/>
      <c r="B696" s="273"/>
      <c r="C696" s="273"/>
      <c r="D696" s="274"/>
      <c r="E696" s="274"/>
      <c r="F696" s="274"/>
      <c r="G696" s="247"/>
      <c r="H696" s="247"/>
      <c r="I696" s="247"/>
      <c r="J696" s="247"/>
      <c r="K696" s="272"/>
    </row>
    <row r="697">
      <c r="A697" s="195" t="s">
        <v>552</v>
      </c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7"/>
    </row>
    <row r="698">
      <c r="A698" s="198" t="s">
        <v>40</v>
      </c>
      <c r="B698" s="221"/>
      <c r="C698" s="221"/>
      <c r="D698" s="221">
        <f t="shared" ref="D698:D699" si="194">D688</f>
        <v>3854.166667</v>
      </c>
      <c r="E698" s="221"/>
      <c r="F698" s="221"/>
      <c r="G698" s="221" t="str">
        <f>G76</f>
        <v/>
      </c>
      <c r="H698" s="221">
        <f>4500+ (1375*7)+H663</f>
        <v>17250</v>
      </c>
      <c r="I698" s="221"/>
      <c r="J698" s="221"/>
      <c r="K698" s="251"/>
      <c r="L698" s="293"/>
      <c r="M698" s="251"/>
    </row>
    <row r="699">
      <c r="A699" s="200" t="s">
        <v>501</v>
      </c>
      <c r="B699" s="221"/>
      <c r="C699" s="221"/>
      <c r="D699" s="255">
        <f t="shared" si="194"/>
        <v>10406.25</v>
      </c>
      <c r="E699" s="222"/>
      <c r="F699" s="221"/>
      <c r="G699" s="221"/>
      <c r="H699" s="221">
        <f>H689</f>
        <v>8437.5</v>
      </c>
      <c r="I699" s="221"/>
      <c r="J699" s="211"/>
      <c r="K699" s="252"/>
      <c r="L699" s="252">
        <f>L689</f>
        <v>8437.5</v>
      </c>
      <c r="M699" s="252"/>
    </row>
    <row r="700">
      <c r="A700" s="200" t="s">
        <v>288</v>
      </c>
      <c r="B700" s="255"/>
      <c r="C700" s="255"/>
      <c r="D700" s="255"/>
      <c r="E700" s="256"/>
      <c r="F700" s="255"/>
      <c r="G700" s="319"/>
      <c r="H700" s="255"/>
      <c r="I700" s="255">
        <v>50000.0</v>
      </c>
      <c r="J700" s="255"/>
      <c r="K700" s="255"/>
      <c r="L700" s="255"/>
      <c r="M700" s="257"/>
    </row>
    <row r="701">
      <c r="A701" s="200" t="s">
        <v>141</v>
      </c>
      <c r="B701" s="255"/>
      <c r="C701" s="255"/>
      <c r="D701" s="255"/>
      <c r="E701" s="256"/>
      <c r="F701" s="255"/>
      <c r="G701" s="319"/>
      <c r="H701" s="255"/>
      <c r="I701" s="255"/>
      <c r="J701" s="255"/>
      <c r="K701" s="255"/>
      <c r="L701" s="257"/>
      <c r="M701" s="257"/>
    </row>
    <row r="702">
      <c r="A702" s="200" t="s">
        <v>453</v>
      </c>
      <c r="B702" s="255"/>
      <c r="C702" s="255"/>
      <c r="D702" s="255"/>
      <c r="E702" s="255"/>
      <c r="F702" s="255"/>
      <c r="G702" s="255"/>
      <c r="H702" s="255"/>
      <c r="I702" s="255">
        <v>3100.0</v>
      </c>
      <c r="J702" s="255"/>
      <c r="K702" s="255"/>
      <c r="L702" s="257"/>
      <c r="M702" s="257"/>
    </row>
    <row r="703">
      <c r="A703" s="205" t="s">
        <v>118</v>
      </c>
      <c r="B703" s="226">
        <f>B658</f>
        <v>300000</v>
      </c>
      <c r="C703" s="226">
        <f>C661</f>
        <v>300000</v>
      </c>
      <c r="D703" s="226">
        <f>D661+D699+D698</f>
        <v>199260.4167</v>
      </c>
      <c r="E703" s="226">
        <f t="shared" ref="E703:G703" si="195">E661</f>
        <v>270000</v>
      </c>
      <c r="F703" s="226">
        <f t="shared" si="195"/>
        <v>185000</v>
      </c>
      <c r="G703" s="226">
        <f t="shared" si="195"/>
        <v>200000</v>
      </c>
      <c r="H703" s="226">
        <f>H661+H698+H699</f>
        <v>175687.5</v>
      </c>
      <c r="I703" s="226">
        <f>I661-I702-I700</f>
        <v>116900</v>
      </c>
      <c r="J703" s="226">
        <f>200000+J701+J698</f>
        <v>200000</v>
      </c>
      <c r="K703" s="226">
        <v>200000.0</v>
      </c>
      <c r="L703" s="238">
        <f>37*3500 +L699</f>
        <v>137937.5</v>
      </c>
      <c r="M703" s="206">
        <f>SUM(B703:L703)</f>
        <v>2284785.417</v>
      </c>
    </row>
    <row r="704">
      <c r="A704" s="126" t="s">
        <v>0</v>
      </c>
      <c r="B704" s="127" t="s">
        <v>90</v>
      </c>
      <c r="C704" s="127" t="s">
        <v>3</v>
      </c>
      <c r="D704" s="183" t="s">
        <v>155</v>
      </c>
      <c r="E704" s="183" t="s">
        <v>195</v>
      </c>
      <c r="F704" s="183" t="s">
        <v>476</v>
      </c>
      <c r="G704" s="129" t="s">
        <v>51</v>
      </c>
      <c r="H704" s="129" t="s">
        <v>372</v>
      </c>
      <c r="I704" s="129" t="s">
        <v>477</v>
      </c>
      <c r="J704" s="129" t="s">
        <v>515</v>
      </c>
      <c r="K704" s="129" t="s">
        <v>10</v>
      </c>
      <c r="L704" s="129" t="s">
        <v>539</v>
      </c>
      <c r="M704" s="128" t="s">
        <v>110</v>
      </c>
    </row>
    <row r="705">
      <c r="A705" s="312"/>
      <c r="B705" s="125" t="s">
        <v>320</v>
      </c>
      <c r="C705" s="125" t="s">
        <v>320</v>
      </c>
      <c r="D705" s="125" t="s">
        <v>320</v>
      </c>
      <c r="E705" s="125" t="s">
        <v>320</v>
      </c>
      <c r="F705" s="125" t="s">
        <v>553</v>
      </c>
      <c r="G705" s="125" t="s">
        <v>320</v>
      </c>
      <c r="H705" s="125" t="s">
        <v>320</v>
      </c>
      <c r="I705" s="125" t="s">
        <v>320</v>
      </c>
      <c r="J705" s="125" t="s">
        <v>320</v>
      </c>
      <c r="K705" s="125" t="s">
        <v>541</v>
      </c>
      <c r="L705" s="72" t="s">
        <v>320</v>
      </c>
    </row>
    <row r="706">
      <c r="A706" s="272"/>
      <c r="B706" s="309" t="s">
        <v>554</v>
      </c>
      <c r="C706" s="309" t="s">
        <v>555</v>
      </c>
      <c r="D706" s="309" t="s">
        <v>554</v>
      </c>
      <c r="E706" s="309" t="s">
        <v>554</v>
      </c>
      <c r="F706" s="309" t="s">
        <v>541</v>
      </c>
      <c r="G706" s="245" t="s">
        <v>555</v>
      </c>
      <c r="H706" s="245" t="s">
        <v>554</v>
      </c>
      <c r="I706" s="245" t="s">
        <v>554</v>
      </c>
      <c r="J706" s="245" t="s">
        <v>555</v>
      </c>
      <c r="K706" s="244"/>
      <c r="L706" s="330" t="s">
        <v>555</v>
      </c>
    </row>
    <row r="707">
      <c r="A707" s="272"/>
      <c r="B707" s="278"/>
      <c r="C707" s="278"/>
      <c r="D707" s="278"/>
      <c r="E707" s="274"/>
      <c r="F707" s="278"/>
      <c r="G707" s="278"/>
      <c r="H707" s="247"/>
      <c r="I707" s="278"/>
      <c r="J707" s="247"/>
      <c r="K707" s="272"/>
      <c r="M707" s="326" t="s">
        <v>545</v>
      </c>
    </row>
    <row r="708">
      <c r="A708" s="272"/>
      <c r="B708" s="273"/>
      <c r="C708" s="273"/>
      <c r="D708" s="274"/>
      <c r="E708" s="274"/>
      <c r="F708" s="274"/>
      <c r="G708" s="247"/>
      <c r="H708" s="247"/>
      <c r="I708" s="247"/>
      <c r="J708" s="247"/>
      <c r="K708" s="272"/>
      <c r="M708" s="329">
        <f>M703+M693+M683+M672+M650</f>
        <v>13022044.58</v>
      </c>
    </row>
    <row r="709">
      <c r="A709" s="307"/>
    </row>
    <row r="710">
      <c r="A710" s="126" t="s">
        <v>0</v>
      </c>
      <c r="B710" s="127" t="s">
        <v>90</v>
      </c>
      <c r="C710" s="127" t="s">
        <v>3</v>
      </c>
      <c r="D710" s="183" t="s">
        <v>155</v>
      </c>
      <c r="E710" s="183" t="s">
        <v>195</v>
      </c>
      <c r="F710" s="183" t="s">
        <v>476</v>
      </c>
      <c r="G710" s="129" t="s">
        <v>51</v>
      </c>
      <c r="H710" s="129" t="s">
        <v>372</v>
      </c>
      <c r="I710" s="129" t="s">
        <v>477</v>
      </c>
      <c r="J710" s="129" t="s">
        <v>394</v>
      </c>
      <c r="K710" s="129" t="s">
        <v>10</v>
      </c>
      <c r="L710" s="129" t="s">
        <v>539</v>
      </c>
      <c r="M710" s="129"/>
      <c r="N710" s="128" t="s">
        <v>110</v>
      </c>
    </row>
    <row r="711">
      <c r="A711" s="130" t="s">
        <v>94</v>
      </c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2"/>
    </row>
    <row r="712">
      <c r="A712" s="133" t="s">
        <v>111</v>
      </c>
      <c r="B712" s="134">
        <v>300000.0</v>
      </c>
      <c r="C712" s="134">
        <v>300000.0</v>
      </c>
      <c r="D712" s="134">
        <v>185000.0</v>
      </c>
      <c r="E712" s="134">
        <v>270000.0</v>
      </c>
      <c r="F712" s="134">
        <v>185000.0</v>
      </c>
      <c r="G712" s="134">
        <v>200000.0</v>
      </c>
      <c r="H712" s="134">
        <v>150000.0</v>
      </c>
      <c r="I712" s="134">
        <v>170000.0</v>
      </c>
      <c r="J712" s="134">
        <v>200000.0</v>
      </c>
      <c r="K712" s="134">
        <v>200000.0</v>
      </c>
      <c r="L712" s="134">
        <v>150000.0</v>
      </c>
      <c r="M712" s="139">
        <f t="shared" ref="M712:M715" si="196">SUM(B712:K712)</f>
        <v>2160000</v>
      </c>
    </row>
    <row r="713">
      <c r="A713" s="137"/>
      <c r="B713" s="134">
        <v>300000.0</v>
      </c>
      <c r="C713" s="134">
        <v>300000.0</v>
      </c>
      <c r="D713" s="134">
        <v>185000.0</v>
      </c>
      <c r="E713" s="134">
        <v>270000.0</v>
      </c>
      <c r="F713" s="134">
        <v>185000.0</v>
      </c>
      <c r="G713" s="134">
        <v>200000.0</v>
      </c>
      <c r="H713" s="134">
        <v>150000.0</v>
      </c>
      <c r="I713" s="134">
        <v>170000.0</v>
      </c>
      <c r="J713" s="134">
        <v>200000.0</v>
      </c>
      <c r="K713" s="134">
        <v>200000.0</v>
      </c>
      <c r="L713" s="134">
        <v>150000.0</v>
      </c>
      <c r="M713" s="139">
        <f t="shared" si="196"/>
        <v>2160000</v>
      </c>
      <c r="P713" s="91"/>
    </row>
    <row r="714">
      <c r="A714" s="137"/>
      <c r="B714" s="134">
        <v>300000.0</v>
      </c>
      <c r="C714" s="134">
        <v>300000.0</v>
      </c>
      <c r="D714" s="134">
        <v>185000.0</v>
      </c>
      <c r="E714" s="134">
        <v>270000.0</v>
      </c>
      <c r="F714" s="134">
        <v>185000.0</v>
      </c>
      <c r="G714" s="134">
        <v>200000.0</v>
      </c>
      <c r="H714" s="134">
        <v>150000.0</v>
      </c>
      <c r="I714" s="134">
        <v>170000.0</v>
      </c>
      <c r="J714" s="134">
        <v>200000.0</v>
      </c>
      <c r="K714" s="134">
        <v>200000.0</v>
      </c>
      <c r="L714" s="134">
        <v>150000.0</v>
      </c>
      <c r="M714" s="139">
        <f t="shared" si="196"/>
        <v>2160000</v>
      </c>
    </row>
    <row r="715">
      <c r="A715" s="138"/>
      <c r="B715" s="134">
        <v>300000.0</v>
      </c>
      <c r="C715" s="134">
        <v>300000.0</v>
      </c>
      <c r="D715" s="134">
        <v>185000.0</v>
      </c>
      <c r="E715" s="134">
        <v>270000.0</v>
      </c>
      <c r="F715" s="134">
        <v>185000.0</v>
      </c>
      <c r="G715" s="134">
        <v>200000.0</v>
      </c>
      <c r="H715" s="134">
        <v>150000.0</v>
      </c>
      <c r="I715" s="134">
        <v>170000.0</v>
      </c>
      <c r="J715" s="134">
        <v>200000.0</v>
      </c>
      <c r="K715" s="134">
        <v>200000.0</v>
      </c>
      <c r="L715" s="134">
        <v>150000.0</v>
      </c>
      <c r="M715" s="139">
        <f t="shared" si="196"/>
        <v>2160000</v>
      </c>
    </row>
    <row r="716">
      <c r="A716" s="140" t="s">
        <v>113</v>
      </c>
      <c r="B716" s="141">
        <f t="shared" ref="B716:K716" si="197">SUM(B712:B715)</f>
        <v>1200000</v>
      </c>
      <c r="C716" s="141">
        <f t="shared" si="197"/>
        <v>1200000</v>
      </c>
      <c r="D716" s="141">
        <f t="shared" si="197"/>
        <v>740000</v>
      </c>
      <c r="E716" s="141">
        <f t="shared" si="197"/>
        <v>1080000</v>
      </c>
      <c r="F716" s="141">
        <f t="shared" si="197"/>
        <v>740000</v>
      </c>
      <c r="G716" s="141">
        <f t="shared" si="197"/>
        <v>800000</v>
      </c>
      <c r="H716" s="141">
        <f t="shared" si="197"/>
        <v>600000</v>
      </c>
      <c r="I716" s="141">
        <f t="shared" si="197"/>
        <v>680000</v>
      </c>
      <c r="J716" s="141">
        <f t="shared" si="197"/>
        <v>800000</v>
      </c>
      <c r="K716" s="141">
        <f t="shared" si="197"/>
        <v>800000</v>
      </c>
      <c r="L716" s="129" t="s">
        <v>539</v>
      </c>
      <c r="M716" s="141">
        <f>SUM(M712:M715)</f>
        <v>8640000</v>
      </c>
    </row>
    <row r="717">
      <c r="A717" s="157" t="s">
        <v>138</v>
      </c>
      <c r="B717" s="158">
        <f>B713/6/8</f>
        <v>6250</v>
      </c>
      <c r="C717" s="158">
        <f t="shared" ref="C717:D717" si="198">C712/8/6</f>
        <v>6250</v>
      </c>
      <c r="D717" s="158">
        <f t="shared" si="198"/>
        <v>3854.166667</v>
      </c>
      <c r="E717" s="158">
        <f t="shared" ref="E717:G717" si="199">E712/6/8</f>
        <v>5625</v>
      </c>
      <c r="F717" s="158">
        <f t="shared" si="199"/>
        <v>3854.166667</v>
      </c>
      <c r="G717" s="158">
        <f t="shared" si="199"/>
        <v>4166.666667</v>
      </c>
      <c r="H717" s="158">
        <f>H713/6/8</f>
        <v>3125</v>
      </c>
      <c r="I717" s="158">
        <f>I715/8/6</f>
        <v>3541.666667</v>
      </c>
      <c r="J717" s="159">
        <f>J712/6/8</f>
        <v>4166.666667</v>
      </c>
      <c r="K717" s="159">
        <f t="shared" ref="K717:L717" si="200">K715/6/8</f>
        <v>4166.666667</v>
      </c>
      <c r="L717" s="159">
        <f t="shared" si="200"/>
        <v>3125</v>
      </c>
      <c r="M717" s="159"/>
      <c r="N717" s="122"/>
    </row>
    <row r="718">
      <c r="A718" s="272"/>
      <c r="B718" s="273"/>
      <c r="C718" s="273"/>
      <c r="D718" s="274"/>
      <c r="E718" s="274"/>
      <c r="F718" s="274"/>
      <c r="G718" s="247"/>
      <c r="H718" s="247"/>
      <c r="I718" s="247"/>
      <c r="J718" s="247"/>
      <c r="K718" s="279"/>
    </row>
    <row r="719">
      <c r="A719" s="195" t="s">
        <v>556</v>
      </c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7"/>
    </row>
    <row r="720">
      <c r="A720" s="198" t="s">
        <v>40</v>
      </c>
      <c r="B720" s="221"/>
      <c r="C720" s="221"/>
      <c r="D720" s="221">
        <f t="shared" ref="D720:D721" si="201">D698</f>
        <v>3854.166667</v>
      </c>
      <c r="E720" s="221"/>
      <c r="F720" s="221"/>
      <c r="G720" s="221"/>
      <c r="H720" s="221">
        <f t="shared" ref="H720:H721" si="202">H698</f>
        <v>17250</v>
      </c>
      <c r="I720" s="221">
        <f>(I717*4)</f>
        <v>14166.66667</v>
      </c>
      <c r="J720" s="221"/>
      <c r="K720" s="251"/>
      <c r="L720" s="293">
        <v>3500.0</v>
      </c>
      <c r="M720" s="251"/>
    </row>
    <row r="721">
      <c r="A721" s="200" t="s">
        <v>501</v>
      </c>
      <c r="B721" s="221"/>
      <c r="C721" s="221"/>
      <c r="D721" s="255">
        <f t="shared" si="201"/>
        <v>10406.25</v>
      </c>
      <c r="E721" s="222"/>
      <c r="F721" s="221"/>
      <c r="G721" s="221"/>
      <c r="H721" s="221">
        <f t="shared" si="202"/>
        <v>8437.5</v>
      </c>
      <c r="I721" s="221"/>
      <c r="J721" s="211"/>
      <c r="K721" s="252"/>
      <c r="L721" s="252">
        <f>(L720*9)*30%</f>
        <v>9450</v>
      </c>
      <c r="M721" s="252"/>
    </row>
    <row r="722">
      <c r="A722" s="200" t="s">
        <v>288</v>
      </c>
      <c r="B722" s="255"/>
      <c r="C722" s="255"/>
      <c r="D722" s="255"/>
      <c r="E722" s="256"/>
      <c r="F722" s="255"/>
      <c r="G722" s="319"/>
      <c r="H722" s="255"/>
      <c r="I722" s="255"/>
      <c r="J722" s="255"/>
      <c r="K722" s="255"/>
      <c r="L722" s="257"/>
      <c r="M722" s="257"/>
    </row>
    <row r="723">
      <c r="A723" s="200" t="s">
        <v>149</v>
      </c>
      <c r="B723" s="255"/>
      <c r="C723" s="255"/>
      <c r="D723" s="255"/>
      <c r="E723" s="256"/>
      <c r="F723" s="255"/>
      <c r="G723" s="319"/>
      <c r="H723" s="255"/>
      <c r="I723" s="255"/>
      <c r="J723" s="255"/>
      <c r="K723" s="255"/>
      <c r="L723" s="257"/>
      <c r="M723" s="257"/>
    </row>
    <row r="724">
      <c r="A724" s="200" t="s">
        <v>453</v>
      </c>
      <c r="B724" s="255"/>
      <c r="C724" s="255"/>
      <c r="D724" s="255"/>
      <c r="E724" s="255"/>
      <c r="F724" s="255"/>
      <c r="G724" s="255"/>
      <c r="H724" s="255">
        <v>12600.0</v>
      </c>
      <c r="I724" s="255">
        <v>3400.0</v>
      </c>
      <c r="J724" s="255"/>
      <c r="K724" s="255"/>
      <c r="L724" s="257"/>
      <c r="M724" s="257"/>
    </row>
    <row r="725">
      <c r="A725" s="205" t="s">
        <v>118</v>
      </c>
      <c r="B725" s="226">
        <f t="shared" ref="B725:C725" si="203">B714+B720</f>
        <v>300000</v>
      </c>
      <c r="C725" s="226">
        <f t="shared" si="203"/>
        <v>300000</v>
      </c>
      <c r="D725" s="226">
        <f>D712+D721+D720</f>
        <v>199260.4167</v>
      </c>
      <c r="E725" s="226">
        <f>E712</f>
        <v>270000</v>
      </c>
      <c r="F725" s="226">
        <f>F713+F721+F720-F724</f>
        <v>185000</v>
      </c>
      <c r="G725" s="226">
        <f>G714</f>
        <v>200000</v>
      </c>
      <c r="H725" s="226">
        <f>H715-H724+H721+H720</f>
        <v>163087.5</v>
      </c>
      <c r="I725" s="226">
        <f>I714+I723-I724+I119+I720</f>
        <v>180766.6667</v>
      </c>
      <c r="J725" s="226">
        <f>200000+J723+J720-J722</f>
        <v>200000</v>
      </c>
      <c r="K725" s="226">
        <f>K714</f>
        <v>200000</v>
      </c>
      <c r="L725" s="238">
        <f>(32*3500)+L721+L720</f>
        <v>124950</v>
      </c>
      <c r="M725" s="206">
        <f>SUM(B725:L725)</f>
        <v>2323064.583</v>
      </c>
    </row>
    <row r="726">
      <c r="A726" s="126" t="s">
        <v>0</v>
      </c>
      <c r="B726" s="127" t="s">
        <v>90</v>
      </c>
      <c r="C726" s="127" t="s">
        <v>3</v>
      </c>
      <c r="D726" s="183" t="s">
        <v>155</v>
      </c>
      <c r="E726" s="183" t="s">
        <v>195</v>
      </c>
      <c r="F726" s="183" t="s">
        <v>476</v>
      </c>
      <c r="G726" s="129" t="s">
        <v>51</v>
      </c>
      <c r="H726" s="129" t="s">
        <v>372</v>
      </c>
      <c r="I726" s="129" t="s">
        <v>477</v>
      </c>
      <c r="J726" s="129" t="s">
        <v>515</v>
      </c>
      <c r="K726" s="129" t="s">
        <v>10</v>
      </c>
      <c r="L726" s="129" t="s">
        <v>539</v>
      </c>
      <c r="M726" s="128" t="s">
        <v>110</v>
      </c>
    </row>
    <row r="727">
      <c r="A727" s="331"/>
      <c r="B727" s="253" t="s">
        <v>320</v>
      </c>
      <c r="C727" s="253" t="s">
        <v>320</v>
      </c>
      <c r="D727" s="253" t="s">
        <v>320</v>
      </c>
      <c r="E727" s="253" t="s">
        <v>536</v>
      </c>
      <c r="F727" s="253" t="s">
        <v>537</v>
      </c>
      <c r="G727" s="253" t="s">
        <v>536</v>
      </c>
      <c r="H727" s="263"/>
      <c r="I727" s="263"/>
      <c r="J727" s="263"/>
      <c r="K727" s="253"/>
      <c r="L727" s="263"/>
      <c r="M727" s="263"/>
      <c r="N727" s="174"/>
      <c r="O727" s="174"/>
      <c r="P727" s="174"/>
    </row>
    <row r="728">
      <c r="A728" s="272"/>
      <c r="B728" s="273"/>
      <c r="C728" s="273"/>
      <c r="D728" s="274"/>
      <c r="E728" s="274" t="s">
        <v>554</v>
      </c>
      <c r="F728" s="125" t="s">
        <v>557</v>
      </c>
      <c r="G728" s="247" t="s">
        <v>554</v>
      </c>
      <c r="H728" s="247"/>
      <c r="I728" s="247"/>
      <c r="J728" s="247"/>
      <c r="K728" s="247"/>
    </row>
    <row r="729">
      <c r="A729" s="307"/>
    </row>
    <row r="730">
      <c r="A730" s="332" t="s">
        <v>558</v>
      </c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7"/>
    </row>
    <row r="731">
      <c r="A731" s="333" t="s">
        <v>40</v>
      </c>
      <c r="B731" s="334"/>
      <c r="C731" s="334"/>
      <c r="D731" s="334" t="str">
        <f>D709</f>
        <v/>
      </c>
      <c r="E731" s="334"/>
      <c r="F731" s="334"/>
      <c r="G731" s="334"/>
      <c r="H731" s="334" t="str">
        <f>H709</f>
        <v/>
      </c>
      <c r="I731" s="334"/>
      <c r="J731" s="334"/>
      <c r="K731" s="335"/>
      <c r="L731" s="336"/>
      <c r="M731" s="335"/>
      <c r="N731" s="337"/>
      <c r="O731" s="337"/>
      <c r="P731" s="337"/>
      <c r="Q731" s="337"/>
    </row>
    <row r="732">
      <c r="A732" s="338" t="s">
        <v>501</v>
      </c>
      <c r="B732" s="334"/>
      <c r="C732" s="334"/>
      <c r="D732" s="339"/>
      <c r="E732" s="340"/>
      <c r="F732" s="334"/>
      <c r="G732" s="334"/>
      <c r="H732" s="334"/>
      <c r="I732" s="334"/>
      <c r="J732" s="341"/>
      <c r="K732" s="342"/>
      <c r="L732" s="342"/>
      <c r="M732" s="342"/>
      <c r="N732" s="337"/>
      <c r="O732" s="337"/>
      <c r="P732" s="337"/>
      <c r="Q732" s="337"/>
    </row>
    <row r="733">
      <c r="A733" s="338" t="s">
        <v>288</v>
      </c>
      <c r="B733" s="339"/>
      <c r="C733" s="339"/>
      <c r="D733" s="339"/>
      <c r="E733" s="343"/>
      <c r="F733" s="339"/>
      <c r="G733" s="344"/>
      <c r="H733" s="339"/>
      <c r="I733" s="339"/>
      <c r="J733" s="339"/>
      <c r="K733" s="339"/>
      <c r="L733" s="345"/>
      <c r="M733" s="345"/>
      <c r="N733" s="337"/>
      <c r="O733" s="337"/>
      <c r="P733" s="337"/>
      <c r="Q733" s="337"/>
    </row>
    <row r="734">
      <c r="A734" s="338" t="s">
        <v>149</v>
      </c>
      <c r="B734" s="339"/>
      <c r="C734" s="339"/>
      <c r="D734" s="339"/>
      <c r="E734" s="343"/>
      <c r="F734" s="339"/>
      <c r="G734" s="344"/>
      <c r="H734" s="339"/>
      <c r="I734" s="339"/>
      <c r="J734" s="339"/>
      <c r="K734" s="339"/>
      <c r="L734" s="345"/>
      <c r="M734" s="345"/>
      <c r="N734" s="337"/>
      <c r="O734" s="337"/>
      <c r="P734" s="337"/>
      <c r="Q734" s="337"/>
    </row>
    <row r="735">
      <c r="A735" s="338" t="s">
        <v>453</v>
      </c>
      <c r="B735" s="339"/>
      <c r="C735" s="339"/>
      <c r="D735" s="339"/>
      <c r="E735" s="339"/>
      <c r="F735" s="339"/>
      <c r="G735" s="339"/>
      <c r="H735" s="339"/>
      <c r="I735" s="339"/>
      <c r="J735" s="339"/>
      <c r="K735" s="339"/>
      <c r="L735" s="345"/>
      <c r="M735" s="345"/>
      <c r="N735" s="337"/>
      <c r="O735" s="337"/>
      <c r="P735" s="337"/>
      <c r="Q735" s="337"/>
    </row>
    <row r="736">
      <c r="A736" s="346" t="s">
        <v>118</v>
      </c>
      <c r="B736" s="347">
        <f t="shared" ref="B736:C736" si="204">B725+B731</f>
        <v>300000</v>
      </c>
      <c r="C736" s="347">
        <f t="shared" si="204"/>
        <v>300000</v>
      </c>
      <c r="D736" s="347">
        <f>D725</f>
        <v>199260.4167</v>
      </c>
      <c r="E736" s="347" t="str">
        <f>E723</f>
        <v/>
      </c>
      <c r="F736" s="347">
        <f>F724+F732+F731-F735</f>
        <v>0</v>
      </c>
      <c r="G736" s="347">
        <f t="shared" ref="G736:H736" si="205">G725</f>
        <v>200000</v>
      </c>
      <c r="H736" s="347">
        <f t="shared" si="205"/>
        <v>163087.5</v>
      </c>
      <c r="I736" s="347"/>
      <c r="J736" s="347">
        <f>200000+J734+J731-J733</f>
        <v>200000</v>
      </c>
      <c r="K736" s="347">
        <v>200000.0</v>
      </c>
      <c r="L736" s="347">
        <v>200000.0</v>
      </c>
      <c r="M736" s="348">
        <f>SUM(B736:L736)</f>
        <v>1762347.917</v>
      </c>
      <c r="N736" s="337"/>
      <c r="O736" s="337"/>
      <c r="P736" s="337"/>
      <c r="Q736" s="337"/>
    </row>
    <row r="737">
      <c r="A737" s="349" t="s">
        <v>0</v>
      </c>
      <c r="B737" s="350" t="s">
        <v>90</v>
      </c>
      <c r="C737" s="350" t="s">
        <v>3</v>
      </c>
      <c r="D737" s="351" t="s">
        <v>155</v>
      </c>
      <c r="E737" s="351" t="s">
        <v>195</v>
      </c>
      <c r="F737" s="351" t="s">
        <v>476</v>
      </c>
      <c r="G737" s="352" t="s">
        <v>51</v>
      </c>
      <c r="H737" s="352" t="s">
        <v>372</v>
      </c>
      <c r="I737" s="352" t="s">
        <v>477</v>
      </c>
      <c r="J737" s="352" t="s">
        <v>515</v>
      </c>
      <c r="K737" s="352" t="s">
        <v>10</v>
      </c>
      <c r="L737" s="352" t="s">
        <v>539</v>
      </c>
      <c r="M737" s="353" t="s">
        <v>110</v>
      </c>
      <c r="N737" s="337"/>
      <c r="O737" s="337"/>
      <c r="P737" s="337"/>
      <c r="Q737" s="337"/>
    </row>
    <row r="738">
      <c r="A738" s="272"/>
      <c r="B738" s="273"/>
      <c r="C738" s="273"/>
      <c r="D738" s="274"/>
      <c r="E738" s="274"/>
      <c r="F738" s="274"/>
      <c r="G738" s="247"/>
      <c r="H738" s="247"/>
      <c r="I738" s="247"/>
      <c r="J738" s="248"/>
      <c r="K738" s="279"/>
    </row>
    <row r="739">
      <c r="A739" s="272"/>
      <c r="B739" s="273"/>
      <c r="C739" s="273"/>
      <c r="D739" s="274"/>
      <c r="E739" s="274"/>
      <c r="F739" s="274"/>
      <c r="G739" s="247"/>
      <c r="H739" s="247"/>
      <c r="I739" s="247"/>
      <c r="J739" s="247"/>
      <c r="K739" s="272"/>
      <c r="L739" s="72" t="s">
        <v>559</v>
      </c>
      <c r="M739">
        <f>M725-M736</f>
        <v>560716.6667</v>
      </c>
    </row>
    <row r="740">
      <c r="A740" s="314"/>
      <c r="B740" s="315"/>
      <c r="C740" s="125"/>
      <c r="D740" s="125"/>
      <c r="E740" s="313"/>
      <c r="F740" s="125"/>
      <c r="G740" s="313"/>
      <c r="H740" s="125"/>
      <c r="I740" s="125"/>
      <c r="J740" s="125"/>
      <c r="K740" s="122"/>
      <c r="L740" s="125" t="s">
        <v>560</v>
      </c>
      <c r="M740" s="122">
        <f>M739*4</f>
        <v>2242866.667</v>
      </c>
    </row>
    <row r="741">
      <c r="A741" s="312"/>
      <c r="B741" s="125"/>
      <c r="C741" s="125"/>
      <c r="D741" s="125"/>
      <c r="E741" s="125"/>
      <c r="F741" s="313"/>
      <c r="G741" s="125"/>
      <c r="H741" s="313"/>
      <c r="I741" s="125"/>
      <c r="J741" s="313"/>
      <c r="K741" s="313"/>
      <c r="L741" s="313"/>
      <c r="M741" s="313"/>
    </row>
    <row r="742">
      <c r="A742" s="195" t="s">
        <v>561</v>
      </c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7"/>
    </row>
    <row r="743">
      <c r="A743" s="198" t="s">
        <v>40</v>
      </c>
      <c r="B743" s="221"/>
      <c r="C743" s="221"/>
      <c r="D743" s="221">
        <f>D717</f>
        <v>3854.166667</v>
      </c>
      <c r="E743" s="221"/>
      <c r="F743" s="221"/>
      <c r="G743" s="221"/>
      <c r="H743" s="221">
        <f t="shared" ref="H743:H744" si="206">H720</f>
        <v>17250</v>
      </c>
      <c r="I743" s="221">
        <f>13*I717</f>
        <v>46041.66667</v>
      </c>
      <c r="J743" s="221"/>
      <c r="K743" s="251"/>
      <c r="L743" s="293">
        <v>3500.0</v>
      </c>
      <c r="M743" s="251"/>
    </row>
    <row r="744">
      <c r="A744" s="200" t="s">
        <v>501</v>
      </c>
      <c r="B744" s="221"/>
      <c r="C744" s="221"/>
      <c r="D744" s="255">
        <f>D721</f>
        <v>10406.25</v>
      </c>
      <c r="E744" s="222"/>
      <c r="F744" s="221"/>
      <c r="G744" s="221"/>
      <c r="H744" s="221">
        <f t="shared" si="206"/>
        <v>8437.5</v>
      </c>
      <c r="I744" s="221"/>
      <c r="J744" s="211"/>
      <c r="K744" s="252"/>
      <c r="L744" s="252">
        <f>(L743*9)*30%</f>
        <v>9450</v>
      </c>
      <c r="M744" s="252"/>
    </row>
    <row r="745">
      <c r="A745" s="200" t="s">
        <v>288</v>
      </c>
      <c r="B745" s="255"/>
      <c r="C745" s="255"/>
      <c r="D745" s="255"/>
      <c r="E745" s="256"/>
      <c r="F745" s="255"/>
      <c r="G745" s="319"/>
      <c r="H745" s="255"/>
      <c r="I745" s="255"/>
      <c r="J745" s="255"/>
      <c r="K745" s="255"/>
      <c r="L745" s="257"/>
      <c r="M745" s="257"/>
    </row>
    <row r="746">
      <c r="A746" s="200"/>
      <c r="B746" s="255"/>
      <c r="C746" s="255"/>
      <c r="D746" s="255"/>
      <c r="E746" s="256"/>
      <c r="F746" s="255"/>
      <c r="G746" s="319"/>
      <c r="H746" s="255"/>
      <c r="I746" s="255"/>
      <c r="J746" s="255"/>
      <c r="K746" s="255"/>
      <c r="L746" s="257"/>
      <c r="M746" s="257"/>
    </row>
    <row r="747">
      <c r="A747" s="200" t="s">
        <v>453</v>
      </c>
      <c r="B747" s="255"/>
      <c r="C747" s="255"/>
      <c r="D747" s="255"/>
      <c r="E747" s="255"/>
      <c r="F747" s="255"/>
      <c r="G747" s="255"/>
      <c r="H747" s="255">
        <v>4800.0</v>
      </c>
      <c r="I747" s="255"/>
      <c r="J747" s="255"/>
      <c r="K747" s="255"/>
      <c r="L747" s="255">
        <v>5600.0</v>
      </c>
      <c r="M747" s="257"/>
    </row>
    <row r="748">
      <c r="A748" s="205" t="s">
        <v>118</v>
      </c>
      <c r="B748" s="226">
        <f t="shared" ref="B748:C748" si="207">B712</f>
        <v>300000</v>
      </c>
      <c r="C748" s="226">
        <f t="shared" si="207"/>
        <v>300000</v>
      </c>
      <c r="D748" s="226">
        <f>D712+D744+D743</f>
        <v>199260.4167</v>
      </c>
      <c r="E748" s="226">
        <f>E712</f>
        <v>270000</v>
      </c>
      <c r="F748" s="226">
        <f>F736+F744+F743-F747</f>
        <v>0</v>
      </c>
      <c r="G748" s="226">
        <f>G712</f>
        <v>200000</v>
      </c>
      <c r="H748" s="226">
        <f>H713+H743+H744-H747</f>
        <v>170887.5</v>
      </c>
      <c r="I748" s="226">
        <f>I713+I743</f>
        <v>216041.6667</v>
      </c>
      <c r="J748" s="226">
        <f>200000+J746+J743-J745</f>
        <v>200000</v>
      </c>
      <c r="K748" s="226">
        <f>K713</f>
        <v>200000</v>
      </c>
      <c r="L748" s="238">
        <f>(32*3500)+L744+L743-L747</f>
        <v>119350</v>
      </c>
      <c r="M748" s="206">
        <f>SUM(B748:L748)</f>
        <v>2175539.583</v>
      </c>
    </row>
    <row r="749">
      <c r="A749" s="126" t="s">
        <v>0</v>
      </c>
      <c r="B749" s="127" t="s">
        <v>90</v>
      </c>
      <c r="C749" s="127" t="s">
        <v>3</v>
      </c>
      <c r="D749" s="183" t="s">
        <v>155</v>
      </c>
      <c r="E749" s="183" t="s">
        <v>195</v>
      </c>
      <c r="F749" s="183" t="s">
        <v>476</v>
      </c>
      <c r="G749" s="129" t="s">
        <v>51</v>
      </c>
      <c r="H749" s="129" t="s">
        <v>372</v>
      </c>
      <c r="I749" s="129" t="s">
        <v>477</v>
      </c>
      <c r="J749" s="129" t="s">
        <v>515</v>
      </c>
      <c r="K749" s="129" t="s">
        <v>10</v>
      </c>
      <c r="L749" s="129" t="s">
        <v>539</v>
      </c>
      <c r="M749" s="128" t="s">
        <v>110</v>
      </c>
    </row>
    <row r="750">
      <c r="A750" s="314"/>
      <c r="B750" s="315" t="s">
        <v>320</v>
      </c>
      <c r="C750" s="125" t="s">
        <v>320</v>
      </c>
      <c r="D750" s="125" t="s">
        <v>320</v>
      </c>
      <c r="E750" s="125" t="s">
        <v>320</v>
      </c>
      <c r="F750" s="125"/>
      <c r="G750" s="125" t="s">
        <v>320</v>
      </c>
      <c r="H750" s="125" t="s">
        <v>320</v>
      </c>
      <c r="I750" s="125" t="s">
        <v>320</v>
      </c>
      <c r="J750" s="125" t="s">
        <v>320</v>
      </c>
      <c r="K750" s="122"/>
      <c r="L750" s="122"/>
      <c r="M750" s="122"/>
      <c r="N750" s="122"/>
    </row>
    <row r="751">
      <c r="A751" s="314"/>
      <c r="B751" s="125" t="s">
        <v>554</v>
      </c>
      <c r="C751" s="125" t="s">
        <v>554</v>
      </c>
      <c r="D751" s="125" t="s">
        <v>554</v>
      </c>
      <c r="E751" s="125" t="s">
        <v>554</v>
      </c>
      <c r="F751" s="125"/>
      <c r="G751" s="125" t="s">
        <v>554</v>
      </c>
      <c r="H751" s="125" t="s">
        <v>554</v>
      </c>
      <c r="I751" s="125" t="s">
        <v>554</v>
      </c>
      <c r="J751" s="125" t="s">
        <v>554</v>
      </c>
      <c r="K751" s="122"/>
      <c r="L751" s="125" t="s">
        <v>562</v>
      </c>
      <c r="M751" s="122"/>
      <c r="N751" s="122"/>
    </row>
    <row r="752">
      <c r="A752" s="312"/>
      <c r="B752" s="125"/>
      <c r="C752" s="125"/>
      <c r="D752" s="125"/>
      <c r="E752" s="125"/>
      <c r="F752" s="313"/>
      <c r="G752" s="125"/>
      <c r="H752" s="313"/>
      <c r="I752" s="125"/>
      <c r="J752" s="313"/>
      <c r="K752" s="313"/>
      <c r="L752" s="125">
        <v>140000.0</v>
      </c>
      <c r="M752" s="313"/>
      <c r="N752" s="313"/>
    </row>
    <row r="753">
      <c r="A753" s="195" t="s">
        <v>563</v>
      </c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7"/>
    </row>
    <row r="754">
      <c r="A754" s="198" t="s">
        <v>40</v>
      </c>
      <c r="B754" s="221"/>
      <c r="C754" s="221"/>
      <c r="D754" s="221" t="s">
        <v>43</v>
      </c>
      <c r="E754" s="221"/>
      <c r="F754" s="221"/>
      <c r="G754" s="221">
        <f>3*G717</f>
        <v>12500</v>
      </c>
      <c r="H754" s="221">
        <f>H743+(6*H717)</f>
        <v>36000</v>
      </c>
      <c r="I754" s="221">
        <f>(10*I717)</f>
        <v>35416.66667</v>
      </c>
      <c r="J754" s="221"/>
      <c r="K754" s="251"/>
      <c r="L754" s="293">
        <v>3500.0</v>
      </c>
      <c r="M754" s="251"/>
    </row>
    <row r="755">
      <c r="A755" s="200" t="s">
        <v>501</v>
      </c>
      <c r="B755" s="221"/>
      <c r="C755" s="221"/>
      <c r="D755" s="255" t="s">
        <v>43</v>
      </c>
      <c r="E755" s="222"/>
      <c r="F755" s="221"/>
      <c r="G755" s="221"/>
      <c r="H755" s="221">
        <f>H744</f>
        <v>8437.5</v>
      </c>
      <c r="I755" s="221"/>
      <c r="J755" s="211"/>
      <c r="K755" s="252"/>
      <c r="L755" s="252">
        <f>(L754*9)*30%</f>
        <v>9450</v>
      </c>
      <c r="M755" s="252"/>
    </row>
    <row r="756">
      <c r="A756" s="200" t="s">
        <v>288</v>
      </c>
      <c r="B756" s="255"/>
      <c r="C756" s="255"/>
      <c r="D756" s="255"/>
      <c r="E756" s="256"/>
      <c r="F756" s="255"/>
      <c r="G756" s="319"/>
      <c r="H756" s="255"/>
      <c r="I756" s="255"/>
      <c r="J756" s="255"/>
      <c r="K756" s="255"/>
      <c r="L756" s="257"/>
      <c r="M756" s="257"/>
    </row>
    <row r="757">
      <c r="A757" s="200"/>
      <c r="B757" s="255"/>
      <c r="C757" s="255"/>
      <c r="D757" s="255"/>
      <c r="E757" s="256"/>
      <c r="F757" s="255"/>
      <c r="G757" s="319"/>
      <c r="H757" s="255"/>
      <c r="I757" s="255"/>
      <c r="J757" s="255"/>
      <c r="K757" s="255"/>
      <c r="L757" s="257"/>
      <c r="M757" s="257"/>
    </row>
    <row r="758">
      <c r="A758" s="200" t="s">
        <v>453</v>
      </c>
      <c r="B758" s="255"/>
      <c r="C758" s="255"/>
      <c r="D758" s="255"/>
      <c r="E758" s="255"/>
      <c r="F758" s="255"/>
      <c r="G758" s="255"/>
      <c r="H758" s="255"/>
      <c r="I758" s="255">
        <v>6300.0</v>
      </c>
      <c r="J758" s="255"/>
      <c r="K758" s="255"/>
      <c r="L758" s="255"/>
      <c r="M758" s="257"/>
    </row>
    <row r="759">
      <c r="A759" s="205" t="s">
        <v>118</v>
      </c>
      <c r="B759" s="226">
        <f>B714</f>
        <v>300000</v>
      </c>
      <c r="C759" s="226">
        <f>C715</f>
        <v>300000</v>
      </c>
      <c r="D759" s="226">
        <f>D713</f>
        <v>185000</v>
      </c>
      <c r="E759" s="226">
        <v>270000.0</v>
      </c>
      <c r="F759" s="226">
        <f>F747+F755+F754-F758</f>
        <v>0</v>
      </c>
      <c r="G759" s="226">
        <f>G713</f>
        <v>200000</v>
      </c>
      <c r="H759" s="226">
        <f>H714+H755+H754</f>
        <v>194437.5</v>
      </c>
      <c r="I759" s="226">
        <f>I714+I754-I758</f>
        <v>199116.6667</v>
      </c>
      <c r="J759" s="226">
        <f>200000+J757+J754-J756</f>
        <v>200000</v>
      </c>
      <c r="K759" s="226">
        <v>200000.0</v>
      </c>
      <c r="L759" s="238">
        <f>(32*3500)+L755+L754-L758</f>
        <v>124950</v>
      </c>
      <c r="M759" s="206">
        <f>SUM(B759:L759)</f>
        <v>2173504.167</v>
      </c>
    </row>
    <row r="760">
      <c r="A760" s="126" t="s">
        <v>0</v>
      </c>
      <c r="B760" s="127" t="s">
        <v>90</v>
      </c>
      <c r="C760" s="127" t="s">
        <v>3</v>
      </c>
      <c r="D760" s="183" t="s">
        <v>155</v>
      </c>
      <c r="E760" s="183" t="s">
        <v>195</v>
      </c>
      <c r="F760" s="183"/>
      <c r="G760" s="129" t="s">
        <v>51</v>
      </c>
      <c r="H760" s="129" t="s">
        <v>372</v>
      </c>
      <c r="I760" s="129" t="s">
        <v>477</v>
      </c>
      <c r="J760" s="129" t="s">
        <v>515</v>
      </c>
      <c r="K760" s="129" t="s">
        <v>10</v>
      </c>
      <c r="L760" s="129" t="s">
        <v>539</v>
      </c>
      <c r="M760" s="128" t="s">
        <v>110</v>
      </c>
    </row>
    <row r="761">
      <c r="A761" s="314"/>
      <c r="B761" s="315" t="s">
        <v>320</v>
      </c>
      <c r="C761" s="125" t="s">
        <v>320</v>
      </c>
      <c r="D761" s="125" t="s">
        <v>320</v>
      </c>
      <c r="E761" s="125" t="s">
        <v>554</v>
      </c>
      <c r="F761" s="125"/>
      <c r="G761" s="125" t="s">
        <v>320</v>
      </c>
      <c r="H761" s="125" t="s">
        <v>320</v>
      </c>
      <c r="I761" s="125" t="s">
        <v>320</v>
      </c>
      <c r="J761" s="125" t="s">
        <v>320</v>
      </c>
      <c r="K761" s="125" t="s">
        <v>554</v>
      </c>
      <c r="L761" s="125" t="s">
        <v>320</v>
      </c>
      <c r="M761" s="122"/>
      <c r="N761" s="122"/>
    </row>
    <row r="762">
      <c r="A762" s="312"/>
      <c r="B762" s="125"/>
      <c r="C762" s="125"/>
      <c r="D762" s="125"/>
      <c r="E762" s="125"/>
      <c r="F762" s="313"/>
      <c r="G762" s="125"/>
      <c r="H762" s="313"/>
      <c r="I762" s="125"/>
      <c r="J762" s="125"/>
      <c r="K762" s="125"/>
      <c r="L762" s="313"/>
      <c r="M762" s="313"/>
      <c r="N762" s="313"/>
    </row>
    <row r="763">
      <c r="A763" s="195" t="s">
        <v>564</v>
      </c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7"/>
    </row>
    <row r="764">
      <c r="A764" s="198" t="s">
        <v>40</v>
      </c>
      <c r="B764" s="221"/>
      <c r="C764" s="221"/>
      <c r="D764" s="221">
        <f t="shared" ref="D764:D765" si="208">D743</f>
        <v>3854.166667</v>
      </c>
      <c r="E764" s="221"/>
      <c r="F764" s="221"/>
      <c r="G764" s="221"/>
      <c r="H764" s="221">
        <f>H743</f>
        <v>17250</v>
      </c>
      <c r="I764" s="221">
        <f>4*I717</f>
        <v>14166.66667</v>
      </c>
      <c r="J764" s="221"/>
      <c r="K764" s="251"/>
      <c r="L764" s="293">
        <v>3500.0</v>
      </c>
      <c r="M764" s="251"/>
    </row>
    <row r="765">
      <c r="A765" s="200" t="s">
        <v>501</v>
      </c>
      <c r="B765" s="221"/>
      <c r="C765" s="221"/>
      <c r="D765" s="255">
        <f t="shared" si="208"/>
        <v>10406.25</v>
      </c>
      <c r="E765" s="222"/>
      <c r="F765" s="221"/>
      <c r="G765" s="221"/>
      <c r="H765" s="221">
        <f>H755</f>
        <v>8437.5</v>
      </c>
      <c r="I765" s="221"/>
      <c r="J765" s="211"/>
      <c r="K765" s="252"/>
      <c r="L765" s="252">
        <f>(L764*9)*30%</f>
        <v>9450</v>
      </c>
      <c r="M765" s="252"/>
    </row>
    <row r="766">
      <c r="A766" s="200" t="s">
        <v>288</v>
      </c>
      <c r="B766" s="255"/>
      <c r="C766" s="255"/>
      <c r="D766" s="255"/>
      <c r="E766" s="256"/>
      <c r="F766" s="255"/>
      <c r="G766" s="319"/>
      <c r="H766" s="255"/>
      <c r="I766" s="255"/>
      <c r="J766" s="255"/>
      <c r="K766" s="255"/>
      <c r="L766" s="257"/>
      <c r="M766" s="257"/>
    </row>
    <row r="767">
      <c r="A767" s="200"/>
      <c r="B767" s="255"/>
      <c r="C767" s="255"/>
      <c r="D767" s="255"/>
      <c r="E767" s="256"/>
      <c r="F767" s="255"/>
      <c r="G767" s="319"/>
      <c r="H767" s="255"/>
      <c r="I767" s="255"/>
      <c r="J767" s="255"/>
      <c r="K767" s="255"/>
      <c r="L767" s="257"/>
      <c r="M767" s="257"/>
    </row>
    <row r="768">
      <c r="A768" s="200" t="s">
        <v>453</v>
      </c>
      <c r="B768" s="255"/>
      <c r="C768" s="255"/>
      <c r="D768" s="255"/>
      <c r="E768" s="255"/>
      <c r="F768" s="255"/>
      <c r="G768" s="255"/>
      <c r="H768" s="255"/>
      <c r="I768" s="255"/>
      <c r="J768" s="255"/>
      <c r="K768" s="255"/>
      <c r="L768" s="255"/>
      <c r="M768" s="257"/>
    </row>
    <row r="769">
      <c r="A769" s="205" t="s">
        <v>118</v>
      </c>
      <c r="B769" s="226">
        <f>B715</f>
        <v>300000</v>
      </c>
      <c r="C769" s="226">
        <f>C725</f>
        <v>300000</v>
      </c>
      <c r="D769" s="226">
        <f>D714+D765+D764</f>
        <v>199260.4167</v>
      </c>
      <c r="E769" s="226">
        <v>270000.0</v>
      </c>
      <c r="F769" s="226">
        <f>F757+F765+F764-F768</f>
        <v>0</v>
      </c>
      <c r="G769" s="226">
        <f>G715</f>
        <v>200000</v>
      </c>
      <c r="H769" s="226">
        <f>H715+H765+H764</f>
        <v>175687.5</v>
      </c>
      <c r="I769" s="226">
        <f>I714+I764</f>
        <v>184166.6667</v>
      </c>
      <c r="J769" s="226">
        <f>200000+J767+J764-J766</f>
        <v>200000</v>
      </c>
      <c r="K769" s="226">
        <v>200000.0</v>
      </c>
      <c r="L769" s="238">
        <f>(32*3500)+L765+L764-L768</f>
        <v>124950</v>
      </c>
      <c r="M769" s="206">
        <f>SUM(B769:L769)</f>
        <v>2154064.583</v>
      </c>
    </row>
    <row r="770">
      <c r="A770" s="126" t="s">
        <v>0</v>
      </c>
      <c r="B770" s="127" t="s">
        <v>90</v>
      </c>
      <c r="C770" s="127" t="s">
        <v>3</v>
      </c>
      <c r="D770" s="183" t="s">
        <v>155</v>
      </c>
      <c r="E770" s="183" t="s">
        <v>195</v>
      </c>
      <c r="F770" s="183"/>
      <c r="G770" s="129" t="s">
        <v>51</v>
      </c>
      <c r="H770" s="129" t="s">
        <v>372</v>
      </c>
      <c r="I770" s="129" t="s">
        <v>477</v>
      </c>
      <c r="J770" s="129" t="s">
        <v>515</v>
      </c>
      <c r="K770" s="129" t="s">
        <v>10</v>
      </c>
      <c r="L770" s="129" t="s">
        <v>539</v>
      </c>
      <c r="M770" s="128" t="s">
        <v>110</v>
      </c>
    </row>
    <row r="771">
      <c r="A771" s="314"/>
      <c r="B771" s="315"/>
      <c r="C771" s="125"/>
      <c r="D771" s="125"/>
      <c r="E771" s="125" t="s">
        <v>320</v>
      </c>
      <c r="F771" s="125"/>
      <c r="G771" s="125"/>
      <c r="H771" s="125"/>
      <c r="I771" s="125"/>
      <c r="J771" s="125"/>
      <c r="K771" s="125"/>
      <c r="L771" s="125"/>
      <c r="M771" s="122"/>
      <c r="N771" s="122"/>
    </row>
    <row r="772">
      <c r="A772" s="272"/>
      <c r="B772" s="280"/>
      <c r="C772" s="280"/>
      <c r="D772" s="280"/>
      <c r="E772" s="280" t="s">
        <v>554</v>
      </c>
      <c r="F772" s="280"/>
      <c r="G772" s="248"/>
      <c r="H772" s="248"/>
      <c r="I772" s="248"/>
      <c r="J772" s="248"/>
      <c r="K772" s="248"/>
      <c r="L772" s="248"/>
      <c r="M772" s="248"/>
      <c r="N772" s="247"/>
    </row>
    <row r="773">
      <c r="A773" s="195" t="s">
        <v>565</v>
      </c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7"/>
    </row>
    <row r="774">
      <c r="A774" s="198" t="s">
        <v>40</v>
      </c>
      <c r="B774" s="221"/>
      <c r="C774" s="221"/>
      <c r="D774" s="221">
        <f t="shared" ref="D774:D775" si="209">D764</f>
        <v>3854.166667</v>
      </c>
      <c r="E774" s="221"/>
      <c r="F774" s="221"/>
      <c r="G774" s="221"/>
      <c r="H774" s="221">
        <f>4500+ (1375*7)</f>
        <v>14125</v>
      </c>
      <c r="I774" s="221">
        <f>I717</f>
        <v>3541.666667</v>
      </c>
      <c r="J774" s="221"/>
      <c r="K774" s="251"/>
      <c r="L774" s="293"/>
      <c r="M774" s="251"/>
    </row>
    <row r="775">
      <c r="A775" s="200" t="s">
        <v>501</v>
      </c>
      <c r="B775" s="221"/>
      <c r="C775" s="221"/>
      <c r="D775" s="255">
        <f t="shared" si="209"/>
        <v>10406.25</v>
      </c>
      <c r="E775" s="222"/>
      <c r="F775" s="221"/>
      <c r="G775" s="221"/>
      <c r="H775" s="221" t="str">
        <f>H767</f>
        <v/>
      </c>
      <c r="I775" s="221">
        <f>(9*I717)*30%</f>
        <v>9562.5</v>
      </c>
      <c r="J775" s="211"/>
      <c r="K775" s="252"/>
      <c r="L775" s="252"/>
      <c r="M775" s="252"/>
    </row>
    <row r="776">
      <c r="A776" s="200" t="s">
        <v>288</v>
      </c>
      <c r="B776" s="255"/>
      <c r="C776" s="255"/>
      <c r="D776" s="255"/>
      <c r="E776" s="256"/>
      <c r="F776" s="255"/>
      <c r="G776" s="319"/>
      <c r="H776" s="255"/>
      <c r="I776" s="255"/>
      <c r="J776" s="255"/>
      <c r="K776" s="255"/>
      <c r="L776" s="257"/>
      <c r="M776" s="257"/>
    </row>
    <row r="777">
      <c r="A777" s="200"/>
      <c r="B777" s="255"/>
      <c r="C777" s="255"/>
      <c r="D777" s="255"/>
      <c r="E777" s="256"/>
      <c r="F777" s="255"/>
      <c r="G777" s="319"/>
      <c r="H777" s="255"/>
      <c r="I777" s="255"/>
      <c r="J777" s="255"/>
      <c r="K777" s="255"/>
      <c r="L777" s="257"/>
      <c r="M777" s="257"/>
    </row>
    <row r="778">
      <c r="A778" s="200" t="s">
        <v>453</v>
      </c>
      <c r="B778" s="255"/>
      <c r="C778" s="255"/>
      <c r="D778" s="255"/>
      <c r="E778" s="255"/>
      <c r="F778" s="255"/>
      <c r="G778" s="255"/>
      <c r="H778" s="255"/>
      <c r="I778" s="255"/>
      <c r="J778" s="255"/>
      <c r="K778" s="255"/>
      <c r="L778" s="255"/>
      <c r="M778" s="257"/>
    </row>
    <row r="779">
      <c r="A779" s="205" t="s">
        <v>118</v>
      </c>
      <c r="B779" s="226">
        <f t="shared" ref="B779:C779" si="210">B715</f>
        <v>300000</v>
      </c>
      <c r="C779" s="226">
        <f t="shared" si="210"/>
        <v>300000</v>
      </c>
      <c r="D779" s="226">
        <f>D713+D775+D774</f>
        <v>199260.4167</v>
      </c>
      <c r="E779" s="226">
        <v>270000.0</v>
      </c>
      <c r="F779" s="226">
        <f>F769+F775+F774-F778</f>
        <v>0</v>
      </c>
      <c r="G779" s="226">
        <f>G769</f>
        <v>200000</v>
      </c>
      <c r="H779" s="226">
        <f>H714+H774</f>
        <v>164125</v>
      </c>
      <c r="I779" s="226">
        <f>I715+I775+I774</f>
        <v>183104.1667</v>
      </c>
      <c r="J779" s="226">
        <f>200000+J777+J774-J776</f>
        <v>200000</v>
      </c>
      <c r="K779" s="226">
        <v>200000.0</v>
      </c>
      <c r="L779" s="226">
        <v>130000.0</v>
      </c>
      <c r="M779" s="206">
        <f>SUM(B779:L779)</f>
        <v>2146489.583</v>
      </c>
    </row>
    <row r="780">
      <c r="A780" s="126" t="s">
        <v>0</v>
      </c>
      <c r="B780" s="127" t="s">
        <v>90</v>
      </c>
      <c r="C780" s="127" t="s">
        <v>3</v>
      </c>
      <c r="D780" s="183" t="s">
        <v>155</v>
      </c>
      <c r="E780" s="183" t="s">
        <v>195</v>
      </c>
      <c r="F780" s="183"/>
      <c r="G780" s="129" t="s">
        <v>51</v>
      </c>
      <c r="H780" s="129" t="s">
        <v>372</v>
      </c>
      <c r="I780" s="129" t="s">
        <v>477</v>
      </c>
      <c r="J780" s="129" t="s">
        <v>515</v>
      </c>
      <c r="K780" s="129" t="s">
        <v>10</v>
      </c>
      <c r="L780" s="129" t="s">
        <v>539</v>
      </c>
      <c r="M780" s="128" t="s">
        <v>110</v>
      </c>
    </row>
    <row r="781">
      <c r="A781" s="314"/>
      <c r="B781" s="125" t="s">
        <v>320</v>
      </c>
      <c r="C781" s="125" t="s">
        <v>320</v>
      </c>
      <c r="D781" s="125" t="s">
        <v>320</v>
      </c>
      <c r="E781" s="125" t="s">
        <v>320</v>
      </c>
      <c r="F781" s="125"/>
      <c r="G781" s="125" t="s">
        <v>320</v>
      </c>
      <c r="H781" s="125" t="s">
        <v>320</v>
      </c>
      <c r="I781" s="125" t="s">
        <v>320</v>
      </c>
      <c r="J781" s="125" t="s">
        <v>320</v>
      </c>
      <c r="K781" s="125" t="s">
        <v>326</v>
      </c>
      <c r="L781" s="125" t="s">
        <v>320</v>
      </c>
      <c r="M781" s="122"/>
      <c r="N781" s="122"/>
    </row>
    <row r="782">
      <c r="A782" s="272"/>
      <c r="B782" s="280" t="s">
        <v>554</v>
      </c>
      <c r="C782" s="280" t="s">
        <v>554</v>
      </c>
      <c r="D782" s="280" t="s">
        <v>554</v>
      </c>
      <c r="E782" s="280" t="s">
        <v>554</v>
      </c>
      <c r="F782" s="280"/>
      <c r="G782" s="280" t="s">
        <v>554</v>
      </c>
      <c r="H782" s="280" t="s">
        <v>554</v>
      </c>
      <c r="I782" s="280" t="s">
        <v>554</v>
      </c>
      <c r="J782" s="248"/>
      <c r="K782" s="248"/>
      <c r="L782" s="248"/>
      <c r="M782" s="248"/>
      <c r="N782" s="247"/>
    </row>
    <row r="783">
      <c r="A783" s="272"/>
      <c r="B783" s="273"/>
      <c r="C783" s="273"/>
      <c r="D783" s="274"/>
      <c r="E783" s="274"/>
      <c r="F783" s="274"/>
      <c r="G783" s="247"/>
      <c r="H783" s="247"/>
      <c r="I783" s="247"/>
      <c r="J783" s="247"/>
      <c r="K783" s="272"/>
    </row>
    <row r="784">
      <c r="A784" s="307"/>
    </row>
    <row r="785">
      <c r="A785" s="126" t="s">
        <v>0</v>
      </c>
      <c r="B785" s="127" t="s">
        <v>90</v>
      </c>
      <c r="C785" s="127" t="s">
        <v>3</v>
      </c>
      <c r="D785" s="183" t="s">
        <v>155</v>
      </c>
      <c r="E785" s="183" t="s">
        <v>195</v>
      </c>
      <c r="F785" s="129" t="s">
        <v>51</v>
      </c>
      <c r="G785" s="129" t="s">
        <v>372</v>
      </c>
      <c r="H785" s="129" t="s">
        <v>477</v>
      </c>
      <c r="I785" s="129" t="s">
        <v>394</v>
      </c>
      <c r="J785" s="129" t="s">
        <v>10</v>
      </c>
      <c r="K785" s="129"/>
      <c r="L785" s="129"/>
      <c r="M785" s="129"/>
      <c r="N785" s="128" t="s">
        <v>110</v>
      </c>
    </row>
    <row r="786">
      <c r="A786" s="130" t="s">
        <v>94</v>
      </c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2"/>
    </row>
    <row r="787">
      <c r="A787" s="133" t="s">
        <v>111</v>
      </c>
      <c r="B787" s="134">
        <v>300000.0</v>
      </c>
      <c r="C787" s="134">
        <v>300000.0</v>
      </c>
      <c r="D787" s="134">
        <v>185000.0</v>
      </c>
      <c r="E787" s="134">
        <v>270000.0</v>
      </c>
      <c r="F787" s="134">
        <v>200000.0</v>
      </c>
      <c r="G787" s="134">
        <v>150000.0</v>
      </c>
      <c r="H787" s="134">
        <v>170000.0</v>
      </c>
      <c r="I787" s="134">
        <v>200000.0</v>
      </c>
      <c r="J787" s="134">
        <v>200000.0</v>
      </c>
      <c r="K787" s="134"/>
      <c r="L787" s="139">
        <f t="shared" ref="L787:L790" si="211">SUM(B787:J787)</f>
        <v>1975000</v>
      </c>
    </row>
    <row r="788">
      <c r="A788" s="137"/>
      <c r="B788" s="134">
        <v>300000.0</v>
      </c>
      <c r="C788" s="134">
        <v>300000.0</v>
      </c>
      <c r="D788" s="134">
        <v>185000.0</v>
      </c>
      <c r="E788" s="134">
        <v>270000.0</v>
      </c>
      <c r="F788" s="134">
        <v>200000.0</v>
      </c>
      <c r="G788" s="134">
        <v>150000.0</v>
      </c>
      <c r="H788" s="134">
        <v>170000.0</v>
      </c>
      <c r="I788" s="134">
        <v>200000.0</v>
      </c>
      <c r="J788" s="134">
        <v>200000.0</v>
      </c>
      <c r="K788" s="134"/>
      <c r="L788" s="139">
        <f t="shared" si="211"/>
        <v>1975000</v>
      </c>
      <c r="O788" s="91"/>
    </row>
    <row r="789">
      <c r="A789" s="137"/>
      <c r="B789" s="134">
        <v>300000.0</v>
      </c>
      <c r="C789" s="134">
        <v>300000.0</v>
      </c>
      <c r="D789" s="134">
        <v>185000.0</v>
      </c>
      <c r="E789" s="134">
        <v>270000.0</v>
      </c>
      <c r="F789" s="134">
        <v>200000.0</v>
      </c>
      <c r="G789" s="134">
        <v>150000.0</v>
      </c>
      <c r="H789" s="134">
        <v>170000.0</v>
      </c>
      <c r="I789" s="134">
        <v>200000.0</v>
      </c>
      <c r="J789" s="134">
        <v>200000.0</v>
      </c>
      <c r="K789" s="134"/>
      <c r="L789" s="139">
        <f t="shared" si="211"/>
        <v>1975000</v>
      </c>
    </row>
    <row r="790">
      <c r="A790" s="138"/>
      <c r="B790" s="134">
        <v>300000.0</v>
      </c>
      <c r="C790" s="134">
        <v>300000.0</v>
      </c>
      <c r="D790" s="134">
        <v>185000.0</v>
      </c>
      <c r="E790" s="134">
        <v>270000.0</v>
      </c>
      <c r="F790" s="134">
        <v>200000.0</v>
      </c>
      <c r="G790" s="134">
        <v>150000.0</v>
      </c>
      <c r="H790" s="134">
        <v>170000.0</v>
      </c>
      <c r="I790" s="134">
        <v>200000.0</v>
      </c>
      <c r="J790" s="134">
        <v>200000.0</v>
      </c>
      <c r="K790" s="134"/>
      <c r="L790" s="139">
        <f t="shared" si="211"/>
        <v>1975000</v>
      </c>
    </row>
    <row r="791">
      <c r="A791" s="140" t="s">
        <v>113</v>
      </c>
      <c r="B791" s="141">
        <f t="shared" ref="B791:J791" si="212">SUM(B787:B790)</f>
        <v>1200000</v>
      </c>
      <c r="C791" s="141">
        <f t="shared" si="212"/>
        <v>1200000</v>
      </c>
      <c r="D791" s="141">
        <f t="shared" si="212"/>
        <v>740000</v>
      </c>
      <c r="E791" s="141">
        <f t="shared" si="212"/>
        <v>1080000</v>
      </c>
      <c r="F791" s="141">
        <f t="shared" si="212"/>
        <v>800000</v>
      </c>
      <c r="G791" s="141">
        <f t="shared" si="212"/>
        <v>600000</v>
      </c>
      <c r="H791" s="141">
        <f t="shared" si="212"/>
        <v>680000</v>
      </c>
      <c r="I791" s="141">
        <f t="shared" si="212"/>
        <v>800000</v>
      </c>
      <c r="J791" s="141">
        <f t="shared" si="212"/>
        <v>800000</v>
      </c>
      <c r="K791" s="129"/>
      <c r="L791" s="141">
        <f>SUM(L787:L790)</f>
        <v>7900000</v>
      </c>
    </row>
    <row r="792">
      <c r="A792" s="157" t="s">
        <v>138</v>
      </c>
      <c r="B792" s="158">
        <f>B788/6/8</f>
        <v>6250</v>
      </c>
      <c r="C792" s="158">
        <f t="shared" ref="C792:D792" si="213">C787/8/6</f>
        <v>6250</v>
      </c>
      <c r="D792" s="158">
        <f t="shared" si="213"/>
        <v>3854.166667</v>
      </c>
      <c r="E792" s="158">
        <f t="shared" ref="E792:F792" si="214">E787/6/8</f>
        <v>5625</v>
      </c>
      <c r="F792" s="158">
        <f t="shared" si="214"/>
        <v>4166.666667</v>
      </c>
      <c r="G792" s="158">
        <f>G788/6/8</f>
        <v>3125</v>
      </c>
      <c r="H792" s="158">
        <f>H790/8/6</f>
        <v>3541.666667</v>
      </c>
      <c r="I792" s="159">
        <f>I787/6/8</f>
        <v>4166.666667</v>
      </c>
      <c r="J792" s="159">
        <f t="shared" ref="J792:K792" si="215">J790/6/8</f>
        <v>4166.666667</v>
      </c>
      <c r="K792" s="159">
        <f t="shared" si="215"/>
        <v>0</v>
      </c>
      <c r="L792" s="159"/>
      <c r="M792" s="122"/>
    </row>
    <row r="793">
      <c r="A793" s="272"/>
      <c r="B793" s="273"/>
      <c r="C793" s="273"/>
      <c r="D793" s="274"/>
      <c r="E793" s="274"/>
      <c r="F793" s="274"/>
      <c r="G793" s="247"/>
      <c r="H793" s="247"/>
      <c r="I793" s="247"/>
      <c r="J793" s="247"/>
      <c r="K793" s="247"/>
    </row>
    <row r="794">
      <c r="A794" s="195" t="s">
        <v>566</v>
      </c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7"/>
    </row>
    <row r="795">
      <c r="A795" s="198" t="s">
        <v>40</v>
      </c>
      <c r="B795" s="221"/>
      <c r="C795" s="221"/>
      <c r="D795" s="221">
        <f t="shared" ref="D795:D796" si="216">D774</f>
        <v>3854.166667</v>
      </c>
      <c r="E795" s="221"/>
      <c r="F795" s="221"/>
      <c r="G795" s="221">
        <f>3*G792+H774</f>
        <v>23500</v>
      </c>
      <c r="H795" s="221">
        <f>H792*5</f>
        <v>17708.33333</v>
      </c>
      <c r="I795" s="221"/>
      <c r="J795" s="251"/>
      <c r="K795" s="293"/>
      <c r="L795" s="251"/>
    </row>
    <row r="796">
      <c r="A796" s="200" t="s">
        <v>501</v>
      </c>
      <c r="B796" s="221"/>
      <c r="C796" s="221"/>
      <c r="D796" s="255">
        <f t="shared" si="216"/>
        <v>10406.25</v>
      </c>
      <c r="E796" s="222"/>
      <c r="F796" s="221"/>
      <c r="G796" s="221">
        <f>H765</f>
        <v>8437.5</v>
      </c>
      <c r="H796" s="221">
        <f>I775</f>
        <v>9562.5</v>
      </c>
      <c r="I796" s="211"/>
      <c r="J796" s="252"/>
      <c r="K796" s="252"/>
      <c r="L796" s="252"/>
    </row>
    <row r="797">
      <c r="A797" s="200" t="s">
        <v>288</v>
      </c>
      <c r="B797" s="255"/>
      <c r="C797" s="255"/>
      <c r="D797" s="255"/>
      <c r="E797" s="256"/>
      <c r="F797" s="319"/>
      <c r="G797" s="255"/>
      <c r="H797" s="255"/>
      <c r="I797" s="255"/>
      <c r="J797" s="255"/>
      <c r="K797" s="257"/>
      <c r="L797" s="257"/>
    </row>
    <row r="798">
      <c r="A798" s="200" t="s">
        <v>292</v>
      </c>
      <c r="B798" s="255"/>
      <c r="C798" s="255"/>
      <c r="D798" s="255"/>
      <c r="E798" s="256">
        <v>270000.0</v>
      </c>
      <c r="F798" s="319"/>
      <c r="G798" s="255"/>
      <c r="H798" s="255"/>
      <c r="I798" s="255"/>
      <c r="J798" s="255"/>
      <c r="K798" s="257"/>
      <c r="L798" s="257"/>
    </row>
    <row r="799">
      <c r="A799" s="200" t="s">
        <v>453</v>
      </c>
      <c r="B799" s="255"/>
      <c r="C799" s="255"/>
      <c r="D799" s="255"/>
      <c r="E799" s="255"/>
      <c r="F799" s="255"/>
      <c r="G799" s="255"/>
      <c r="H799" s="255"/>
      <c r="I799" s="255"/>
      <c r="J799" s="255" t="s">
        <v>567</v>
      </c>
      <c r="K799" s="257"/>
      <c r="L799" s="257"/>
    </row>
    <row r="800">
      <c r="A800" s="205" t="s">
        <v>118</v>
      </c>
      <c r="B800" s="226">
        <f>B789+B795</f>
        <v>300000</v>
      </c>
      <c r="C800" s="226">
        <f>C789+C795+C798</f>
        <v>300000</v>
      </c>
      <c r="D800" s="226">
        <f>D787+D796+D795</f>
        <v>199260.4167</v>
      </c>
      <c r="E800" s="226">
        <f>E787+E798</f>
        <v>540000</v>
      </c>
      <c r="F800" s="325">
        <f>F790+F798+F795</f>
        <v>200000</v>
      </c>
      <c r="G800" s="226">
        <f>G790+G795+G796</f>
        <v>181937.5</v>
      </c>
      <c r="H800" s="226">
        <f>H789+H796+H795</f>
        <v>197270.8333</v>
      </c>
      <c r="I800" s="226">
        <f>200000+I798+I795-I797</f>
        <v>200000</v>
      </c>
      <c r="J800" s="226">
        <f>J790</f>
        <v>200000</v>
      </c>
      <c r="K800" s="226"/>
      <c r="L800" s="206">
        <f>SUM(B800:K800)</f>
        <v>2318468.75</v>
      </c>
    </row>
    <row r="801">
      <c r="A801" s="126" t="s">
        <v>0</v>
      </c>
      <c r="B801" s="127" t="s">
        <v>90</v>
      </c>
      <c r="C801" s="127" t="s">
        <v>3</v>
      </c>
      <c r="D801" s="183" t="s">
        <v>155</v>
      </c>
      <c r="E801" s="183" t="s">
        <v>195</v>
      </c>
      <c r="F801" s="129" t="s">
        <v>51</v>
      </c>
      <c r="G801" s="129" t="s">
        <v>372</v>
      </c>
      <c r="H801" s="129" t="s">
        <v>477</v>
      </c>
      <c r="I801" s="129" t="s">
        <v>515</v>
      </c>
      <c r="J801" s="129" t="s">
        <v>10</v>
      </c>
      <c r="K801" s="129"/>
      <c r="L801" s="128" t="s">
        <v>110</v>
      </c>
    </row>
    <row r="802">
      <c r="A802" s="272"/>
      <c r="B802" s="278" t="s">
        <v>320</v>
      </c>
      <c r="C802" s="278" t="s">
        <v>320</v>
      </c>
      <c r="D802" s="278" t="s">
        <v>320</v>
      </c>
      <c r="E802" s="281" t="s">
        <v>568</v>
      </c>
      <c r="F802" s="278" t="s">
        <v>320</v>
      </c>
      <c r="G802" s="278" t="s">
        <v>320</v>
      </c>
      <c r="H802" s="278" t="s">
        <v>320</v>
      </c>
      <c r="I802" s="278" t="s">
        <v>320</v>
      </c>
      <c r="J802" s="278" t="s">
        <v>324</v>
      </c>
      <c r="K802" s="279"/>
      <c r="L802" s="278"/>
      <c r="M802" s="278"/>
    </row>
    <row r="803">
      <c r="A803" s="272"/>
      <c r="B803" s="273"/>
      <c r="C803" s="273"/>
      <c r="D803" s="274"/>
      <c r="E803" s="354" t="s">
        <v>569</v>
      </c>
      <c r="F803" s="274"/>
      <c r="G803" s="247"/>
      <c r="H803" s="247"/>
      <c r="I803" s="247"/>
      <c r="J803" s="279"/>
      <c r="K803" s="272"/>
    </row>
    <row r="804">
      <c r="A804" s="272"/>
      <c r="B804" s="273"/>
      <c r="C804" s="273"/>
      <c r="D804" s="274"/>
      <c r="E804" s="274"/>
      <c r="F804" s="274"/>
      <c r="G804" s="247"/>
      <c r="H804" s="247"/>
      <c r="I804" s="247"/>
      <c r="J804" s="247"/>
      <c r="K804" s="272"/>
    </row>
    <row r="805">
      <c r="A805" s="195" t="s">
        <v>570</v>
      </c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7"/>
    </row>
    <row r="806">
      <c r="A806" s="198" t="s">
        <v>40</v>
      </c>
      <c r="B806" s="221">
        <v>30000.0</v>
      </c>
      <c r="C806" s="221">
        <v>40000.0</v>
      </c>
      <c r="D806" s="221">
        <f t="shared" ref="D806:D807" si="217">D795</f>
        <v>3854.166667</v>
      </c>
      <c r="E806" s="221"/>
      <c r="F806" s="221"/>
      <c r="G806" s="221">
        <f>4*G792+4500+(1375*7)</f>
        <v>26625</v>
      </c>
      <c r="H806" s="221">
        <f>3*H792</f>
        <v>10625</v>
      </c>
      <c r="I806" s="221">
        <v>30000.0</v>
      </c>
      <c r="J806" s="251">
        <f>J792</f>
        <v>4166.666667</v>
      </c>
      <c r="K806" s="293"/>
      <c r="L806" s="251"/>
    </row>
    <row r="807">
      <c r="A807" s="200" t="s">
        <v>501</v>
      </c>
      <c r="B807" s="221"/>
      <c r="C807" s="221"/>
      <c r="D807" s="255">
        <f t="shared" si="217"/>
        <v>10406.25</v>
      </c>
      <c r="E807" s="222"/>
      <c r="F807" s="221"/>
      <c r="G807" s="221" t="str">
        <f>H776</f>
        <v/>
      </c>
      <c r="H807" s="221">
        <f>H796</f>
        <v>9562.5</v>
      </c>
      <c r="I807" s="211"/>
      <c r="J807" s="252">
        <f>(8*J792)*30%</f>
        <v>10000</v>
      </c>
      <c r="K807" s="252"/>
      <c r="L807" s="252"/>
    </row>
    <row r="808">
      <c r="A808" s="200" t="s">
        <v>288</v>
      </c>
      <c r="B808" s="255"/>
      <c r="C808" s="255"/>
      <c r="D808" s="255"/>
      <c r="E808" s="256"/>
      <c r="F808" s="319"/>
      <c r="G808" s="255"/>
      <c r="H808" s="255"/>
      <c r="I808" s="255"/>
      <c r="J808" s="255"/>
      <c r="K808" s="257"/>
      <c r="L808" s="257"/>
    </row>
    <row r="809">
      <c r="A809" s="200"/>
      <c r="B809" s="255"/>
      <c r="C809" s="255"/>
      <c r="D809" s="255"/>
      <c r="E809" s="256"/>
      <c r="F809" s="319"/>
      <c r="G809" s="255"/>
      <c r="H809" s="255"/>
      <c r="I809" s="255"/>
      <c r="J809" s="255"/>
      <c r="K809" s="257"/>
      <c r="L809" s="257"/>
    </row>
    <row r="810">
      <c r="A810" s="200" t="s">
        <v>453</v>
      </c>
      <c r="B810" s="255"/>
      <c r="C810" s="255"/>
      <c r="D810" s="255">
        <v>9460.0</v>
      </c>
      <c r="E810" s="255"/>
      <c r="F810" s="255"/>
      <c r="G810" s="255"/>
      <c r="H810" s="255">
        <f>5810+3920</f>
        <v>9730</v>
      </c>
      <c r="I810" s="255"/>
      <c r="J810" s="255"/>
      <c r="K810" s="257"/>
      <c r="L810" s="257"/>
    </row>
    <row r="811">
      <c r="A811" s="205" t="s">
        <v>118</v>
      </c>
      <c r="B811" s="226">
        <f>B800+B806</f>
        <v>330000</v>
      </c>
      <c r="C811" s="226">
        <f>C800+C806+C809</f>
        <v>340000</v>
      </c>
      <c r="D811" s="226">
        <f>D788+D807+D806-D810</f>
        <v>189800.4167</v>
      </c>
      <c r="E811" s="226">
        <v>270000.0</v>
      </c>
      <c r="F811" s="226">
        <f>F790</f>
        <v>200000</v>
      </c>
      <c r="G811" s="226">
        <f>G790+G806</f>
        <v>176625</v>
      </c>
      <c r="H811" s="226">
        <f>H790+H807-H810+H806</f>
        <v>180457.5</v>
      </c>
      <c r="I811" s="226">
        <f>200000+I809+I806-I808</f>
        <v>230000</v>
      </c>
      <c r="J811" s="238">
        <f>J789-J808+J807+J806</f>
        <v>214166.6667</v>
      </c>
      <c r="K811" s="226"/>
      <c r="L811" s="206">
        <f>SUM(B811:K811)</f>
        <v>2131049.583</v>
      </c>
    </row>
    <row r="812">
      <c r="A812" s="126" t="s">
        <v>0</v>
      </c>
      <c r="B812" s="127" t="s">
        <v>90</v>
      </c>
      <c r="C812" s="127" t="s">
        <v>3</v>
      </c>
      <c r="D812" s="183" t="s">
        <v>155</v>
      </c>
      <c r="E812" s="183" t="s">
        <v>195</v>
      </c>
      <c r="F812" s="129" t="s">
        <v>51</v>
      </c>
      <c r="G812" s="129" t="s">
        <v>372</v>
      </c>
      <c r="H812" s="129" t="s">
        <v>477</v>
      </c>
      <c r="I812" s="129" t="s">
        <v>515</v>
      </c>
      <c r="J812" s="129" t="s">
        <v>10</v>
      </c>
      <c r="K812" s="129"/>
      <c r="L812" s="128" t="s">
        <v>110</v>
      </c>
    </row>
    <row r="813">
      <c r="A813" s="272"/>
      <c r="B813" s="278" t="s">
        <v>320</v>
      </c>
      <c r="C813" s="278" t="s">
        <v>320</v>
      </c>
      <c r="D813" s="278" t="s">
        <v>320</v>
      </c>
      <c r="E813" s="281" t="s">
        <v>568</v>
      </c>
      <c r="F813" s="278" t="s">
        <v>320</v>
      </c>
      <c r="G813" s="278" t="s">
        <v>320</v>
      </c>
      <c r="H813" s="278" t="s">
        <v>320</v>
      </c>
      <c r="I813" s="278" t="s">
        <v>320</v>
      </c>
      <c r="J813" s="278" t="s">
        <v>324</v>
      </c>
      <c r="K813" s="279"/>
      <c r="L813" s="278"/>
      <c r="M813" s="278"/>
    </row>
    <row r="814">
      <c r="A814" s="307"/>
    </row>
    <row r="815">
      <c r="A815" s="195" t="s">
        <v>571</v>
      </c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7"/>
    </row>
    <row r="816">
      <c r="A816" s="198" t="s">
        <v>40</v>
      </c>
      <c r="B816" s="221"/>
      <c r="C816" s="221"/>
      <c r="D816" s="221">
        <f t="shared" ref="D816:D817" si="218">D806</f>
        <v>3854.166667</v>
      </c>
      <c r="E816" s="221"/>
      <c r="F816" s="221">
        <f>2*F792</f>
        <v>8333.333333</v>
      </c>
      <c r="G816" s="221">
        <f>5*G792+4500+1375*7</f>
        <v>29750</v>
      </c>
      <c r="H816" s="221">
        <f>5*H792</f>
        <v>17708.33333</v>
      </c>
      <c r="I816" s="221"/>
      <c r="J816" s="251"/>
      <c r="K816" s="293"/>
      <c r="L816" s="251"/>
    </row>
    <row r="817">
      <c r="A817" s="200" t="s">
        <v>501</v>
      </c>
      <c r="B817" s="221"/>
      <c r="C817" s="221"/>
      <c r="D817" s="255">
        <f t="shared" si="218"/>
        <v>10406.25</v>
      </c>
      <c r="E817" s="222"/>
      <c r="F817" s="221"/>
      <c r="G817" s="221">
        <f>(9*G792)*30%</f>
        <v>8437.5</v>
      </c>
      <c r="H817" s="221">
        <f>H807</f>
        <v>9562.5</v>
      </c>
      <c r="I817" s="211"/>
      <c r="J817" s="252"/>
      <c r="K817" s="252"/>
      <c r="L817" s="252"/>
    </row>
    <row r="818">
      <c r="A818" s="200" t="s">
        <v>288</v>
      </c>
      <c r="B818" s="255"/>
      <c r="C818" s="255"/>
      <c r="D818" s="255"/>
      <c r="E818" s="256"/>
      <c r="F818" s="319"/>
      <c r="G818" s="255">
        <v>30000.0</v>
      </c>
      <c r="H818" s="255"/>
      <c r="I818" s="255"/>
      <c r="J818" s="255"/>
      <c r="K818" s="257"/>
      <c r="L818" s="257"/>
    </row>
    <row r="819">
      <c r="A819" s="200" t="s">
        <v>119</v>
      </c>
      <c r="B819" s="255"/>
      <c r="C819" s="255"/>
      <c r="D819" s="255"/>
      <c r="E819" s="256">
        <v>270000.0</v>
      </c>
      <c r="F819" s="319"/>
      <c r="G819" s="255"/>
      <c r="H819" s="255"/>
      <c r="I819" s="255"/>
      <c r="J819" s="255"/>
      <c r="K819" s="257"/>
      <c r="L819" s="257"/>
    </row>
    <row r="820">
      <c r="A820" s="200" t="s">
        <v>453</v>
      </c>
      <c r="B820" s="255"/>
      <c r="C820" s="255"/>
      <c r="D820" s="255"/>
      <c r="E820" s="255"/>
      <c r="F820" s="255"/>
      <c r="G820" s="255">
        <v>2940.0</v>
      </c>
      <c r="H820" s="255">
        <v>2450.0</v>
      </c>
      <c r="I820" s="255"/>
      <c r="J820" s="255"/>
      <c r="K820" s="257"/>
      <c r="L820" s="257"/>
    </row>
    <row r="821">
      <c r="A821" s="205" t="s">
        <v>118</v>
      </c>
      <c r="B821" s="226">
        <f>B790</f>
        <v>300000</v>
      </c>
      <c r="C821" s="226">
        <f>C800</f>
        <v>300000</v>
      </c>
      <c r="D821" s="226">
        <f>D790+D817+D816-D820</f>
        <v>199260.4167</v>
      </c>
      <c r="E821" s="226">
        <f>270000+E819</f>
        <v>540000</v>
      </c>
      <c r="F821" s="325">
        <f>F800+F816</f>
        <v>208333.3333</v>
      </c>
      <c r="G821" s="226">
        <f>G790+G817+G816-G820-G818</f>
        <v>155247.5</v>
      </c>
      <c r="H821" s="226">
        <f>H790+H817-H820+H816</f>
        <v>194820.8333</v>
      </c>
      <c r="I821" s="226">
        <f>200000+I819+I816-I818</f>
        <v>200000</v>
      </c>
      <c r="J821" s="226">
        <f>J800</f>
        <v>200000</v>
      </c>
      <c r="K821" s="226"/>
      <c r="L821" s="206">
        <f>SUM(B821:K821)</f>
        <v>2297662.083</v>
      </c>
    </row>
    <row r="822">
      <c r="A822" s="126" t="s">
        <v>0</v>
      </c>
      <c r="B822" s="127" t="s">
        <v>90</v>
      </c>
      <c r="C822" s="127" t="s">
        <v>3</v>
      </c>
      <c r="D822" s="183" t="s">
        <v>155</v>
      </c>
      <c r="E822" s="183" t="s">
        <v>195</v>
      </c>
      <c r="F822" s="129" t="s">
        <v>51</v>
      </c>
      <c r="G822" s="129" t="s">
        <v>372</v>
      </c>
      <c r="H822" s="129" t="s">
        <v>477</v>
      </c>
      <c r="I822" s="129" t="s">
        <v>515</v>
      </c>
      <c r="J822" s="129" t="s">
        <v>10</v>
      </c>
      <c r="K822" s="129"/>
      <c r="L822" s="128" t="s">
        <v>110</v>
      </c>
    </row>
    <row r="823">
      <c r="A823" s="272"/>
      <c r="B823" s="273"/>
      <c r="C823" s="273"/>
      <c r="D823" s="274"/>
      <c r="E823" s="275" t="s">
        <v>554</v>
      </c>
      <c r="F823" s="274"/>
      <c r="G823" s="247"/>
      <c r="H823" s="247"/>
      <c r="I823" s="247"/>
      <c r="J823" s="247"/>
      <c r="K823" s="272"/>
    </row>
    <row r="824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  <c r="M824" s="307"/>
      <c r="N824" s="307"/>
      <c r="O824" s="307"/>
      <c r="P824" s="307"/>
      <c r="Q824" s="307"/>
    </row>
    <row r="825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  <c r="M825" s="307"/>
      <c r="N825" s="307"/>
      <c r="O825" s="307"/>
      <c r="P825" s="307"/>
      <c r="Q825" s="307"/>
    </row>
    <row r="826">
      <c r="A826" s="355" t="s">
        <v>0</v>
      </c>
      <c r="B826" s="356" t="s">
        <v>90</v>
      </c>
      <c r="C826" s="356" t="s">
        <v>3</v>
      </c>
      <c r="D826" s="356" t="s">
        <v>155</v>
      </c>
      <c r="E826" s="356" t="s">
        <v>195</v>
      </c>
      <c r="F826" s="357" t="s">
        <v>51</v>
      </c>
      <c r="G826" s="357" t="s">
        <v>372</v>
      </c>
      <c r="H826" s="357" t="s">
        <v>477</v>
      </c>
      <c r="I826" s="357" t="s">
        <v>394</v>
      </c>
      <c r="J826" s="357" t="s">
        <v>10</v>
      </c>
      <c r="K826" s="358" t="s">
        <v>572</v>
      </c>
      <c r="L826" s="359"/>
      <c r="M826" s="359"/>
      <c r="N826" s="357" t="s">
        <v>110</v>
      </c>
      <c r="O826" s="313"/>
      <c r="P826" s="313"/>
      <c r="Q826" s="313"/>
    </row>
    <row r="827">
      <c r="A827" s="360" t="s">
        <v>94</v>
      </c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2"/>
    </row>
    <row r="828">
      <c r="A828" s="361" t="s">
        <v>111</v>
      </c>
      <c r="B828" s="362">
        <v>300000.0</v>
      </c>
      <c r="C828" s="362">
        <v>300000.0</v>
      </c>
      <c r="D828" s="362">
        <v>185000.0</v>
      </c>
      <c r="E828" s="362">
        <v>270000.0</v>
      </c>
      <c r="F828" s="362">
        <v>200000.0</v>
      </c>
      <c r="G828" s="362">
        <v>150000.0</v>
      </c>
      <c r="H828" s="362">
        <v>170000.0</v>
      </c>
      <c r="I828" s="362">
        <v>200000.0</v>
      </c>
      <c r="J828" s="362">
        <v>200000.0</v>
      </c>
      <c r="K828" s="363">
        <v>50000.0</v>
      </c>
      <c r="L828" s="364">
        <f>SUM(B828:K828)</f>
        <v>2025000</v>
      </c>
      <c r="M828" s="313"/>
      <c r="N828" s="313"/>
      <c r="O828" s="313"/>
      <c r="P828" s="313"/>
      <c r="Q828" s="313"/>
    </row>
    <row r="829">
      <c r="A829" s="365"/>
      <c r="B829" s="362">
        <v>300000.0</v>
      </c>
      <c r="C829" s="362">
        <v>300000.0</v>
      </c>
      <c r="D829" s="362">
        <v>185000.0</v>
      </c>
      <c r="E829" s="362">
        <v>270000.0</v>
      </c>
      <c r="F829" s="362">
        <v>200000.0</v>
      </c>
      <c r="G829" s="362">
        <v>150000.0</v>
      </c>
      <c r="H829" s="362">
        <v>170000.0</v>
      </c>
      <c r="I829" s="362">
        <v>200000.0</v>
      </c>
      <c r="J829" s="362">
        <v>200000.0</v>
      </c>
      <c r="K829" s="363">
        <v>50000.0</v>
      </c>
      <c r="L829" s="364">
        <f t="shared" ref="L829:L831" si="219">SUM(B829:J829)</f>
        <v>1975000</v>
      </c>
      <c r="M829" s="313"/>
      <c r="N829" s="313"/>
      <c r="O829" s="366"/>
      <c r="P829" s="313"/>
      <c r="Q829" s="313"/>
    </row>
    <row r="830">
      <c r="A830" s="365"/>
      <c r="B830" s="362">
        <v>300000.0</v>
      </c>
      <c r="C830" s="362">
        <v>300000.0</v>
      </c>
      <c r="D830" s="362">
        <v>185000.0</v>
      </c>
      <c r="E830" s="362">
        <v>270000.0</v>
      </c>
      <c r="F830" s="362">
        <v>200000.0</v>
      </c>
      <c r="G830" s="362">
        <v>150000.0</v>
      </c>
      <c r="H830" s="362">
        <v>170000.0</v>
      </c>
      <c r="I830" s="362">
        <v>200000.0</v>
      </c>
      <c r="J830" s="362">
        <v>200000.0</v>
      </c>
      <c r="K830" s="363">
        <v>50000.0</v>
      </c>
      <c r="L830" s="364">
        <f t="shared" si="219"/>
        <v>1975000</v>
      </c>
      <c r="M830" s="313"/>
      <c r="N830" s="313"/>
      <c r="O830" s="313"/>
      <c r="P830" s="313"/>
      <c r="Q830" s="313"/>
    </row>
    <row r="831">
      <c r="A831" s="367"/>
      <c r="B831" s="362">
        <v>300000.0</v>
      </c>
      <c r="C831" s="362">
        <v>300000.0</v>
      </c>
      <c r="D831" s="362">
        <v>185000.0</v>
      </c>
      <c r="E831" s="362">
        <v>270000.0</v>
      </c>
      <c r="F831" s="362">
        <v>200000.0</v>
      </c>
      <c r="G831" s="362">
        <v>150000.0</v>
      </c>
      <c r="H831" s="362">
        <v>170000.0</v>
      </c>
      <c r="I831" s="362">
        <v>200000.0</v>
      </c>
      <c r="J831" s="362">
        <v>200000.0</v>
      </c>
      <c r="K831" s="363">
        <v>50000.0</v>
      </c>
      <c r="L831" s="364">
        <f t="shared" si="219"/>
        <v>1975000</v>
      </c>
      <c r="M831" s="313"/>
      <c r="N831" s="313"/>
      <c r="O831" s="313"/>
      <c r="P831" s="313"/>
      <c r="Q831" s="313"/>
    </row>
    <row r="832">
      <c r="A832" s="368" t="s">
        <v>113</v>
      </c>
      <c r="B832" s="369">
        <f t="shared" ref="B832:L832" si="220">SUM(B828:B831)</f>
        <v>1200000</v>
      </c>
      <c r="C832" s="369">
        <f t="shared" si="220"/>
        <v>1200000</v>
      </c>
      <c r="D832" s="369">
        <f t="shared" si="220"/>
        <v>740000</v>
      </c>
      <c r="E832" s="369">
        <f t="shared" si="220"/>
        <v>1080000</v>
      </c>
      <c r="F832" s="369">
        <f t="shared" si="220"/>
        <v>800000</v>
      </c>
      <c r="G832" s="369">
        <f t="shared" si="220"/>
        <v>600000</v>
      </c>
      <c r="H832" s="369">
        <f t="shared" si="220"/>
        <v>680000</v>
      </c>
      <c r="I832" s="369">
        <f t="shared" si="220"/>
        <v>800000</v>
      </c>
      <c r="J832" s="369">
        <f t="shared" si="220"/>
        <v>800000</v>
      </c>
      <c r="K832" s="369">
        <f t="shared" si="220"/>
        <v>200000</v>
      </c>
      <c r="L832" s="369">
        <f t="shared" si="220"/>
        <v>7950000</v>
      </c>
      <c r="M832" s="313"/>
      <c r="N832" s="313"/>
      <c r="O832" s="313"/>
      <c r="P832" s="313"/>
      <c r="Q832" s="313"/>
    </row>
    <row r="833">
      <c r="A833" s="370" t="s">
        <v>138</v>
      </c>
      <c r="B833" s="371">
        <f>B829/6/8</f>
        <v>6250</v>
      </c>
      <c r="C833" s="371">
        <f t="shared" ref="C833:D833" si="221">C828/8/6</f>
        <v>6250</v>
      </c>
      <c r="D833" s="371">
        <f t="shared" si="221"/>
        <v>3854.166667</v>
      </c>
      <c r="E833" s="371">
        <f t="shared" ref="E833:F833" si="222">E828/6/8</f>
        <v>5625</v>
      </c>
      <c r="F833" s="371">
        <f t="shared" si="222"/>
        <v>4166.666667</v>
      </c>
      <c r="G833" s="371">
        <f>G829/6/8</f>
        <v>3125</v>
      </c>
      <c r="H833" s="371">
        <f>H831/8/6</f>
        <v>3541.666667</v>
      </c>
      <c r="I833" s="372">
        <f>I828/6/8</f>
        <v>4166.666667</v>
      </c>
      <c r="J833" s="372">
        <f>J831/6/8</f>
        <v>4166.666667</v>
      </c>
      <c r="K833" s="372">
        <f>K831/8</f>
        <v>6250</v>
      </c>
      <c r="L833" s="372"/>
      <c r="M833" s="313"/>
      <c r="N833" s="313"/>
      <c r="O833" s="313"/>
      <c r="P833" s="313"/>
      <c r="Q833" s="313"/>
    </row>
    <row r="834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  <c r="M834" s="307"/>
      <c r="N834" s="307"/>
      <c r="O834" s="307"/>
      <c r="P834" s="307"/>
      <c r="Q834" s="307"/>
    </row>
    <row r="835">
      <c r="A835" s="307"/>
    </row>
    <row r="836">
      <c r="A836" s="195" t="s">
        <v>573</v>
      </c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7"/>
    </row>
    <row r="837">
      <c r="A837" s="198" t="s">
        <v>40</v>
      </c>
      <c r="B837" s="221"/>
      <c r="C837" s="221"/>
      <c r="D837" s="211">
        <f t="shared" ref="D837:D838" si="223">D816</f>
        <v>3854.166667</v>
      </c>
      <c r="E837" s="221"/>
      <c r="F837" s="211">
        <f>4*F792</f>
        <v>16666.66667</v>
      </c>
      <c r="G837" s="221">
        <f>2*G792+4500+1375*7</f>
        <v>20375</v>
      </c>
      <c r="H837" s="221">
        <f>6*H792</f>
        <v>21250</v>
      </c>
      <c r="I837" s="221"/>
      <c r="J837" s="211">
        <f>1*J792</f>
        <v>4166.666667</v>
      </c>
      <c r="K837" s="293"/>
      <c r="L837" s="251"/>
    </row>
    <row r="838">
      <c r="A838" s="200" t="s">
        <v>501</v>
      </c>
      <c r="B838" s="221"/>
      <c r="C838" s="221"/>
      <c r="D838" s="373">
        <f t="shared" si="223"/>
        <v>10406.25</v>
      </c>
      <c r="E838" s="222"/>
      <c r="F838" s="221"/>
      <c r="G838" s="221"/>
      <c r="H838" s="255">
        <f>H817</f>
        <v>9562.5</v>
      </c>
      <c r="I838" s="211"/>
      <c r="J838" s="221">
        <f>(9*J792)*30%</f>
        <v>11250</v>
      </c>
      <c r="K838" s="252"/>
      <c r="L838" s="252"/>
    </row>
    <row r="839">
      <c r="A839" s="200" t="s">
        <v>288</v>
      </c>
      <c r="B839" s="255"/>
      <c r="C839" s="255"/>
      <c r="D839" s="255"/>
      <c r="E839" s="256"/>
      <c r="F839" s="319"/>
      <c r="G839" s="255"/>
      <c r="H839" s="255"/>
      <c r="I839" s="255"/>
      <c r="J839" s="255"/>
      <c r="K839" s="257"/>
      <c r="L839" s="257"/>
    </row>
    <row r="840">
      <c r="A840" s="200" t="s">
        <v>119</v>
      </c>
      <c r="B840" s="255"/>
      <c r="C840" s="255"/>
      <c r="D840" s="255"/>
      <c r="E840" s="256"/>
      <c r="F840" s="319"/>
      <c r="G840" s="255"/>
      <c r="H840" s="255"/>
      <c r="I840" s="255"/>
      <c r="J840" s="255"/>
      <c r="K840" s="257"/>
      <c r="L840" s="257"/>
    </row>
    <row r="841">
      <c r="A841" s="200" t="s">
        <v>453</v>
      </c>
      <c r="B841" s="255"/>
      <c r="C841" s="255"/>
      <c r="D841" s="255"/>
      <c r="E841" s="255"/>
      <c r="F841" s="255">
        <v>6650.0</v>
      </c>
      <c r="G841" s="255"/>
      <c r="H841" s="255"/>
      <c r="I841" s="255"/>
      <c r="J841" s="255"/>
      <c r="K841" s="257"/>
      <c r="L841" s="257"/>
    </row>
    <row r="842">
      <c r="A842" s="205" t="s">
        <v>118</v>
      </c>
      <c r="B842" s="226">
        <f>B800</f>
        <v>300000</v>
      </c>
      <c r="C842" s="226">
        <f>C788</f>
        <v>300000</v>
      </c>
      <c r="D842" s="238">
        <f>D790+D838+D837</f>
        <v>199260.4167</v>
      </c>
      <c r="E842" s="226">
        <f>270000+E840</f>
        <v>270000</v>
      </c>
      <c r="F842" s="238">
        <f>F789-F841+F837</f>
        <v>210016.6667</v>
      </c>
      <c r="G842" s="226">
        <f>G789+G837</f>
        <v>170375</v>
      </c>
      <c r="H842" s="226">
        <f>H787+H837+H838</f>
        <v>200812.5</v>
      </c>
      <c r="I842" s="226">
        <f>200000+I840+I837-I839</f>
        <v>200000</v>
      </c>
      <c r="J842" s="238">
        <f>200000+J838+J837</f>
        <v>215416.6667</v>
      </c>
      <c r="K842" s="226"/>
      <c r="L842" s="206">
        <f>SUM(B842:K842)</f>
        <v>2065881.25</v>
      </c>
    </row>
    <row r="843">
      <c r="A843" s="126" t="s">
        <v>0</v>
      </c>
      <c r="B843" s="127" t="s">
        <v>90</v>
      </c>
      <c r="C843" s="127" t="s">
        <v>3</v>
      </c>
      <c r="D843" s="183" t="s">
        <v>155</v>
      </c>
      <c r="E843" s="183" t="s">
        <v>195</v>
      </c>
      <c r="F843" s="129" t="s">
        <v>51</v>
      </c>
      <c r="G843" s="129" t="s">
        <v>372</v>
      </c>
      <c r="H843" s="129" t="s">
        <v>477</v>
      </c>
      <c r="I843" s="129" t="s">
        <v>515</v>
      </c>
      <c r="J843" s="129" t="s">
        <v>10</v>
      </c>
      <c r="K843" s="129"/>
      <c r="L843" s="128" t="s">
        <v>110</v>
      </c>
    </row>
    <row r="844">
      <c r="A844" s="272"/>
      <c r="B844" s="274" t="s">
        <v>458</v>
      </c>
      <c r="C844" s="274" t="s">
        <v>458</v>
      </c>
      <c r="D844" s="274" t="s">
        <v>458</v>
      </c>
      <c r="E844" s="275" t="s">
        <v>458</v>
      </c>
      <c r="F844" s="274" t="s">
        <v>458</v>
      </c>
      <c r="G844" s="247" t="s">
        <v>458</v>
      </c>
      <c r="H844" s="247" t="s">
        <v>574</v>
      </c>
      <c r="I844" s="247" t="s">
        <v>458</v>
      </c>
      <c r="J844" s="247" t="s">
        <v>575</v>
      </c>
      <c r="K844" s="272"/>
    </row>
    <row r="845">
      <c r="A845" s="272"/>
      <c r="B845" s="273"/>
      <c r="C845" s="273"/>
      <c r="D845" s="274"/>
      <c r="E845" s="274"/>
      <c r="F845" s="274"/>
      <c r="G845" s="247"/>
      <c r="H845" s="247"/>
      <c r="I845" s="247"/>
      <c r="J845" s="247"/>
      <c r="K845" s="272"/>
    </row>
    <row r="846">
      <c r="A846" s="195" t="s">
        <v>576</v>
      </c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7"/>
    </row>
    <row r="847">
      <c r="A847" s="198" t="s">
        <v>40</v>
      </c>
      <c r="B847" s="221"/>
      <c r="C847" s="221"/>
      <c r="D847" s="211"/>
      <c r="E847" s="221"/>
      <c r="F847" s="211"/>
      <c r="G847" s="221">
        <f>(2*G833)+G8574500+(1375*7)+4500+(1375*7)</f>
        <v>30000</v>
      </c>
      <c r="H847" s="221">
        <f>9*H833</f>
        <v>31875</v>
      </c>
      <c r="I847" s="221"/>
      <c r="J847" s="211"/>
      <c r="K847" s="293"/>
      <c r="L847" s="251"/>
    </row>
    <row r="848">
      <c r="A848" s="200" t="s">
        <v>501</v>
      </c>
      <c r="B848" s="221"/>
      <c r="C848" s="221"/>
      <c r="D848" s="373" t="str">
        <f>D827</f>
        <v/>
      </c>
      <c r="E848" s="222"/>
      <c r="F848" s="221"/>
      <c r="G848" s="221"/>
      <c r="H848" s="255">
        <f>H838</f>
        <v>9562.5</v>
      </c>
      <c r="I848" s="211"/>
      <c r="J848" s="221"/>
      <c r="K848" s="252"/>
      <c r="L848" s="252"/>
    </row>
    <row r="849">
      <c r="A849" s="200" t="s">
        <v>288</v>
      </c>
      <c r="B849" s="255"/>
      <c r="C849" s="255"/>
      <c r="D849" s="255"/>
      <c r="E849" s="256"/>
      <c r="F849" s="319"/>
      <c r="G849" s="255"/>
      <c r="H849" s="255">
        <v>140000.0</v>
      </c>
      <c r="I849" s="255"/>
      <c r="J849" s="255"/>
      <c r="K849" s="257"/>
      <c r="L849" s="257"/>
    </row>
    <row r="850">
      <c r="A850" s="200" t="s">
        <v>119</v>
      </c>
      <c r="B850" s="255"/>
      <c r="C850" s="255"/>
      <c r="D850" s="255"/>
      <c r="E850" s="256"/>
      <c r="F850" s="319"/>
      <c r="G850" s="255"/>
      <c r="H850" s="255"/>
      <c r="I850" s="255"/>
      <c r="J850" s="255"/>
      <c r="K850" s="257"/>
      <c r="L850" s="257"/>
    </row>
    <row r="851">
      <c r="A851" s="200" t="s">
        <v>453</v>
      </c>
      <c r="B851" s="255"/>
      <c r="C851" s="255"/>
      <c r="D851" s="255">
        <v>9460.0</v>
      </c>
      <c r="E851" s="255"/>
      <c r="F851" s="255"/>
      <c r="G851" s="255">
        <v>3150.0</v>
      </c>
      <c r="H851" s="255">
        <v>3920.0</v>
      </c>
      <c r="I851" s="255"/>
      <c r="J851" s="255"/>
      <c r="K851" s="257"/>
      <c r="L851" s="257"/>
    </row>
    <row r="852">
      <c r="A852" s="205" t="s">
        <v>118</v>
      </c>
      <c r="B852" s="226">
        <f>B830</f>
        <v>300000</v>
      </c>
      <c r="C852" s="226">
        <f>C831</f>
        <v>300000</v>
      </c>
      <c r="D852" s="238">
        <f>D800+D848+D847-D851</f>
        <v>189800.4167</v>
      </c>
      <c r="E852" s="226">
        <f>270000+E850</f>
        <v>270000</v>
      </c>
      <c r="F852" s="226">
        <f>F831</f>
        <v>200000</v>
      </c>
      <c r="G852" s="226">
        <f>G830+G847-G851</f>
        <v>176850</v>
      </c>
      <c r="H852" s="226">
        <f>H831+H847+H848-H849-H851</f>
        <v>67517.5</v>
      </c>
      <c r="I852" s="226">
        <f>200000+I850+I847-I849</f>
        <v>200000</v>
      </c>
      <c r="J852" s="238">
        <f>200000+J848+J847</f>
        <v>200000</v>
      </c>
      <c r="K852" s="226">
        <v>50000.0</v>
      </c>
      <c r="L852" s="206">
        <f>SUM(B852:K852)</f>
        <v>1954167.917</v>
      </c>
    </row>
    <row r="853">
      <c r="A853" s="126" t="s">
        <v>0</v>
      </c>
      <c r="B853" s="127" t="s">
        <v>90</v>
      </c>
      <c r="C853" s="127" t="s">
        <v>3</v>
      </c>
      <c r="D853" s="183" t="s">
        <v>155</v>
      </c>
      <c r="E853" s="183" t="s">
        <v>195</v>
      </c>
      <c r="F853" s="129" t="s">
        <v>51</v>
      </c>
      <c r="G853" s="129" t="s">
        <v>372</v>
      </c>
      <c r="H853" s="129" t="s">
        <v>477</v>
      </c>
      <c r="I853" s="129" t="s">
        <v>515</v>
      </c>
      <c r="J853" s="129" t="s">
        <v>10</v>
      </c>
      <c r="K853" s="129" t="s">
        <v>572</v>
      </c>
      <c r="L853" s="128" t="s">
        <v>110</v>
      </c>
    </row>
    <row r="854">
      <c r="A854" s="272"/>
      <c r="B854" s="274" t="s">
        <v>458</v>
      </c>
      <c r="C854" s="274" t="s">
        <v>458</v>
      </c>
      <c r="D854" s="274" t="s">
        <v>458</v>
      </c>
      <c r="E854" s="274" t="s">
        <v>458</v>
      </c>
      <c r="F854" s="274" t="s">
        <v>458</v>
      </c>
      <c r="G854" s="247" t="s">
        <v>458</v>
      </c>
      <c r="H854" s="247" t="s">
        <v>458</v>
      </c>
      <c r="I854" s="247" t="s">
        <v>458</v>
      </c>
      <c r="J854" s="247" t="s">
        <v>575</v>
      </c>
      <c r="K854" s="247" t="s">
        <v>458</v>
      </c>
    </row>
    <row r="855">
      <c r="A855" s="272"/>
      <c r="B855" s="273"/>
      <c r="C855" s="273"/>
      <c r="D855" s="274"/>
      <c r="E855" s="274"/>
      <c r="F855" s="279" t="s">
        <v>577</v>
      </c>
      <c r="G855" s="279" t="s">
        <v>577</v>
      </c>
      <c r="H855" s="247"/>
      <c r="I855" s="247"/>
      <c r="J855" s="247"/>
      <c r="K855" s="272"/>
    </row>
    <row r="856">
      <c r="A856" s="195" t="s">
        <v>578</v>
      </c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7"/>
    </row>
    <row r="857">
      <c r="A857" s="198" t="s">
        <v>40</v>
      </c>
      <c r="B857" s="221"/>
      <c r="C857" s="221"/>
      <c r="D857" s="211">
        <f>D833*4</f>
        <v>15416.66667</v>
      </c>
      <c r="E857" s="221"/>
      <c r="F857" s="211">
        <f>2*F833</f>
        <v>8333.333333</v>
      </c>
      <c r="G857" s="221">
        <f>4500+ (1375*7)</f>
        <v>14125</v>
      </c>
      <c r="H857" s="221">
        <f>3*H833</f>
        <v>10625</v>
      </c>
      <c r="I857" s="221"/>
      <c r="J857" s="211"/>
      <c r="K857" s="293"/>
      <c r="L857" s="251"/>
    </row>
    <row r="858">
      <c r="A858" s="200" t="s">
        <v>501</v>
      </c>
      <c r="B858" s="221"/>
      <c r="C858" s="221"/>
      <c r="D858" s="373">
        <f>(9*D833)*30%</f>
        <v>10406.25</v>
      </c>
      <c r="E858" s="222"/>
      <c r="F858" s="221"/>
      <c r="G858" s="221"/>
      <c r="H858" s="255">
        <f>(9*H833)*30%</f>
        <v>9562.5</v>
      </c>
      <c r="I858" s="211"/>
      <c r="J858" s="221"/>
      <c r="K858" s="252"/>
      <c r="L858" s="252"/>
    </row>
    <row r="859">
      <c r="A859" s="200" t="s">
        <v>288</v>
      </c>
      <c r="B859" s="255"/>
      <c r="C859" s="255"/>
      <c r="D859" s="255"/>
      <c r="E859" s="256"/>
      <c r="F859" s="319"/>
      <c r="G859" s="255"/>
      <c r="H859" s="255"/>
      <c r="I859" s="255"/>
      <c r="J859" s="255"/>
      <c r="K859" s="257"/>
      <c r="L859" s="257"/>
    </row>
    <row r="860">
      <c r="A860" s="200" t="s">
        <v>141</v>
      </c>
      <c r="B860" s="255"/>
      <c r="C860" s="255"/>
      <c r="D860" s="255">
        <f>8*D833</f>
        <v>30833.33333</v>
      </c>
      <c r="E860" s="256">
        <f>4*E833</f>
        <v>22500</v>
      </c>
      <c r="F860" s="319">
        <f>8*F833</f>
        <v>33333.33333</v>
      </c>
      <c r="G860" s="255"/>
      <c r="H860" s="255">
        <f>8*H833</f>
        <v>28333.33333</v>
      </c>
      <c r="I860" s="255"/>
      <c r="J860" s="255"/>
      <c r="K860" s="257"/>
      <c r="L860" s="257"/>
    </row>
    <row r="861">
      <c r="A861" s="200" t="s">
        <v>453</v>
      </c>
      <c r="B861" s="255"/>
      <c r="C861" s="255"/>
      <c r="D861" s="255"/>
      <c r="E861" s="255"/>
      <c r="F861" s="255"/>
      <c r="G861" s="255"/>
      <c r="H861" s="255">
        <f>9080+6300</f>
        <v>15380</v>
      </c>
      <c r="I861" s="255"/>
      <c r="J861" s="255"/>
      <c r="K861" s="257"/>
      <c r="L861" s="257"/>
    </row>
    <row r="862">
      <c r="A862" s="205" t="s">
        <v>118</v>
      </c>
      <c r="B862" s="226">
        <f>B831</f>
        <v>300000</v>
      </c>
      <c r="C862" s="226">
        <v>320000.0</v>
      </c>
      <c r="D862" s="238">
        <f>D831+D858+D857+D860</f>
        <v>241656.25</v>
      </c>
      <c r="E862" s="226">
        <f>270000+E860</f>
        <v>292500</v>
      </c>
      <c r="F862" s="325">
        <f>F831+F860+F857</f>
        <v>241666.6667</v>
      </c>
      <c r="G862" s="226">
        <f>G828+G857</f>
        <v>164125</v>
      </c>
      <c r="H862" s="226">
        <f>H831+H857+H858-H859-H861+H860</f>
        <v>203140.8333</v>
      </c>
      <c r="I862" s="226">
        <f>200000+I860+I857-I859</f>
        <v>200000</v>
      </c>
      <c r="J862" s="238">
        <f>200000+J858+J857</f>
        <v>200000</v>
      </c>
      <c r="K862" s="226">
        <v>50000.0</v>
      </c>
      <c r="L862" s="206">
        <f>SUM(B862:K862)</f>
        <v>2213088.75</v>
      </c>
    </row>
    <row r="863">
      <c r="A863" s="126" t="s">
        <v>0</v>
      </c>
      <c r="B863" s="127" t="s">
        <v>90</v>
      </c>
      <c r="C863" s="127" t="s">
        <v>3</v>
      </c>
      <c r="D863" s="183" t="s">
        <v>155</v>
      </c>
      <c r="E863" s="183" t="s">
        <v>195</v>
      </c>
      <c r="F863" s="129" t="s">
        <v>51</v>
      </c>
      <c r="G863" s="129" t="s">
        <v>372</v>
      </c>
      <c r="H863" s="129" t="s">
        <v>477</v>
      </c>
      <c r="I863" s="129" t="s">
        <v>515</v>
      </c>
      <c r="J863" s="129" t="s">
        <v>10</v>
      </c>
      <c r="K863" s="129" t="s">
        <v>572</v>
      </c>
      <c r="L863" s="128" t="s">
        <v>110</v>
      </c>
    </row>
    <row r="864">
      <c r="A864" s="272"/>
      <c r="B864" s="280" t="s">
        <v>375</v>
      </c>
      <c r="C864" s="374"/>
      <c r="D864" s="280" t="s">
        <v>375</v>
      </c>
      <c r="E864" s="280" t="s">
        <v>458</v>
      </c>
      <c r="F864" s="280" t="s">
        <v>375</v>
      </c>
      <c r="G864" s="248"/>
      <c r="H864" s="248" t="s">
        <v>375</v>
      </c>
      <c r="I864" s="248" t="s">
        <v>458</v>
      </c>
      <c r="J864" s="248" t="s">
        <v>537</v>
      </c>
      <c r="K864" s="248"/>
      <c r="L864" s="272"/>
      <c r="M864" s="272"/>
    </row>
    <row r="865">
      <c r="A865" s="272"/>
      <c r="B865" s="270"/>
      <c r="C865" s="270"/>
      <c r="D865" s="270"/>
      <c r="E865" s="274"/>
      <c r="F865" s="270"/>
      <c r="G865" s="247"/>
      <c r="H865" s="247"/>
      <c r="I865" s="271" t="s">
        <v>577</v>
      </c>
      <c r="J865" s="271" t="s">
        <v>579</v>
      </c>
      <c r="K865" s="237"/>
    </row>
    <row r="866">
      <c r="A866" s="195" t="s">
        <v>580</v>
      </c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307"/>
      <c r="N866" s="307"/>
      <c r="O866" s="307"/>
      <c r="P866" s="307"/>
      <c r="Q866" s="307"/>
    </row>
    <row r="867">
      <c r="A867" s="198" t="s">
        <v>40</v>
      </c>
      <c r="B867" s="221"/>
      <c r="C867" s="221"/>
      <c r="D867" s="211">
        <f>D833</f>
        <v>3854.166667</v>
      </c>
      <c r="E867" s="221"/>
      <c r="F867" s="211"/>
      <c r="G867" s="221">
        <f>(1375*7)+4500</f>
        <v>14125</v>
      </c>
      <c r="H867" s="221">
        <f>10*H833</f>
        <v>35416.66667</v>
      </c>
      <c r="I867" s="221"/>
      <c r="J867" s="211"/>
      <c r="K867" s="293"/>
      <c r="L867" s="251"/>
    </row>
    <row r="868">
      <c r="A868" s="200" t="s">
        <v>501</v>
      </c>
      <c r="B868" s="221"/>
      <c r="C868" s="221"/>
      <c r="D868" s="373">
        <f>D838</f>
        <v>10406.25</v>
      </c>
      <c r="E868" s="222"/>
      <c r="F868" s="221"/>
      <c r="G868" s="221"/>
      <c r="H868" s="255">
        <f>H858</f>
        <v>9562.5</v>
      </c>
      <c r="I868" s="211"/>
      <c r="J868" s="221"/>
      <c r="K868" s="252"/>
      <c r="L868" s="252"/>
    </row>
    <row r="869">
      <c r="A869" s="200" t="s">
        <v>288</v>
      </c>
      <c r="B869" s="255">
        <v>50000.0</v>
      </c>
      <c r="C869" s="255"/>
      <c r="D869" s="255"/>
      <c r="E869" s="256"/>
      <c r="F869" s="319"/>
      <c r="G869" s="255"/>
      <c r="H869" s="255"/>
      <c r="I869" s="255"/>
      <c r="J869" s="255"/>
      <c r="K869" s="257"/>
      <c r="L869" s="257"/>
    </row>
    <row r="870">
      <c r="A870" s="200" t="s">
        <v>141</v>
      </c>
      <c r="B870" s="255"/>
      <c r="C870" s="255">
        <f>8*C833</f>
        <v>50000</v>
      </c>
      <c r="D870" s="255"/>
      <c r="E870" s="256"/>
      <c r="F870" s="319"/>
      <c r="G870" s="255">
        <f t="shared" ref="G870:H870" si="224">8*G833</f>
        <v>25000</v>
      </c>
      <c r="H870" s="255">
        <f t="shared" si="224"/>
        <v>28333.33333</v>
      </c>
      <c r="I870" s="255"/>
      <c r="J870" s="255"/>
      <c r="K870" s="257"/>
      <c r="L870" s="257"/>
    </row>
    <row r="871">
      <c r="A871" s="200" t="s">
        <v>453</v>
      </c>
      <c r="B871" s="255"/>
      <c r="C871" s="255"/>
      <c r="D871" s="255"/>
      <c r="E871" s="255"/>
      <c r="F871" s="255"/>
      <c r="G871" s="255"/>
      <c r="H871" s="255">
        <v>3150.0</v>
      </c>
      <c r="I871" s="255"/>
      <c r="J871" s="255"/>
      <c r="K871" s="257"/>
      <c r="L871" s="257"/>
    </row>
    <row r="872">
      <c r="A872" s="205" t="s">
        <v>118</v>
      </c>
      <c r="B872" s="226">
        <f>B830-B869</f>
        <v>250000</v>
      </c>
      <c r="C872" s="226">
        <f>320000+C870</f>
        <v>370000</v>
      </c>
      <c r="D872" s="238">
        <f>D830+D868+D867</f>
        <v>199260.4167</v>
      </c>
      <c r="E872" s="226">
        <f>270000+E870</f>
        <v>270000</v>
      </c>
      <c r="F872" s="226">
        <f>F830</f>
        <v>200000</v>
      </c>
      <c r="G872" s="226">
        <f>G829+G870+G867</f>
        <v>189125</v>
      </c>
      <c r="H872" s="226">
        <f>H831+H867+H868+H870-H871</f>
        <v>240162.5</v>
      </c>
      <c r="I872" s="226">
        <v>250000.0</v>
      </c>
      <c r="J872" s="238">
        <f>200000+J868+J867</f>
        <v>200000</v>
      </c>
      <c r="K872" s="226">
        <v>50000.0</v>
      </c>
      <c r="L872" s="206">
        <f>SUM(B872:K872)</f>
        <v>2218547.917</v>
      </c>
    </row>
    <row r="873">
      <c r="A873" s="126" t="s">
        <v>0</v>
      </c>
      <c r="B873" s="127" t="s">
        <v>90</v>
      </c>
      <c r="C873" s="127" t="s">
        <v>3</v>
      </c>
      <c r="D873" s="183" t="s">
        <v>155</v>
      </c>
      <c r="E873" s="183" t="s">
        <v>195</v>
      </c>
      <c r="F873" s="129" t="s">
        <v>51</v>
      </c>
      <c r="G873" s="129" t="s">
        <v>372</v>
      </c>
      <c r="H873" s="129" t="s">
        <v>477</v>
      </c>
      <c r="I873" s="129" t="s">
        <v>515</v>
      </c>
      <c r="J873" s="129" t="s">
        <v>10</v>
      </c>
      <c r="K873" s="129" t="s">
        <v>572</v>
      </c>
      <c r="L873" s="128" t="s">
        <v>110</v>
      </c>
    </row>
    <row r="874">
      <c r="A874" s="272"/>
      <c r="B874" s="280" t="s">
        <v>375</v>
      </c>
      <c r="C874" s="280" t="s">
        <v>375</v>
      </c>
      <c r="D874" s="280" t="s">
        <v>375</v>
      </c>
      <c r="E874" s="280" t="s">
        <v>458</v>
      </c>
      <c r="F874" s="280" t="s">
        <v>375</v>
      </c>
      <c r="G874" s="283" t="s">
        <v>581</v>
      </c>
      <c r="H874" s="248" t="s">
        <v>375</v>
      </c>
      <c r="I874" s="248" t="s">
        <v>458</v>
      </c>
      <c r="J874" s="248" t="s">
        <v>537</v>
      </c>
      <c r="K874" s="248"/>
      <c r="L874" s="272"/>
      <c r="M874" s="272"/>
    </row>
    <row r="875">
      <c r="A875" s="272"/>
      <c r="B875" s="270"/>
      <c r="C875" s="270"/>
      <c r="D875" s="270"/>
      <c r="E875" s="274"/>
      <c r="F875" s="270"/>
      <c r="G875" s="271"/>
      <c r="H875" s="247"/>
      <c r="I875" s="271"/>
      <c r="J875" s="271"/>
      <c r="K875" s="270"/>
    </row>
    <row r="876">
      <c r="A876" s="272"/>
      <c r="B876" s="270"/>
      <c r="C876" s="270"/>
      <c r="D876" s="270"/>
      <c r="E876" s="274"/>
      <c r="F876" s="270"/>
      <c r="G876" s="271"/>
      <c r="H876" s="247"/>
      <c r="I876" s="271"/>
      <c r="J876" s="271"/>
      <c r="K876" s="270"/>
    </row>
    <row r="877">
      <c r="A877" s="355" t="s">
        <v>0</v>
      </c>
      <c r="B877" s="356" t="s">
        <v>90</v>
      </c>
      <c r="C877" s="356" t="s">
        <v>3</v>
      </c>
      <c r="D877" s="356" t="s">
        <v>155</v>
      </c>
      <c r="E877" s="356" t="s">
        <v>195</v>
      </c>
      <c r="F877" s="357" t="s">
        <v>51</v>
      </c>
      <c r="G877" s="357" t="s">
        <v>372</v>
      </c>
      <c r="H877" s="357" t="s">
        <v>477</v>
      </c>
      <c r="I877" s="357" t="s">
        <v>394</v>
      </c>
      <c r="J877" s="357" t="s">
        <v>10</v>
      </c>
      <c r="K877" s="358" t="s">
        <v>572</v>
      </c>
      <c r="L877" s="359"/>
      <c r="M877" s="359"/>
      <c r="N877" s="357" t="s">
        <v>110</v>
      </c>
      <c r="O877" s="313"/>
      <c r="P877" s="313"/>
      <c r="Q877" s="313"/>
    </row>
    <row r="878">
      <c r="A878" s="375" t="s">
        <v>582</v>
      </c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2"/>
    </row>
    <row r="879">
      <c r="A879" s="361" t="s">
        <v>111</v>
      </c>
      <c r="B879" s="363">
        <v>320000.0</v>
      </c>
      <c r="C879" s="363">
        <v>320000.0</v>
      </c>
      <c r="D879" s="362">
        <v>185000.0</v>
      </c>
      <c r="E879" s="362">
        <v>270000.0</v>
      </c>
      <c r="F879" s="362">
        <v>200000.0</v>
      </c>
      <c r="G879" s="362">
        <v>150000.0</v>
      </c>
      <c r="H879" s="362">
        <v>170000.0</v>
      </c>
      <c r="I879" s="363">
        <v>250000.0</v>
      </c>
      <c r="J879" s="362">
        <v>200000.0</v>
      </c>
      <c r="K879" s="363">
        <v>50000.0</v>
      </c>
      <c r="L879" s="364">
        <f>SUM(B879:K879)</f>
        <v>2115000</v>
      </c>
      <c r="M879" s="313"/>
      <c r="N879" s="313"/>
      <c r="O879" s="313"/>
      <c r="P879" s="313"/>
      <c r="Q879" s="313"/>
    </row>
    <row r="880">
      <c r="A880" s="365"/>
      <c r="B880" s="363">
        <v>320000.0</v>
      </c>
      <c r="C880" s="363">
        <v>320000.0</v>
      </c>
      <c r="D880" s="362">
        <v>185000.0</v>
      </c>
      <c r="E880" s="362">
        <v>270000.0</v>
      </c>
      <c r="F880" s="362">
        <v>200000.0</v>
      </c>
      <c r="G880" s="362">
        <v>150000.0</v>
      </c>
      <c r="H880" s="362">
        <v>170000.0</v>
      </c>
      <c r="I880" s="363">
        <v>250000.0</v>
      </c>
      <c r="J880" s="362">
        <v>200000.0</v>
      </c>
      <c r="K880" s="363">
        <v>50000.0</v>
      </c>
      <c r="L880" s="364">
        <f t="shared" ref="L880:L882" si="225">SUM(B880:J880)</f>
        <v>2065000</v>
      </c>
      <c r="M880" s="313"/>
      <c r="N880" s="313"/>
      <c r="O880" s="366"/>
      <c r="P880" s="313"/>
      <c r="Q880" s="313"/>
    </row>
    <row r="881">
      <c r="A881" s="365"/>
      <c r="B881" s="363">
        <v>320000.0</v>
      </c>
      <c r="C881" s="363">
        <v>320000.0</v>
      </c>
      <c r="D881" s="362">
        <v>185000.0</v>
      </c>
      <c r="E881" s="362">
        <v>270000.0</v>
      </c>
      <c r="F881" s="362">
        <v>200000.0</v>
      </c>
      <c r="G881" s="362">
        <v>150000.0</v>
      </c>
      <c r="H881" s="362">
        <v>170000.0</v>
      </c>
      <c r="I881" s="363">
        <v>250000.0</v>
      </c>
      <c r="J881" s="362">
        <v>200000.0</v>
      </c>
      <c r="K881" s="363">
        <v>50000.0</v>
      </c>
      <c r="L881" s="364">
        <f t="shared" si="225"/>
        <v>2065000</v>
      </c>
      <c r="M881" s="313"/>
      <c r="N881" s="313"/>
      <c r="O881" s="313"/>
      <c r="P881" s="313"/>
      <c r="Q881" s="313"/>
    </row>
    <row r="882">
      <c r="A882" s="367"/>
      <c r="B882" s="363">
        <v>320000.0</v>
      </c>
      <c r="C882" s="363">
        <v>320000.0</v>
      </c>
      <c r="D882" s="362">
        <v>185000.0</v>
      </c>
      <c r="E882" s="362">
        <v>270000.0</v>
      </c>
      <c r="F882" s="362">
        <v>200000.0</v>
      </c>
      <c r="G882" s="362">
        <v>150000.0</v>
      </c>
      <c r="H882" s="362">
        <v>170000.0</v>
      </c>
      <c r="I882" s="363">
        <v>250000.0</v>
      </c>
      <c r="J882" s="362">
        <v>200000.0</v>
      </c>
      <c r="K882" s="363">
        <v>50000.0</v>
      </c>
      <c r="L882" s="364">
        <f t="shared" si="225"/>
        <v>2065000</v>
      </c>
      <c r="M882" s="313"/>
      <c r="N882" s="313"/>
      <c r="O882" s="313"/>
      <c r="P882" s="313"/>
      <c r="Q882" s="313"/>
    </row>
    <row r="883">
      <c r="A883" s="368" t="s">
        <v>113</v>
      </c>
      <c r="B883" s="369">
        <f t="shared" ref="B883:L883" si="226">SUM(B879:B882)</f>
        <v>1280000</v>
      </c>
      <c r="C883" s="369">
        <f t="shared" si="226"/>
        <v>1280000</v>
      </c>
      <c r="D883" s="369">
        <f t="shared" si="226"/>
        <v>740000</v>
      </c>
      <c r="E883" s="369">
        <f t="shared" si="226"/>
        <v>1080000</v>
      </c>
      <c r="F883" s="369">
        <f t="shared" si="226"/>
        <v>800000</v>
      </c>
      <c r="G883" s="369">
        <f t="shared" si="226"/>
        <v>600000</v>
      </c>
      <c r="H883" s="369">
        <f t="shared" si="226"/>
        <v>680000</v>
      </c>
      <c r="I883" s="369">
        <f t="shared" si="226"/>
        <v>1000000</v>
      </c>
      <c r="J883" s="369">
        <f t="shared" si="226"/>
        <v>800000</v>
      </c>
      <c r="K883" s="369">
        <f t="shared" si="226"/>
        <v>200000</v>
      </c>
      <c r="L883" s="369">
        <f t="shared" si="226"/>
        <v>8310000</v>
      </c>
      <c r="M883" s="313"/>
      <c r="N883" s="313"/>
      <c r="O883" s="313"/>
      <c r="P883" s="313"/>
      <c r="Q883" s="313"/>
    </row>
    <row r="884">
      <c r="A884" s="370" t="s">
        <v>138</v>
      </c>
      <c r="B884" s="371">
        <f>B880/6/8</f>
        <v>6666.666667</v>
      </c>
      <c r="C884" s="371">
        <f t="shared" ref="C884:D884" si="227">C879/8/6</f>
        <v>6666.666667</v>
      </c>
      <c r="D884" s="371">
        <f t="shared" si="227"/>
        <v>3854.166667</v>
      </c>
      <c r="E884" s="371">
        <f t="shared" ref="E884:F884" si="228">E879/6/8</f>
        <v>5625</v>
      </c>
      <c r="F884" s="371">
        <f t="shared" si="228"/>
        <v>4166.666667</v>
      </c>
      <c r="G884" s="371">
        <f>G880/6/8</f>
        <v>3125</v>
      </c>
      <c r="H884" s="371">
        <f>H882/8/6</f>
        <v>3541.666667</v>
      </c>
      <c r="I884" s="372">
        <f>I879/6/8</f>
        <v>5208.333333</v>
      </c>
      <c r="J884" s="372">
        <f>J882/6/8</f>
        <v>4166.666667</v>
      </c>
      <c r="K884" s="372">
        <f>K882/8</f>
        <v>6250</v>
      </c>
      <c r="L884" s="372"/>
      <c r="M884" s="313"/>
      <c r="N884" s="313"/>
      <c r="O884" s="313"/>
      <c r="P884" s="313"/>
      <c r="Q884" s="313"/>
    </row>
    <row r="885">
      <c r="A885" s="272"/>
      <c r="B885" s="273"/>
      <c r="C885" s="273"/>
      <c r="D885" s="274"/>
      <c r="E885" s="274"/>
      <c r="F885" s="274"/>
      <c r="G885" s="247"/>
      <c r="H885" s="247"/>
      <c r="I885" s="247"/>
      <c r="J885" s="247"/>
      <c r="K885" s="247"/>
      <c r="L885" s="272"/>
      <c r="M885" s="272"/>
    </row>
    <row r="886">
      <c r="A886" s="195" t="s">
        <v>583</v>
      </c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</row>
    <row r="887">
      <c r="A887" s="198" t="s">
        <v>40</v>
      </c>
      <c r="B887" s="221"/>
      <c r="C887" s="221"/>
      <c r="D887" s="211">
        <f>D884</f>
        <v>3854.166667</v>
      </c>
      <c r="E887" s="221"/>
      <c r="F887" s="211"/>
      <c r="G887" s="221">
        <f>(1375*7)+4500</f>
        <v>14125</v>
      </c>
      <c r="H887" s="221">
        <f>3*H884</f>
        <v>10625</v>
      </c>
      <c r="I887" s="221"/>
      <c r="J887" s="211"/>
      <c r="K887" s="293"/>
      <c r="L887" s="251"/>
    </row>
    <row r="888">
      <c r="A888" s="200" t="s">
        <v>501</v>
      </c>
      <c r="B888" s="221"/>
      <c r="C888" s="221"/>
      <c r="D888" s="373">
        <f>D858</f>
        <v>10406.25</v>
      </c>
      <c r="E888" s="222"/>
      <c r="F888" s="221"/>
      <c r="G888" s="221"/>
      <c r="H888" s="255">
        <v>9000.0</v>
      </c>
      <c r="I888" s="211"/>
      <c r="J888" s="221"/>
      <c r="K888" s="252"/>
      <c r="L888" s="252"/>
    </row>
    <row r="889">
      <c r="A889" s="200" t="s">
        <v>288</v>
      </c>
      <c r="B889" s="255"/>
      <c r="C889" s="255"/>
      <c r="D889" s="255"/>
      <c r="E889" s="256"/>
      <c r="F889" s="319"/>
      <c r="G889" s="255"/>
      <c r="H889" s="255"/>
      <c r="I889" s="255"/>
      <c r="J889" s="255"/>
      <c r="K889" s="257"/>
      <c r="L889" s="257"/>
      <c r="M889" s="247"/>
      <c r="N889" s="247"/>
      <c r="O889" s="247"/>
      <c r="P889" s="247"/>
      <c r="Q889" s="247"/>
    </row>
    <row r="890">
      <c r="A890" s="200" t="s">
        <v>141</v>
      </c>
      <c r="B890" s="255"/>
      <c r="C890" s="255"/>
      <c r="D890" s="255"/>
      <c r="E890" s="256"/>
      <c r="F890" s="319"/>
      <c r="G890" s="255"/>
      <c r="H890" s="255"/>
      <c r="I890" s="255"/>
      <c r="J890" s="255"/>
      <c r="K890" s="257"/>
      <c r="L890" s="257"/>
      <c r="M890" s="247"/>
    </row>
    <row r="891">
      <c r="A891" s="200" t="s">
        <v>453</v>
      </c>
      <c r="B891" s="255"/>
      <c r="C891" s="255"/>
      <c r="D891" s="255"/>
      <c r="E891" s="255"/>
      <c r="F891" s="255"/>
      <c r="G891" s="255"/>
      <c r="H891" s="255">
        <f>2450+6300</f>
        <v>8750</v>
      </c>
      <c r="I891" s="255"/>
      <c r="J891" s="255"/>
      <c r="K891" s="257"/>
      <c r="L891" s="257"/>
      <c r="M891" s="310"/>
    </row>
    <row r="892">
      <c r="A892" s="205" t="s">
        <v>118</v>
      </c>
      <c r="B892" s="226">
        <v>320000.0</v>
      </c>
      <c r="C892" s="226">
        <f>320000+C890</f>
        <v>320000</v>
      </c>
      <c r="D892" s="238">
        <f>D880+D888+D887</f>
        <v>199260.4167</v>
      </c>
      <c r="E892" s="226">
        <f>270000+E890</f>
        <v>270000</v>
      </c>
      <c r="F892" s="226">
        <f>F882</f>
        <v>200000</v>
      </c>
      <c r="G892" s="226">
        <f>G881+G890+G887</f>
        <v>164125</v>
      </c>
      <c r="H892" s="226">
        <f>H882+H887-H891</f>
        <v>171875</v>
      </c>
      <c r="I892" s="226">
        <v>250000.0</v>
      </c>
      <c r="J892" s="238">
        <f>200000+J888+J887</f>
        <v>200000</v>
      </c>
      <c r="K892" s="226">
        <v>50000.0</v>
      </c>
      <c r="L892" s="206">
        <f>SUM(B892:K892)</f>
        <v>2145260.417</v>
      </c>
      <c r="M892" s="310"/>
    </row>
    <row r="893">
      <c r="A893" s="126" t="s">
        <v>0</v>
      </c>
      <c r="B893" s="127" t="s">
        <v>90</v>
      </c>
      <c r="C893" s="127" t="s">
        <v>3</v>
      </c>
      <c r="D893" s="183" t="s">
        <v>155</v>
      </c>
      <c r="E893" s="183" t="s">
        <v>195</v>
      </c>
      <c r="F893" s="129" t="s">
        <v>51</v>
      </c>
      <c r="G893" s="129" t="s">
        <v>372</v>
      </c>
      <c r="H893" s="129" t="s">
        <v>477</v>
      </c>
      <c r="I893" s="129" t="s">
        <v>515</v>
      </c>
      <c r="J893" s="129" t="s">
        <v>10</v>
      </c>
      <c r="K893" s="129" t="s">
        <v>572</v>
      </c>
      <c r="L893" s="128" t="s">
        <v>110</v>
      </c>
      <c r="M893" s="310"/>
    </row>
    <row r="894">
      <c r="A894" s="272"/>
      <c r="B894" s="280" t="s">
        <v>541</v>
      </c>
      <c r="C894" s="280" t="s">
        <v>541</v>
      </c>
      <c r="D894" s="280" t="s">
        <v>375</v>
      </c>
      <c r="E894" s="280" t="s">
        <v>458</v>
      </c>
      <c r="F894" s="280" t="s">
        <v>375</v>
      </c>
      <c r="G894" s="283" t="s">
        <v>375</v>
      </c>
      <c r="H894" s="248" t="s">
        <v>375</v>
      </c>
      <c r="I894" s="248" t="s">
        <v>458</v>
      </c>
      <c r="J894" s="248" t="s">
        <v>537</v>
      </c>
      <c r="K894" s="248"/>
      <c r="L894" s="272"/>
      <c r="M894" s="310"/>
    </row>
    <row r="895">
      <c r="A895" s="243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</row>
    <row r="896">
      <c r="A896" s="195" t="s">
        <v>584</v>
      </c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271"/>
      <c r="N896" s="174"/>
      <c r="O896" s="174"/>
    </row>
    <row r="897">
      <c r="A897" s="198" t="s">
        <v>40</v>
      </c>
      <c r="B897" s="221"/>
      <c r="C897" s="221"/>
      <c r="D897" s="211">
        <f>D884</f>
        <v>3854.166667</v>
      </c>
      <c r="E897" s="221"/>
      <c r="F897" s="211"/>
      <c r="G897" s="221">
        <f>(1375*7)+4500+(2*G884)</f>
        <v>20375</v>
      </c>
      <c r="H897" s="221">
        <f>4*H884</f>
        <v>14166.66667</v>
      </c>
      <c r="I897" s="221"/>
      <c r="J897" s="211"/>
      <c r="K897" s="293"/>
      <c r="L897" s="251"/>
    </row>
    <row r="898">
      <c r="A898" s="200" t="s">
        <v>501</v>
      </c>
      <c r="B898" s="221"/>
      <c r="C898" s="221"/>
      <c r="D898" s="373">
        <f>D868</f>
        <v>10406.25</v>
      </c>
      <c r="E898" s="222"/>
      <c r="F898" s="221"/>
      <c r="G898" s="221"/>
      <c r="H898" s="255"/>
      <c r="I898" s="211"/>
      <c r="J898" s="221"/>
      <c r="K898" s="252"/>
      <c r="L898" s="252"/>
    </row>
    <row r="899">
      <c r="A899" s="200" t="s">
        <v>288</v>
      </c>
      <c r="B899" s="255"/>
      <c r="C899" s="255"/>
      <c r="D899" s="255"/>
      <c r="E899" s="256"/>
      <c r="F899" s="319"/>
      <c r="G899" s="255"/>
      <c r="H899" s="255"/>
      <c r="I899" s="255"/>
      <c r="J899" s="255"/>
      <c r="K899" s="257"/>
      <c r="L899" s="257"/>
    </row>
    <row r="900">
      <c r="A900" s="200" t="s">
        <v>141</v>
      </c>
      <c r="B900" s="255"/>
      <c r="C900" s="255"/>
      <c r="D900" s="255">
        <f>8*D884</f>
        <v>30833.33333</v>
      </c>
      <c r="E900" s="256">
        <f>E884*4</f>
        <v>22500</v>
      </c>
      <c r="F900" s="319"/>
      <c r="G900" s="255"/>
      <c r="H900" s="255">
        <f>8*H884</f>
        <v>28333.33333</v>
      </c>
      <c r="I900" s="255"/>
      <c r="J900" s="255"/>
      <c r="K900" s="257"/>
      <c r="L900" s="257"/>
      <c r="M900" s="307"/>
      <c r="N900" s="307"/>
      <c r="O900" s="307"/>
      <c r="P900" s="307"/>
      <c r="Q900" s="307"/>
    </row>
    <row r="901">
      <c r="A901" s="200" t="s">
        <v>453</v>
      </c>
      <c r="B901" s="255"/>
      <c r="C901" s="255"/>
      <c r="D901" s="255"/>
      <c r="E901" s="255"/>
      <c r="F901" s="255"/>
      <c r="G901" s="255"/>
      <c r="H901" s="255">
        <v>7840.0</v>
      </c>
      <c r="I901" s="255"/>
      <c r="J901" s="255"/>
      <c r="K901" s="257"/>
      <c r="L901" s="257"/>
      <c r="M901" s="122"/>
    </row>
    <row r="902">
      <c r="A902" s="205" t="s">
        <v>118</v>
      </c>
      <c r="B902" s="226">
        <v>320000.0</v>
      </c>
      <c r="C902" s="226">
        <f>320000+C900</f>
        <v>320000</v>
      </c>
      <c r="D902" s="238">
        <f>D882+D897+D898+D900</f>
        <v>230093.75</v>
      </c>
      <c r="E902" s="226">
        <f>270000+E900</f>
        <v>292500</v>
      </c>
      <c r="F902" s="226">
        <f>F892</f>
        <v>200000</v>
      </c>
      <c r="G902" s="226">
        <f>G882+G900+G897</f>
        <v>170375</v>
      </c>
      <c r="H902" s="226">
        <f>H882+H900-H901+H897</f>
        <v>204660</v>
      </c>
      <c r="I902" s="226">
        <v>250000.0</v>
      </c>
      <c r="J902" s="238">
        <f>200000+J898+J897</f>
        <v>200000</v>
      </c>
      <c r="K902" s="226">
        <v>50000.0</v>
      </c>
      <c r="L902" s="206">
        <f>SUM(B902:K902)</f>
        <v>2237628.75</v>
      </c>
      <c r="M902" s="313"/>
    </row>
    <row r="903">
      <c r="A903" s="126" t="s">
        <v>0</v>
      </c>
      <c r="B903" s="127" t="s">
        <v>90</v>
      </c>
      <c r="C903" s="127" t="s">
        <v>3</v>
      </c>
      <c r="D903" s="183" t="s">
        <v>155</v>
      </c>
      <c r="E903" s="183" t="s">
        <v>195</v>
      </c>
      <c r="F903" s="129" t="s">
        <v>51</v>
      </c>
      <c r="G903" s="129" t="s">
        <v>372</v>
      </c>
      <c r="H903" s="129" t="s">
        <v>477</v>
      </c>
      <c r="I903" s="129" t="s">
        <v>515</v>
      </c>
      <c r="J903" s="129" t="s">
        <v>10</v>
      </c>
      <c r="K903" s="129" t="s">
        <v>572</v>
      </c>
      <c r="L903" s="128" t="s">
        <v>110</v>
      </c>
      <c r="M903" s="263"/>
    </row>
    <row r="904">
      <c r="A904" s="272"/>
      <c r="B904" s="280" t="s">
        <v>541</v>
      </c>
      <c r="C904" s="280" t="s">
        <v>541</v>
      </c>
      <c r="D904" s="280" t="s">
        <v>375</v>
      </c>
      <c r="E904" s="280" t="s">
        <v>458</v>
      </c>
      <c r="F904" s="280" t="s">
        <v>375</v>
      </c>
      <c r="G904" s="283" t="s">
        <v>375</v>
      </c>
      <c r="H904" s="248" t="s">
        <v>375</v>
      </c>
      <c r="I904" s="248" t="s">
        <v>458</v>
      </c>
      <c r="J904" s="248" t="s">
        <v>537</v>
      </c>
      <c r="K904" s="248"/>
      <c r="L904" s="272"/>
      <c r="M904" s="318"/>
    </row>
    <row r="905">
      <c r="A905" s="314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318"/>
      <c r="M905" s="318"/>
    </row>
    <row r="906">
      <c r="A906" s="195" t="s">
        <v>585</v>
      </c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313"/>
    </row>
    <row r="907">
      <c r="A907" s="198" t="s">
        <v>40</v>
      </c>
      <c r="B907" s="221"/>
      <c r="C907" s="221"/>
      <c r="D907" s="211">
        <f t="shared" ref="D907:D908" si="229">D897</f>
        <v>3854.166667</v>
      </c>
      <c r="E907" s="221"/>
      <c r="F907" s="211"/>
      <c r="G907" s="221">
        <f>G887+2*G884</f>
        <v>20375</v>
      </c>
      <c r="H907" s="221">
        <f>10*H884</f>
        <v>35416.66667</v>
      </c>
      <c r="I907" s="221"/>
      <c r="J907" s="211"/>
      <c r="K907" s="293"/>
      <c r="L907" s="251"/>
      <c r="M907" s="272"/>
    </row>
    <row r="908">
      <c r="A908" s="200" t="s">
        <v>501</v>
      </c>
      <c r="B908" s="221"/>
      <c r="C908" s="221"/>
      <c r="D908" s="373">
        <f t="shared" si="229"/>
        <v>10406.25</v>
      </c>
      <c r="E908" s="222"/>
      <c r="F908" s="221"/>
      <c r="G908" s="221"/>
      <c r="H908" s="255"/>
      <c r="I908" s="211"/>
      <c r="J908" s="221"/>
      <c r="K908" s="252"/>
      <c r="L908" s="252"/>
    </row>
    <row r="909">
      <c r="A909" s="200" t="s">
        <v>288</v>
      </c>
      <c r="B909" s="255"/>
      <c r="C909" s="255"/>
      <c r="D909" s="255"/>
      <c r="E909" s="256"/>
      <c r="F909" s="319"/>
      <c r="G909" s="255"/>
      <c r="H909" s="255"/>
      <c r="I909" s="255"/>
      <c r="J909" s="255"/>
      <c r="K909" s="257"/>
      <c r="L909" s="257"/>
    </row>
    <row r="910">
      <c r="A910" s="200" t="s">
        <v>141</v>
      </c>
      <c r="B910" s="255"/>
      <c r="C910" s="255"/>
      <c r="D910" s="255"/>
      <c r="E910" s="256"/>
      <c r="F910" s="319"/>
      <c r="G910" s="255"/>
      <c r="H910" s="255"/>
      <c r="I910" s="255"/>
      <c r="J910" s="255"/>
      <c r="K910" s="257"/>
      <c r="L910" s="257"/>
    </row>
    <row r="911">
      <c r="A911" s="200" t="s">
        <v>453</v>
      </c>
      <c r="B911" s="255"/>
      <c r="C911" s="255"/>
      <c r="D911" s="255"/>
      <c r="E911" s="255"/>
      <c r="F911" s="255"/>
      <c r="G911" s="255"/>
      <c r="H911" s="255">
        <v>8680.0</v>
      </c>
      <c r="I911" s="255"/>
      <c r="J911" s="255"/>
      <c r="K911" s="257"/>
      <c r="L911" s="257"/>
      <c r="M911" s="307"/>
      <c r="N911" s="307"/>
      <c r="O911" s="307"/>
      <c r="P911" s="307"/>
      <c r="Q911" s="307"/>
    </row>
    <row r="912">
      <c r="A912" s="205" t="s">
        <v>118</v>
      </c>
      <c r="B912" s="226">
        <v>320000.0</v>
      </c>
      <c r="C912" s="226">
        <f>320000+C910</f>
        <v>320000</v>
      </c>
      <c r="D912" s="238">
        <f>D882+D907+D908+D910</f>
        <v>199260.4167</v>
      </c>
      <c r="E912" s="226">
        <f>270000+E910</f>
        <v>270000</v>
      </c>
      <c r="F912" s="226">
        <f>F902</f>
        <v>200000</v>
      </c>
      <c r="G912" s="226">
        <f>G882+G907+G908</f>
        <v>170375</v>
      </c>
      <c r="H912" s="226">
        <f>H881+H910-H911+H907</f>
        <v>196736.6667</v>
      </c>
      <c r="I912" s="226">
        <v>250000.0</v>
      </c>
      <c r="J912" s="238">
        <f>200000+J908+J907</f>
        <v>200000</v>
      </c>
      <c r="K912" s="226">
        <v>50000.0</v>
      </c>
      <c r="L912" s="206">
        <f>SUM(B912:K912)</f>
        <v>2176372.083</v>
      </c>
      <c r="M912" s="122"/>
    </row>
    <row r="913">
      <c r="A913" s="126" t="s">
        <v>0</v>
      </c>
      <c r="B913" s="127" t="s">
        <v>90</v>
      </c>
      <c r="C913" s="127" t="s">
        <v>3</v>
      </c>
      <c r="D913" s="183" t="s">
        <v>155</v>
      </c>
      <c r="E913" s="183" t="s">
        <v>195</v>
      </c>
      <c r="F913" s="129" t="s">
        <v>51</v>
      </c>
      <c r="G913" s="129" t="s">
        <v>372</v>
      </c>
      <c r="H913" s="129" t="s">
        <v>477</v>
      </c>
      <c r="I913" s="129" t="s">
        <v>515</v>
      </c>
      <c r="J913" s="129" t="s">
        <v>10</v>
      </c>
      <c r="K913" s="129" t="s">
        <v>572</v>
      </c>
      <c r="L913" s="128" t="s">
        <v>110</v>
      </c>
      <c r="M913" s="313"/>
    </row>
    <row r="914">
      <c r="A914" s="314"/>
      <c r="B914" s="253"/>
      <c r="C914" s="315"/>
      <c r="D914" s="253"/>
      <c r="E914" s="125"/>
      <c r="F914" s="125"/>
      <c r="G914" s="125"/>
      <c r="H914" s="125"/>
      <c r="I914" s="125"/>
      <c r="J914" s="253"/>
      <c r="K914" s="263"/>
      <c r="L914" s="263"/>
      <c r="M914" s="263"/>
    </row>
    <row r="915">
      <c r="A915" s="314"/>
      <c r="B915" s="125"/>
      <c r="C915" s="125"/>
      <c r="D915" s="125"/>
      <c r="E915" s="317"/>
      <c r="F915" s="125"/>
      <c r="G915" s="125"/>
      <c r="H915" s="313"/>
      <c r="I915" s="125"/>
      <c r="J915" s="125"/>
      <c r="K915" s="125"/>
      <c r="L915" s="318"/>
      <c r="M915" s="318"/>
    </row>
    <row r="916">
      <c r="A916" s="195" t="s">
        <v>586</v>
      </c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318"/>
    </row>
    <row r="917">
      <c r="A917" s="198" t="s">
        <v>40</v>
      </c>
      <c r="B917" s="221"/>
      <c r="C917" s="221"/>
      <c r="D917" s="211">
        <f t="shared" ref="D917:D918" si="230">D907</f>
        <v>3854.166667</v>
      </c>
      <c r="E917" s="221"/>
      <c r="F917" s="211"/>
      <c r="G917" s="221">
        <f>G887</f>
        <v>14125</v>
      </c>
      <c r="H917" s="221">
        <f>4*H884</f>
        <v>14166.66667</v>
      </c>
      <c r="I917" s="221"/>
      <c r="J917" s="211"/>
      <c r="K917" s="293"/>
      <c r="L917" s="251"/>
      <c r="M917" s="318"/>
    </row>
    <row r="918">
      <c r="A918" s="200" t="s">
        <v>501</v>
      </c>
      <c r="B918" s="221"/>
      <c r="C918" s="221"/>
      <c r="D918" s="373">
        <f t="shared" si="230"/>
        <v>10406.25</v>
      </c>
      <c r="E918" s="222"/>
      <c r="F918" s="221"/>
      <c r="G918" s="221"/>
      <c r="H918" s="255">
        <f>9000</f>
        <v>9000</v>
      </c>
      <c r="I918" s="211"/>
      <c r="J918" s="221"/>
      <c r="K918" s="252"/>
      <c r="L918" s="252"/>
      <c r="M918" s="313"/>
    </row>
    <row r="919">
      <c r="A919" s="200" t="s">
        <v>288</v>
      </c>
      <c r="B919" s="255"/>
      <c r="C919" s="255"/>
      <c r="D919" s="255"/>
      <c r="E919" s="256"/>
      <c r="F919" s="319"/>
      <c r="G919" s="255"/>
      <c r="H919" s="255"/>
      <c r="I919" s="255"/>
      <c r="J919" s="255"/>
      <c r="K919" s="257"/>
      <c r="L919" s="257"/>
      <c r="M919" s="272"/>
    </row>
    <row r="920">
      <c r="A920" s="200" t="s">
        <v>251</v>
      </c>
      <c r="B920" s="255">
        <v>300000.0</v>
      </c>
      <c r="C920" s="255">
        <v>300000.0</v>
      </c>
      <c r="D920" s="255"/>
      <c r="E920" s="256"/>
      <c r="F920" s="319"/>
      <c r="G920" s="255"/>
      <c r="H920" s="255"/>
      <c r="I920" s="255"/>
      <c r="J920" s="255"/>
      <c r="K920" s="257"/>
      <c r="L920" s="257"/>
    </row>
    <row r="921">
      <c r="A921" s="200" t="s">
        <v>453</v>
      </c>
      <c r="B921" s="255"/>
      <c r="C921" s="255"/>
      <c r="D921" s="255"/>
      <c r="E921" s="255"/>
      <c r="F921" s="255"/>
      <c r="G921" s="255"/>
      <c r="H921" s="255">
        <f>8400+8400</f>
        <v>16800</v>
      </c>
      <c r="I921" s="255"/>
      <c r="J921" s="255"/>
      <c r="K921" s="257"/>
      <c r="L921" s="257"/>
    </row>
    <row r="922">
      <c r="A922" s="205" t="s">
        <v>118</v>
      </c>
      <c r="B922" s="226">
        <v>320000.0</v>
      </c>
      <c r="C922" s="226">
        <f>320000</f>
        <v>320000</v>
      </c>
      <c r="D922" s="238">
        <f>D882+D917+D918</f>
        <v>199260.4167</v>
      </c>
      <c r="E922" s="226">
        <f>270000</f>
        <v>270000</v>
      </c>
      <c r="F922" s="226">
        <f>F912</f>
        <v>200000</v>
      </c>
      <c r="G922" s="226">
        <f>G881+G917</f>
        <v>164125</v>
      </c>
      <c r="H922" s="226">
        <f>H880+H917+H918-H921</f>
        <v>176366.6667</v>
      </c>
      <c r="I922" s="226">
        <v>250000.0</v>
      </c>
      <c r="J922" s="238">
        <f>200000+J918+J917</f>
        <v>200000</v>
      </c>
      <c r="K922" s="226">
        <v>50000.0</v>
      </c>
      <c r="L922" s="206">
        <f>SUM(B922:K922)</f>
        <v>2149752.083</v>
      </c>
      <c r="M922" s="307"/>
      <c r="N922" s="307"/>
      <c r="O922" s="307"/>
      <c r="P922" s="307"/>
      <c r="Q922" s="307"/>
    </row>
    <row r="923">
      <c r="A923" s="126" t="s">
        <v>0</v>
      </c>
      <c r="B923" s="127" t="s">
        <v>90</v>
      </c>
      <c r="C923" s="127" t="s">
        <v>3</v>
      </c>
      <c r="D923" s="183" t="s">
        <v>155</v>
      </c>
      <c r="E923" s="183" t="s">
        <v>195</v>
      </c>
      <c r="F923" s="129" t="s">
        <v>51</v>
      </c>
      <c r="G923" s="129" t="s">
        <v>372</v>
      </c>
      <c r="H923" s="129" t="s">
        <v>477</v>
      </c>
      <c r="I923" s="129" t="s">
        <v>515</v>
      </c>
      <c r="J923" s="129" t="s">
        <v>10</v>
      </c>
      <c r="K923" s="129" t="s">
        <v>572</v>
      </c>
      <c r="L923" s="128" t="s">
        <v>110</v>
      </c>
      <c r="M923" s="122"/>
    </row>
    <row r="924">
      <c r="A924" s="312"/>
      <c r="B924" s="72" t="s">
        <v>587</v>
      </c>
      <c r="C924" s="72" t="s">
        <v>587</v>
      </c>
      <c r="D924" s="125"/>
      <c r="E924" s="125"/>
      <c r="F924" s="313"/>
      <c r="G924" s="125"/>
      <c r="I924" s="125"/>
      <c r="J924" s="125"/>
      <c r="K924" s="313"/>
      <c r="L924" s="313"/>
      <c r="M924" s="313"/>
    </row>
    <row r="925">
      <c r="A925" s="314"/>
      <c r="B925" s="253"/>
      <c r="C925" s="315"/>
      <c r="D925" s="253"/>
      <c r="E925" s="125"/>
      <c r="F925" s="125"/>
      <c r="G925" s="125"/>
      <c r="H925" s="125"/>
      <c r="I925" s="125"/>
      <c r="J925" s="253"/>
      <c r="K925" s="263"/>
      <c r="L925" s="263"/>
      <c r="M925" s="263"/>
    </row>
    <row r="926">
      <c r="A926" s="195" t="s">
        <v>588</v>
      </c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318"/>
    </row>
    <row r="927">
      <c r="A927" s="198" t="s">
        <v>40</v>
      </c>
      <c r="B927" s="221"/>
      <c r="C927" s="221">
        <f>4*C884</f>
        <v>26666.66667</v>
      </c>
      <c r="D927" s="211">
        <f t="shared" ref="D927:D928" si="231">D917</f>
        <v>3854.166667</v>
      </c>
      <c r="E927" s="221"/>
      <c r="F927" s="211"/>
      <c r="G927" s="221">
        <f>G917+G884</f>
        <v>17250</v>
      </c>
      <c r="H927" s="221">
        <f>4*H884</f>
        <v>14166.66667</v>
      </c>
      <c r="I927" s="221"/>
      <c r="J927" s="211"/>
      <c r="K927" s="293"/>
      <c r="L927" s="251"/>
      <c r="M927" s="318"/>
    </row>
    <row r="928">
      <c r="A928" s="200" t="s">
        <v>501</v>
      </c>
      <c r="B928" s="221"/>
      <c r="C928" s="221"/>
      <c r="D928" s="373">
        <f t="shared" si="231"/>
        <v>10406.25</v>
      </c>
      <c r="E928" s="222"/>
      <c r="F928" s="221"/>
      <c r="G928" s="221"/>
      <c r="H928" s="255">
        <v>9000.0</v>
      </c>
      <c r="I928" s="211"/>
      <c r="J928" s="221"/>
      <c r="K928" s="252"/>
      <c r="L928" s="252"/>
      <c r="M928" s="318"/>
    </row>
    <row r="929">
      <c r="A929" s="200" t="s">
        <v>288</v>
      </c>
      <c r="B929" s="255"/>
      <c r="C929" s="255"/>
      <c r="D929" s="255"/>
      <c r="E929" s="256"/>
      <c r="F929" s="319"/>
      <c r="G929" s="255"/>
      <c r="H929" s="255"/>
      <c r="I929" s="255"/>
      <c r="J929" s="255"/>
      <c r="K929" s="257"/>
      <c r="L929" s="257"/>
      <c r="M929" s="313"/>
    </row>
    <row r="930">
      <c r="A930" s="200" t="s">
        <v>251</v>
      </c>
      <c r="B930" s="255"/>
      <c r="C930" s="255"/>
      <c r="D930" s="255"/>
      <c r="E930" s="256"/>
      <c r="F930" s="319"/>
      <c r="G930" s="255"/>
      <c r="H930" s="255"/>
      <c r="I930" s="255"/>
      <c r="J930" s="255"/>
      <c r="K930" s="257"/>
      <c r="L930" s="257"/>
      <c r="M930" s="272"/>
    </row>
    <row r="931">
      <c r="A931" s="200" t="s">
        <v>453</v>
      </c>
      <c r="B931" s="255"/>
      <c r="C931" s="255"/>
      <c r="D931" s="255"/>
      <c r="E931" s="255"/>
      <c r="F931" s="255"/>
      <c r="G931" s="255"/>
      <c r="H931" s="255"/>
      <c r="I931" s="255"/>
      <c r="J931" s="255"/>
      <c r="K931" s="257"/>
      <c r="L931" s="257"/>
    </row>
    <row r="932">
      <c r="A932" s="205" t="s">
        <v>118</v>
      </c>
      <c r="B932" s="226">
        <v>320000.0</v>
      </c>
      <c r="C932" s="226">
        <f>320000+C927</f>
        <v>346666.6667</v>
      </c>
      <c r="D932" s="238">
        <f>D881+D927+D928</f>
        <v>199260.4167</v>
      </c>
      <c r="E932" s="226">
        <f>270000</f>
        <v>270000</v>
      </c>
      <c r="F932" s="226">
        <f>F922</f>
        <v>200000</v>
      </c>
      <c r="G932" s="226">
        <f>G880+G927</f>
        <v>167250</v>
      </c>
      <c r="H932" s="226">
        <f>H881+H927+H928-H931</f>
        <v>193166.6667</v>
      </c>
      <c r="I932" s="226">
        <f>250000-I929</f>
        <v>250000</v>
      </c>
      <c r="J932" s="238">
        <f>200000+J928+J927</f>
        <v>200000</v>
      </c>
      <c r="K932" s="226">
        <v>50000.0</v>
      </c>
      <c r="L932" s="206">
        <f>SUM(B932:K932)</f>
        <v>2196343.75</v>
      </c>
    </row>
    <row r="933">
      <c r="A933" s="126" t="s">
        <v>0</v>
      </c>
      <c r="B933" s="127" t="s">
        <v>90</v>
      </c>
      <c r="C933" s="127" t="s">
        <v>3</v>
      </c>
      <c r="D933" s="183" t="s">
        <v>155</v>
      </c>
      <c r="E933" s="183" t="s">
        <v>195</v>
      </c>
      <c r="F933" s="129" t="s">
        <v>51</v>
      </c>
      <c r="G933" s="129" t="s">
        <v>372</v>
      </c>
      <c r="H933" s="129" t="s">
        <v>477</v>
      </c>
      <c r="I933" s="129" t="s">
        <v>515</v>
      </c>
      <c r="J933" s="129" t="s">
        <v>10</v>
      </c>
      <c r="K933" s="129" t="s">
        <v>572</v>
      </c>
      <c r="L933" s="128" t="s">
        <v>110</v>
      </c>
    </row>
    <row r="934">
      <c r="A934" s="312"/>
      <c r="B934" s="72" t="s">
        <v>589</v>
      </c>
      <c r="C934" s="72" t="s">
        <v>589</v>
      </c>
      <c r="D934" s="125" t="s">
        <v>375</v>
      </c>
      <c r="E934" s="125" t="s">
        <v>375</v>
      </c>
      <c r="F934" s="125" t="s">
        <v>375</v>
      </c>
      <c r="G934" s="125" t="s">
        <v>375</v>
      </c>
      <c r="H934" s="72" t="s">
        <v>375</v>
      </c>
      <c r="I934" s="125" t="s">
        <v>590</v>
      </c>
      <c r="J934" s="125"/>
      <c r="K934" s="313"/>
      <c r="L934" s="313"/>
    </row>
    <row r="935">
      <c r="A935" s="314"/>
      <c r="B935" s="315"/>
      <c r="C935" s="125"/>
      <c r="D935" s="125"/>
      <c r="E935" s="313"/>
      <c r="F935" s="125"/>
      <c r="G935" s="125"/>
      <c r="H935" s="125"/>
      <c r="I935" s="125" t="s">
        <v>541</v>
      </c>
      <c r="J935" s="125" t="s">
        <v>541</v>
      </c>
      <c r="K935" s="122"/>
      <c r="L935" s="122"/>
      <c r="M935" s="122"/>
    </row>
    <row r="936">
      <c r="A936" s="312"/>
      <c r="D936" s="125"/>
      <c r="E936" s="125"/>
      <c r="F936" s="313"/>
      <c r="G936" s="125"/>
      <c r="I936" s="125"/>
      <c r="J936" s="125"/>
      <c r="K936" s="313"/>
      <c r="L936" s="313"/>
      <c r="M936" s="313"/>
    </row>
    <row r="937">
      <c r="A937" s="314"/>
      <c r="B937" s="253"/>
      <c r="C937" s="315"/>
      <c r="D937" s="253"/>
      <c r="E937" s="125"/>
      <c r="F937" s="125"/>
      <c r="G937" s="125"/>
      <c r="H937" s="125"/>
      <c r="I937" s="125"/>
      <c r="J937" s="253"/>
      <c r="K937" s="263"/>
      <c r="L937" s="263"/>
      <c r="M937" s="263"/>
    </row>
    <row r="938">
      <c r="A938" s="314"/>
      <c r="B938" s="125"/>
      <c r="C938" s="125"/>
      <c r="D938" s="125"/>
      <c r="E938" s="317"/>
      <c r="F938" s="125"/>
      <c r="G938" s="125"/>
      <c r="H938" s="313"/>
      <c r="I938" s="125"/>
      <c r="J938" s="125"/>
      <c r="K938" s="125"/>
      <c r="L938" s="318"/>
      <c r="M938" s="318"/>
    </row>
    <row r="939">
      <c r="A939" s="314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318"/>
      <c r="M939" s="318"/>
    </row>
    <row r="940">
      <c r="A940" s="314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318"/>
      <c r="M940" s="318"/>
    </row>
    <row r="941">
      <c r="A941" s="312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313"/>
      <c r="M941" s="313"/>
    </row>
    <row r="942">
      <c r="A942" s="272"/>
      <c r="B942" s="273"/>
      <c r="C942" s="273"/>
      <c r="D942" s="274"/>
      <c r="E942" s="274"/>
      <c r="F942" s="274"/>
      <c r="G942" s="247"/>
      <c r="H942" s="247"/>
      <c r="I942" s="247"/>
      <c r="J942" s="247"/>
      <c r="K942" s="247"/>
      <c r="L942" s="272"/>
      <c r="M942" s="272"/>
    </row>
    <row r="943">
      <c r="A943" s="272"/>
      <c r="B943" s="274"/>
      <c r="C943" s="275"/>
      <c r="E943" s="274"/>
      <c r="F943" s="278"/>
      <c r="G943" s="275"/>
      <c r="H943" s="283"/>
      <c r="I943" s="247"/>
      <c r="J943" s="283"/>
      <c r="K943" s="283"/>
    </row>
    <row r="944">
      <c r="A944" s="272"/>
      <c r="B944" s="273"/>
      <c r="C944" s="273"/>
      <c r="D944" s="274"/>
      <c r="E944" s="274"/>
      <c r="F944" s="274"/>
      <c r="G944" s="247"/>
      <c r="H944" s="247"/>
      <c r="I944" s="247"/>
      <c r="J944" s="247"/>
      <c r="K944" s="272"/>
    </row>
    <row r="945">
      <c r="A945" s="307"/>
    </row>
    <row r="946">
      <c r="A946" s="314"/>
      <c r="B946" s="315"/>
      <c r="C946" s="125"/>
      <c r="D946" s="125"/>
      <c r="E946" s="313"/>
      <c r="F946" s="125"/>
      <c r="G946" s="125"/>
      <c r="H946" s="125"/>
      <c r="I946" s="125"/>
      <c r="J946" s="125"/>
      <c r="K946" s="122"/>
      <c r="L946" s="122"/>
      <c r="M946" s="122"/>
    </row>
    <row r="947">
      <c r="A947" s="312"/>
      <c r="D947" s="125"/>
      <c r="E947" s="125"/>
      <c r="F947" s="313"/>
      <c r="G947" s="125"/>
      <c r="I947" s="125"/>
      <c r="J947" s="125"/>
      <c r="K947" s="313"/>
      <c r="L947" s="313"/>
      <c r="M947" s="313"/>
    </row>
    <row r="948">
      <c r="A948" s="314"/>
      <c r="B948" s="253"/>
      <c r="C948" s="315"/>
      <c r="D948" s="253"/>
      <c r="E948" s="125"/>
      <c r="F948" s="125"/>
      <c r="G948" s="125"/>
      <c r="H948" s="125"/>
      <c r="I948" s="125"/>
      <c r="J948" s="253"/>
      <c r="K948" s="263"/>
      <c r="L948" s="263"/>
      <c r="M948" s="263"/>
    </row>
    <row r="949">
      <c r="A949" s="314"/>
      <c r="B949" s="125"/>
      <c r="C949" s="125"/>
      <c r="D949" s="125"/>
      <c r="E949" s="317"/>
      <c r="F949" s="125"/>
      <c r="G949" s="125"/>
      <c r="H949" s="313"/>
      <c r="I949" s="125"/>
      <c r="J949" s="125"/>
      <c r="K949" s="125"/>
      <c r="L949" s="318"/>
      <c r="M949" s="318"/>
    </row>
    <row r="950">
      <c r="A950" s="314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318"/>
      <c r="M950" s="318"/>
    </row>
    <row r="951">
      <c r="A951" s="314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318"/>
      <c r="M951" s="318"/>
    </row>
    <row r="952">
      <c r="A952" s="312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313"/>
      <c r="M952" s="313"/>
    </row>
    <row r="953">
      <c r="A953" s="272"/>
      <c r="B953" s="273"/>
      <c r="C953" s="273"/>
      <c r="D953" s="274"/>
      <c r="E953" s="274"/>
      <c r="F953" s="274"/>
      <c r="G953" s="247"/>
      <c r="H953" s="247"/>
      <c r="I953" s="247"/>
      <c r="J953" s="247"/>
      <c r="K953" s="247"/>
      <c r="L953" s="272"/>
      <c r="M953" s="272"/>
    </row>
    <row r="954">
      <c r="A954" s="272"/>
      <c r="B954" s="270"/>
      <c r="C954" s="274"/>
      <c r="D954" s="270"/>
      <c r="E954" s="274"/>
      <c r="F954" s="270"/>
      <c r="G954" s="270"/>
      <c r="H954" s="247"/>
      <c r="I954" s="247"/>
      <c r="J954" s="247"/>
      <c r="K954" s="247"/>
    </row>
    <row r="955">
      <c r="A955" s="272"/>
      <c r="B955" s="273"/>
      <c r="C955" s="273"/>
      <c r="D955" s="274"/>
      <c r="E955" s="274"/>
      <c r="F955" s="274"/>
      <c r="G955" s="247"/>
      <c r="H955" s="247"/>
      <c r="I955" s="247"/>
      <c r="J955" s="247"/>
      <c r="K955" s="272"/>
    </row>
    <row r="956">
      <c r="A956" s="307"/>
    </row>
    <row r="957">
      <c r="A957" s="314"/>
      <c r="B957" s="315"/>
      <c r="C957" s="125"/>
      <c r="D957" s="125"/>
      <c r="E957" s="313"/>
      <c r="F957" s="125"/>
      <c r="G957" s="125"/>
      <c r="H957" s="125"/>
      <c r="I957" s="125"/>
      <c r="J957" s="125"/>
      <c r="K957" s="122"/>
      <c r="L957" s="122"/>
      <c r="M957" s="122"/>
    </row>
    <row r="958">
      <c r="A958" s="312"/>
      <c r="D958" s="125"/>
      <c r="E958" s="125"/>
      <c r="F958" s="313"/>
      <c r="G958" s="125"/>
      <c r="I958" s="125"/>
      <c r="J958" s="125"/>
      <c r="K958" s="313"/>
      <c r="L958" s="313"/>
      <c r="M958" s="313"/>
    </row>
    <row r="959">
      <c r="A959" s="314"/>
      <c r="B959" s="253"/>
      <c r="C959" s="315"/>
      <c r="D959" s="253"/>
      <c r="E959" s="125"/>
      <c r="F959" s="125"/>
      <c r="G959" s="125"/>
      <c r="H959" s="125"/>
      <c r="I959" s="125"/>
      <c r="J959" s="253"/>
      <c r="K959" s="263"/>
      <c r="L959" s="263"/>
      <c r="M959" s="263"/>
    </row>
    <row r="960">
      <c r="A960" s="314"/>
      <c r="B960" s="125"/>
      <c r="C960" s="125"/>
      <c r="D960" s="125"/>
      <c r="E960" s="317"/>
      <c r="F960" s="125"/>
      <c r="G960" s="125"/>
      <c r="H960" s="313"/>
      <c r="I960" s="125"/>
      <c r="J960" s="125"/>
      <c r="K960" s="125"/>
      <c r="L960" s="318"/>
      <c r="M960" s="318"/>
    </row>
    <row r="961">
      <c r="A961" s="314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318"/>
      <c r="M961" s="318"/>
    </row>
    <row r="962">
      <c r="A962" s="314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318"/>
      <c r="M962" s="318"/>
    </row>
    <row r="963">
      <c r="A963" s="312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313"/>
      <c r="M963" s="313"/>
    </row>
    <row r="964">
      <c r="A964" s="272"/>
      <c r="B964" s="273"/>
      <c r="C964" s="273"/>
      <c r="D964" s="274"/>
      <c r="E964" s="274"/>
      <c r="F964" s="274"/>
      <c r="G964" s="247"/>
      <c r="H964" s="247"/>
      <c r="I964" s="247"/>
      <c r="J964" s="247"/>
      <c r="K964" s="247"/>
      <c r="L964" s="272"/>
      <c r="M964" s="272"/>
    </row>
    <row r="965">
      <c r="A965" s="272"/>
      <c r="B965" s="270"/>
      <c r="C965" s="274"/>
      <c r="D965" s="270"/>
      <c r="E965" s="274"/>
      <c r="F965" s="270"/>
      <c r="G965" s="270"/>
      <c r="H965" s="247"/>
      <c r="I965" s="247"/>
      <c r="J965" s="247"/>
      <c r="K965" s="247"/>
    </row>
    <row r="966">
      <c r="A966" s="272"/>
      <c r="B966" s="274"/>
      <c r="C966" s="273"/>
      <c r="D966" s="274"/>
      <c r="E966" s="274"/>
      <c r="F966" s="274"/>
      <c r="G966" s="247"/>
      <c r="H966" s="247"/>
      <c r="I966" s="247"/>
      <c r="J966" s="247"/>
      <c r="K966" s="272"/>
    </row>
    <row r="967">
      <c r="A967" s="272"/>
      <c r="B967" s="273"/>
      <c r="C967" s="273"/>
      <c r="D967" s="274"/>
      <c r="E967" s="274"/>
      <c r="F967" s="274"/>
      <c r="G967" s="247"/>
      <c r="H967" s="247"/>
      <c r="I967" s="247"/>
      <c r="J967" s="247"/>
      <c r="K967" s="272"/>
    </row>
    <row r="968">
      <c r="A968" s="272"/>
      <c r="B968" s="273"/>
      <c r="C968" s="273"/>
      <c r="D968" s="274"/>
      <c r="E968" s="274"/>
      <c r="F968" s="274"/>
      <c r="G968" s="247"/>
      <c r="H968" s="247"/>
      <c r="I968" s="247"/>
      <c r="J968" s="247"/>
      <c r="K968" s="272"/>
    </row>
    <row r="969">
      <c r="A969" s="272"/>
      <c r="B969" s="273"/>
      <c r="C969" s="273"/>
      <c r="D969" s="274"/>
      <c r="E969" s="274"/>
      <c r="F969" s="274"/>
      <c r="G969" s="247"/>
      <c r="H969" s="247"/>
      <c r="I969" s="247"/>
      <c r="J969" s="247"/>
      <c r="K969" s="272"/>
    </row>
    <row r="970">
      <c r="A970" s="272"/>
      <c r="B970" s="273"/>
      <c r="C970" s="273"/>
      <c r="D970" s="274"/>
      <c r="E970" s="274"/>
      <c r="F970" s="274"/>
      <c r="G970" s="247"/>
      <c r="H970" s="247"/>
      <c r="I970" s="247"/>
      <c r="J970" s="247"/>
      <c r="K970" s="272"/>
    </row>
    <row r="971">
      <c r="A971" s="272"/>
      <c r="B971" s="273"/>
      <c r="C971" s="273"/>
      <c r="D971" s="274"/>
      <c r="E971" s="274"/>
      <c r="F971" s="274"/>
      <c r="G971" s="247"/>
      <c r="H971" s="247"/>
      <c r="I971" s="247"/>
      <c r="J971" s="247"/>
      <c r="K971" s="272"/>
    </row>
    <row r="972">
      <c r="A972" s="272"/>
      <c r="B972" s="273"/>
      <c r="C972" s="273"/>
      <c r="D972" s="274"/>
      <c r="E972" s="274"/>
      <c r="F972" s="274"/>
      <c r="G972" s="247"/>
      <c r="H972" s="247"/>
      <c r="I972" s="247"/>
      <c r="J972" s="247"/>
      <c r="K972" s="272"/>
    </row>
    <row r="973">
      <c r="A973" s="272"/>
      <c r="B973" s="273"/>
      <c r="C973" s="273"/>
      <c r="D973" s="274"/>
      <c r="E973" s="274"/>
      <c r="F973" s="274"/>
      <c r="G973" s="247"/>
      <c r="H973" s="247"/>
      <c r="I973" s="247"/>
      <c r="J973" s="247"/>
      <c r="K973" s="272"/>
    </row>
    <row r="974">
      <c r="A974" s="272"/>
      <c r="B974" s="273"/>
      <c r="C974" s="273"/>
      <c r="D974" s="274"/>
      <c r="E974" s="274"/>
      <c r="F974" s="274"/>
      <c r="G974" s="247"/>
      <c r="H974" s="247"/>
      <c r="I974" s="247"/>
      <c r="J974" s="247"/>
      <c r="K974" s="272"/>
    </row>
    <row r="975">
      <c r="A975" s="272"/>
      <c r="B975" s="273"/>
      <c r="C975" s="273"/>
      <c r="D975" s="274"/>
      <c r="E975" s="274"/>
      <c r="F975" s="274"/>
      <c r="G975" s="247"/>
      <c r="H975" s="247"/>
      <c r="I975" s="247"/>
      <c r="J975" s="247"/>
      <c r="K975" s="272"/>
    </row>
    <row r="976">
      <c r="A976" s="272"/>
      <c r="B976" s="273"/>
      <c r="C976" s="273"/>
      <c r="D976" s="274"/>
      <c r="E976" s="274"/>
      <c r="F976" s="274"/>
      <c r="G976" s="247"/>
      <c r="H976" s="247"/>
      <c r="I976" s="247"/>
      <c r="J976" s="247"/>
      <c r="K976" s="272"/>
    </row>
    <row r="977">
      <c r="A977" s="272"/>
      <c r="B977" s="273"/>
      <c r="C977" s="273"/>
      <c r="D977" s="274"/>
      <c r="E977" s="274"/>
      <c r="F977" s="274"/>
      <c r="G977" s="247"/>
      <c r="H977" s="247"/>
      <c r="I977" s="247"/>
      <c r="J977" s="247"/>
      <c r="K977" s="272"/>
    </row>
    <row r="978">
      <c r="A978" s="272"/>
      <c r="B978" s="273"/>
      <c r="C978" s="273"/>
      <c r="D978" s="274"/>
      <c r="E978" s="274"/>
      <c r="F978" s="274"/>
      <c r="G978" s="247"/>
      <c r="H978" s="247"/>
      <c r="I978" s="247"/>
      <c r="J978" s="247"/>
      <c r="K978" s="272"/>
    </row>
    <row r="979">
      <c r="A979" s="272"/>
      <c r="B979" s="273"/>
      <c r="C979" s="273"/>
      <c r="D979" s="274"/>
      <c r="E979" s="274"/>
      <c r="F979" s="274"/>
      <c r="G979" s="247"/>
      <c r="H979" s="247"/>
      <c r="I979" s="247"/>
      <c r="J979" s="247"/>
      <c r="K979" s="272"/>
    </row>
    <row r="980">
      <c r="A980" s="272"/>
      <c r="B980" s="273"/>
      <c r="C980" s="273"/>
      <c r="D980" s="274"/>
      <c r="E980" s="274"/>
      <c r="F980" s="274"/>
      <c r="G980" s="247"/>
      <c r="H980" s="247"/>
      <c r="I980" s="247"/>
      <c r="J980" s="247"/>
      <c r="K980" s="272"/>
    </row>
    <row r="981">
      <c r="A981" s="272"/>
      <c r="B981" s="273"/>
      <c r="C981" s="273"/>
      <c r="D981" s="274"/>
      <c r="E981" s="274"/>
      <c r="F981" s="274"/>
      <c r="G981" s="247"/>
      <c r="H981" s="247"/>
      <c r="I981" s="247"/>
      <c r="J981" s="247"/>
      <c r="K981" s="272"/>
    </row>
    <row r="982">
      <c r="A982" s="272"/>
      <c r="B982" s="273"/>
      <c r="C982" s="273"/>
      <c r="D982" s="274"/>
      <c r="E982" s="274"/>
      <c r="F982" s="274"/>
      <c r="G982" s="247"/>
      <c r="H982" s="247"/>
      <c r="I982" s="247"/>
      <c r="J982" s="247"/>
      <c r="K982" s="272"/>
    </row>
    <row r="983">
      <c r="A983" s="272"/>
      <c r="B983" s="273"/>
      <c r="C983" s="273"/>
      <c r="D983" s="274"/>
      <c r="E983" s="274"/>
      <c r="F983" s="274"/>
      <c r="G983" s="247"/>
      <c r="H983" s="247"/>
      <c r="I983" s="247"/>
      <c r="J983" s="247"/>
      <c r="K983" s="272"/>
    </row>
    <row r="984">
      <c r="A984" s="272"/>
      <c r="B984" s="273"/>
      <c r="C984" s="273"/>
      <c r="D984" s="274"/>
      <c r="E984" s="274"/>
      <c r="F984" s="274"/>
      <c r="G984" s="247"/>
      <c r="H984" s="247"/>
      <c r="I984" s="247"/>
      <c r="J984" s="247"/>
      <c r="K984" s="272"/>
    </row>
    <row r="985">
      <c r="A985" s="272"/>
      <c r="B985" s="273"/>
      <c r="C985" s="273"/>
      <c r="D985" s="274"/>
      <c r="E985" s="274"/>
      <c r="F985" s="274"/>
      <c r="G985" s="247"/>
      <c r="H985" s="247"/>
      <c r="I985" s="247"/>
      <c r="J985" s="247"/>
      <c r="K985" s="272"/>
    </row>
    <row r="986">
      <c r="A986" s="272"/>
      <c r="B986" s="273"/>
      <c r="C986" s="273"/>
      <c r="D986" s="274"/>
      <c r="E986" s="274"/>
      <c r="F986" s="274"/>
      <c r="G986" s="247"/>
      <c r="H986" s="247"/>
      <c r="I986" s="247"/>
      <c r="J986" s="247"/>
      <c r="K986" s="272"/>
    </row>
    <row r="987">
      <c r="A987" s="272"/>
      <c r="B987" s="273"/>
      <c r="C987" s="273"/>
      <c r="D987" s="274"/>
      <c r="E987" s="274"/>
      <c r="F987" s="274"/>
      <c r="G987" s="247"/>
      <c r="H987" s="247"/>
      <c r="I987" s="247"/>
      <c r="J987" s="247"/>
      <c r="K987" s="272"/>
    </row>
    <row r="988">
      <c r="A988" s="272"/>
      <c r="B988" s="273"/>
      <c r="C988" s="273"/>
      <c r="D988" s="274"/>
      <c r="E988" s="274"/>
      <c r="F988" s="274"/>
      <c r="G988" s="247"/>
      <c r="H988" s="247"/>
      <c r="I988" s="247"/>
      <c r="J988" s="247"/>
      <c r="K988" s="272"/>
    </row>
    <row r="989">
      <c r="A989" s="272"/>
      <c r="B989" s="273"/>
      <c r="C989" s="273"/>
      <c r="D989" s="274"/>
      <c r="E989" s="274"/>
      <c r="F989" s="274"/>
      <c r="G989" s="247"/>
      <c r="H989" s="247"/>
      <c r="I989" s="247"/>
      <c r="J989" s="247"/>
      <c r="K989" s="272"/>
    </row>
    <row r="990">
      <c r="A990" s="272"/>
      <c r="B990" s="273"/>
      <c r="C990" s="273"/>
      <c r="D990" s="274"/>
      <c r="E990" s="274"/>
      <c r="F990" s="274"/>
      <c r="G990" s="247"/>
      <c r="H990" s="247"/>
      <c r="I990" s="247"/>
      <c r="J990" s="247"/>
      <c r="K990" s="272"/>
    </row>
    <row r="991">
      <c r="A991" s="272"/>
      <c r="B991" s="273"/>
      <c r="C991" s="273"/>
      <c r="D991" s="274"/>
      <c r="E991" s="274"/>
      <c r="F991" s="274"/>
      <c r="G991" s="247"/>
      <c r="H991" s="247"/>
      <c r="I991" s="247"/>
      <c r="J991" s="247"/>
      <c r="K991" s="272"/>
    </row>
    <row r="992">
      <c r="A992" s="272"/>
      <c r="B992" s="273"/>
      <c r="C992" s="273"/>
      <c r="D992" s="274"/>
      <c r="E992" s="274"/>
      <c r="F992" s="274"/>
      <c r="G992" s="247"/>
      <c r="H992" s="247"/>
      <c r="I992" s="247"/>
      <c r="J992" s="247"/>
      <c r="K992" s="272"/>
    </row>
    <row r="993">
      <c r="A993" s="272"/>
      <c r="B993" s="273"/>
      <c r="C993" s="273"/>
      <c r="D993" s="274"/>
      <c r="E993" s="274"/>
      <c r="F993" s="274"/>
      <c r="G993" s="247"/>
      <c r="H993" s="247"/>
      <c r="I993" s="247"/>
      <c r="J993" s="247"/>
      <c r="K993" s="272"/>
    </row>
    <row r="994">
      <c r="A994" s="272"/>
      <c r="B994" s="273"/>
      <c r="C994" s="273"/>
      <c r="D994" s="274"/>
      <c r="E994" s="274"/>
      <c r="F994" s="274"/>
      <c r="G994" s="247"/>
      <c r="H994" s="247"/>
      <c r="I994" s="247"/>
      <c r="J994" s="247"/>
      <c r="K994" s="272"/>
    </row>
    <row r="995">
      <c r="A995" s="272"/>
      <c r="B995" s="273"/>
      <c r="C995" s="273"/>
      <c r="D995" s="274"/>
      <c r="E995" s="274"/>
      <c r="F995" s="274"/>
      <c r="G995" s="247"/>
      <c r="H995" s="247"/>
      <c r="I995" s="247"/>
      <c r="J995" s="247"/>
      <c r="K995" s="272"/>
    </row>
    <row r="996">
      <c r="A996" s="272"/>
      <c r="B996" s="273"/>
      <c r="C996" s="273"/>
      <c r="D996" s="274"/>
      <c r="E996" s="274"/>
      <c r="F996" s="274"/>
      <c r="G996" s="247"/>
      <c r="H996" s="247"/>
      <c r="I996" s="247"/>
      <c r="J996" s="247"/>
      <c r="K996" s="272"/>
    </row>
    <row r="997">
      <c r="A997" s="272"/>
      <c r="B997" s="273"/>
      <c r="C997" s="273"/>
      <c r="D997" s="274"/>
      <c r="E997" s="274"/>
      <c r="F997" s="274"/>
      <c r="G997" s="247"/>
      <c r="H997" s="247"/>
      <c r="I997" s="247"/>
      <c r="J997" s="247"/>
      <c r="K997" s="272"/>
    </row>
    <row r="998">
      <c r="A998" s="272"/>
      <c r="B998" s="273"/>
      <c r="C998" s="273"/>
      <c r="D998" s="274"/>
      <c r="E998" s="274"/>
      <c r="F998" s="274"/>
      <c r="G998" s="247"/>
      <c r="H998" s="247"/>
      <c r="I998" s="247"/>
      <c r="J998" s="247"/>
      <c r="K998" s="272"/>
    </row>
    <row r="999">
      <c r="A999" s="272"/>
      <c r="B999" s="273"/>
      <c r="C999" s="273"/>
      <c r="D999" s="274"/>
      <c r="E999" s="274"/>
      <c r="F999" s="274"/>
      <c r="G999" s="247"/>
      <c r="H999" s="247"/>
      <c r="I999" s="247"/>
      <c r="J999" s="247"/>
      <c r="K999" s="272"/>
    </row>
    <row r="1000">
      <c r="A1000" s="272"/>
      <c r="B1000" s="273"/>
      <c r="C1000" s="273"/>
      <c r="D1000" s="274"/>
      <c r="E1000" s="274"/>
      <c r="F1000" s="274"/>
      <c r="G1000" s="247"/>
      <c r="H1000" s="247"/>
      <c r="I1000" s="247"/>
      <c r="J1000" s="247"/>
      <c r="K1000" s="272"/>
    </row>
    <row r="1001">
      <c r="A1001" s="272"/>
      <c r="B1001" s="273"/>
      <c r="C1001" s="273"/>
      <c r="D1001" s="274"/>
      <c r="E1001" s="274"/>
      <c r="F1001" s="274"/>
      <c r="G1001" s="247"/>
      <c r="H1001" s="247"/>
      <c r="I1001" s="247"/>
      <c r="J1001" s="247"/>
      <c r="K1001" s="272"/>
    </row>
    <row r="1002">
      <c r="A1002" s="272"/>
      <c r="B1002" s="273"/>
      <c r="C1002" s="273"/>
      <c r="D1002" s="274"/>
      <c r="E1002" s="274"/>
      <c r="F1002" s="274"/>
      <c r="G1002" s="247"/>
      <c r="H1002" s="247"/>
      <c r="I1002" s="247"/>
      <c r="J1002" s="247"/>
      <c r="K1002" s="272"/>
    </row>
    <row r="1003">
      <c r="A1003" s="272"/>
      <c r="B1003" s="273"/>
      <c r="C1003" s="273"/>
      <c r="D1003" s="274"/>
      <c r="E1003" s="274"/>
      <c r="F1003" s="274"/>
      <c r="G1003" s="247"/>
      <c r="H1003" s="247"/>
      <c r="I1003" s="247"/>
      <c r="J1003" s="247"/>
      <c r="K1003" s="272"/>
    </row>
    <row r="1004">
      <c r="A1004" s="272"/>
      <c r="B1004" s="273"/>
      <c r="C1004" s="273"/>
      <c r="D1004" s="274"/>
      <c r="E1004" s="274"/>
      <c r="F1004" s="274"/>
      <c r="G1004" s="247"/>
      <c r="H1004" s="247"/>
      <c r="I1004" s="247"/>
      <c r="J1004" s="247"/>
      <c r="K1004" s="272"/>
    </row>
    <row r="1005">
      <c r="A1005" s="272"/>
      <c r="B1005" s="273"/>
      <c r="C1005" s="273"/>
      <c r="D1005" s="274"/>
      <c r="E1005" s="274"/>
      <c r="F1005" s="274"/>
      <c r="G1005" s="247"/>
      <c r="H1005" s="247"/>
      <c r="I1005" s="247"/>
      <c r="J1005" s="247"/>
      <c r="K1005" s="272"/>
    </row>
    <row r="1006">
      <c r="A1006" s="272"/>
      <c r="B1006" s="273"/>
      <c r="C1006" s="273"/>
      <c r="D1006" s="274"/>
      <c r="E1006" s="274"/>
      <c r="F1006" s="274"/>
      <c r="G1006" s="247"/>
      <c r="H1006" s="247"/>
      <c r="I1006" s="247"/>
      <c r="J1006" s="247"/>
      <c r="K1006" s="272"/>
    </row>
    <row r="1007">
      <c r="A1007" s="272"/>
      <c r="B1007" s="273"/>
      <c r="C1007" s="273"/>
      <c r="D1007" s="274"/>
      <c r="E1007" s="274"/>
      <c r="F1007" s="274"/>
      <c r="G1007" s="247"/>
      <c r="H1007" s="247"/>
      <c r="I1007" s="247"/>
      <c r="J1007" s="247"/>
      <c r="K1007" s="272"/>
    </row>
    <row r="1008">
      <c r="A1008" s="272"/>
      <c r="B1008" s="273"/>
      <c r="C1008" s="273"/>
      <c r="D1008" s="274"/>
      <c r="E1008" s="274"/>
      <c r="F1008" s="274"/>
      <c r="G1008" s="247"/>
      <c r="H1008" s="247"/>
      <c r="I1008" s="247"/>
      <c r="J1008" s="247"/>
      <c r="K1008" s="272"/>
    </row>
    <row r="1009">
      <c r="A1009" s="272"/>
      <c r="B1009" s="273"/>
      <c r="C1009" s="273"/>
      <c r="D1009" s="274"/>
      <c r="E1009" s="274"/>
      <c r="F1009" s="274"/>
      <c r="G1009" s="247"/>
      <c r="H1009" s="247"/>
      <c r="I1009" s="247"/>
      <c r="J1009" s="247"/>
      <c r="K1009" s="272"/>
    </row>
    <row r="1010">
      <c r="A1010" s="272"/>
      <c r="B1010" s="273"/>
      <c r="C1010" s="273"/>
      <c r="D1010" s="274"/>
      <c r="E1010" s="274"/>
      <c r="F1010" s="274"/>
      <c r="G1010" s="247"/>
      <c r="H1010" s="247"/>
      <c r="I1010" s="247"/>
      <c r="J1010" s="247"/>
      <c r="K1010" s="272"/>
    </row>
    <row r="1011">
      <c r="A1011" s="272"/>
      <c r="B1011" s="273"/>
      <c r="C1011" s="273"/>
      <c r="D1011" s="274"/>
      <c r="E1011" s="274"/>
      <c r="F1011" s="274"/>
      <c r="G1011" s="247"/>
      <c r="H1011" s="247"/>
      <c r="I1011" s="247"/>
      <c r="J1011" s="247"/>
      <c r="K1011" s="272"/>
    </row>
    <row r="1012">
      <c r="A1012" s="272"/>
      <c r="B1012" s="273"/>
      <c r="C1012" s="273"/>
      <c r="D1012" s="274"/>
      <c r="E1012" s="274"/>
      <c r="F1012" s="274"/>
      <c r="G1012" s="247"/>
      <c r="H1012" s="247"/>
      <c r="I1012" s="247"/>
      <c r="J1012" s="247"/>
      <c r="K1012" s="272"/>
    </row>
    <row r="1013">
      <c r="A1013" s="272"/>
      <c r="B1013" s="273"/>
      <c r="C1013" s="273"/>
      <c r="D1013" s="274"/>
      <c r="E1013" s="274"/>
      <c r="F1013" s="274"/>
      <c r="G1013" s="247"/>
      <c r="H1013" s="247"/>
      <c r="I1013" s="247"/>
      <c r="J1013" s="247"/>
      <c r="K1013" s="272"/>
    </row>
    <row r="1014">
      <c r="A1014" s="272"/>
      <c r="B1014" s="273"/>
      <c r="C1014" s="273"/>
      <c r="D1014" s="274"/>
      <c r="E1014" s="274"/>
      <c r="F1014" s="274"/>
      <c r="G1014" s="247"/>
      <c r="H1014" s="247"/>
      <c r="I1014" s="247"/>
      <c r="J1014" s="247"/>
      <c r="K1014" s="272"/>
    </row>
    <row r="1015">
      <c r="A1015" s="272"/>
      <c r="B1015" s="273"/>
      <c r="C1015" s="273"/>
      <c r="D1015" s="274"/>
      <c r="E1015" s="274"/>
      <c r="F1015" s="274"/>
      <c r="G1015" s="247"/>
      <c r="H1015" s="247"/>
      <c r="I1015" s="247"/>
      <c r="J1015" s="247"/>
      <c r="K1015" s="272"/>
    </row>
    <row r="1016">
      <c r="A1016" s="272"/>
      <c r="B1016" s="273"/>
      <c r="C1016" s="273"/>
      <c r="D1016" s="274"/>
      <c r="E1016" s="274"/>
      <c r="F1016" s="274"/>
      <c r="G1016" s="247"/>
      <c r="H1016" s="247"/>
      <c r="I1016" s="247"/>
      <c r="J1016" s="247"/>
      <c r="K1016" s="272"/>
    </row>
    <row r="1017">
      <c r="A1017" s="272"/>
      <c r="B1017" s="273"/>
      <c r="C1017" s="273"/>
      <c r="D1017" s="274"/>
      <c r="E1017" s="274"/>
      <c r="F1017" s="274"/>
      <c r="G1017" s="247"/>
      <c r="H1017" s="247"/>
      <c r="I1017" s="247"/>
      <c r="J1017" s="247"/>
      <c r="K1017" s="272"/>
    </row>
    <row r="1018">
      <c r="A1018" s="272"/>
      <c r="B1018" s="273"/>
      <c r="C1018" s="273"/>
      <c r="D1018" s="274"/>
      <c r="E1018" s="274"/>
      <c r="F1018" s="274"/>
      <c r="G1018" s="247"/>
      <c r="H1018" s="247"/>
      <c r="I1018" s="247"/>
      <c r="J1018" s="247"/>
      <c r="K1018" s="272"/>
    </row>
    <row r="1019">
      <c r="A1019" s="272"/>
      <c r="B1019" s="273"/>
      <c r="C1019" s="273"/>
      <c r="D1019" s="274"/>
      <c r="E1019" s="274"/>
      <c r="F1019" s="274"/>
      <c r="G1019" s="247"/>
      <c r="H1019" s="247"/>
      <c r="I1019" s="247"/>
      <c r="J1019" s="247"/>
      <c r="K1019" s="272"/>
    </row>
    <row r="1020">
      <c r="A1020" s="272"/>
      <c r="B1020" s="273"/>
      <c r="C1020" s="273"/>
      <c r="D1020" s="274"/>
      <c r="E1020" s="274"/>
      <c r="F1020" s="274"/>
      <c r="G1020" s="247"/>
      <c r="H1020" s="247"/>
      <c r="I1020" s="247"/>
      <c r="J1020" s="247"/>
      <c r="K1020" s="272"/>
    </row>
    <row r="1021">
      <c r="A1021" s="272"/>
      <c r="B1021" s="273"/>
      <c r="C1021" s="273"/>
      <c r="D1021" s="274"/>
      <c r="E1021" s="274"/>
      <c r="F1021" s="274"/>
      <c r="G1021" s="247"/>
      <c r="H1021" s="247"/>
      <c r="I1021" s="247"/>
      <c r="J1021" s="247"/>
      <c r="K1021" s="272"/>
    </row>
    <row r="1022">
      <c r="A1022" s="272"/>
      <c r="B1022" s="273"/>
      <c r="C1022" s="273"/>
      <c r="D1022" s="274"/>
      <c r="E1022" s="274"/>
      <c r="F1022" s="274"/>
      <c r="G1022" s="247"/>
      <c r="H1022" s="247"/>
      <c r="I1022" s="247"/>
      <c r="J1022" s="247"/>
      <c r="K1022" s="272"/>
    </row>
    <row r="1023">
      <c r="A1023" s="272"/>
      <c r="B1023" s="273"/>
      <c r="C1023" s="273"/>
      <c r="D1023" s="274"/>
      <c r="E1023" s="274"/>
      <c r="F1023" s="274"/>
      <c r="G1023" s="247"/>
      <c r="H1023" s="247"/>
      <c r="I1023" s="247"/>
      <c r="J1023" s="247"/>
      <c r="K1023" s="272"/>
    </row>
    <row r="1024">
      <c r="A1024" s="272"/>
      <c r="B1024" s="273"/>
      <c r="C1024" s="273"/>
      <c r="D1024" s="274"/>
      <c r="E1024" s="274"/>
      <c r="F1024" s="274"/>
      <c r="G1024" s="247"/>
      <c r="H1024" s="247"/>
      <c r="I1024" s="247"/>
      <c r="J1024" s="247"/>
      <c r="K1024" s="272"/>
    </row>
    <row r="1025">
      <c r="A1025" s="272"/>
      <c r="B1025" s="273"/>
      <c r="C1025" s="273"/>
      <c r="D1025" s="274"/>
      <c r="E1025" s="274"/>
      <c r="F1025" s="274"/>
      <c r="G1025" s="247"/>
      <c r="H1025" s="247"/>
      <c r="I1025" s="247"/>
      <c r="J1025" s="247"/>
      <c r="K1025" s="272"/>
    </row>
    <row r="1026">
      <c r="A1026" s="272"/>
      <c r="B1026" s="273"/>
      <c r="C1026" s="273"/>
      <c r="D1026" s="274"/>
      <c r="E1026" s="274"/>
      <c r="F1026" s="274"/>
      <c r="G1026" s="247"/>
      <c r="H1026" s="247"/>
      <c r="I1026" s="247"/>
      <c r="J1026" s="247"/>
      <c r="K1026" s="272"/>
    </row>
    <row r="1027">
      <c r="A1027" s="272"/>
      <c r="B1027" s="273"/>
      <c r="C1027" s="273"/>
      <c r="D1027" s="274"/>
      <c r="E1027" s="274"/>
      <c r="F1027" s="274"/>
      <c r="G1027" s="247"/>
      <c r="H1027" s="247"/>
      <c r="I1027" s="247"/>
      <c r="J1027" s="247"/>
      <c r="K1027" s="272"/>
    </row>
    <row r="1028">
      <c r="A1028" s="272"/>
      <c r="B1028" s="273"/>
      <c r="C1028" s="273"/>
      <c r="D1028" s="274"/>
      <c r="E1028" s="274"/>
      <c r="F1028" s="274"/>
      <c r="G1028" s="247"/>
      <c r="H1028" s="247"/>
      <c r="I1028" s="247"/>
      <c r="J1028" s="247"/>
      <c r="K1028" s="272"/>
    </row>
    <row r="1029">
      <c r="A1029" s="272"/>
      <c r="B1029" s="273"/>
      <c r="C1029" s="273"/>
      <c r="D1029" s="274"/>
      <c r="E1029" s="274"/>
      <c r="F1029" s="274"/>
      <c r="G1029" s="247"/>
      <c r="H1029" s="247"/>
      <c r="I1029" s="247"/>
      <c r="J1029" s="247"/>
      <c r="K1029" s="272"/>
    </row>
    <row r="1030">
      <c r="A1030" s="272"/>
      <c r="B1030" s="273"/>
      <c r="C1030" s="273"/>
      <c r="D1030" s="274"/>
      <c r="E1030" s="274"/>
      <c r="F1030" s="274"/>
      <c r="G1030" s="247"/>
      <c r="H1030" s="247"/>
      <c r="I1030" s="247"/>
      <c r="J1030" s="247"/>
      <c r="K1030" s="272"/>
    </row>
    <row r="1031">
      <c r="A1031" s="272"/>
      <c r="B1031" s="273"/>
      <c r="C1031" s="273"/>
      <c r="D1031" s="274"/>
      <c r="E1031" s="274"/>
      <c r="F1031" s="274"/>
      <c r="G1031" s="247"/>
      <c r="H1031" s="247"/>
      <c r="I1031" s="247"/>
      <c r="J1031" s="247"/>
      <c r="K1031" s="272"/>
    </row>
    <row r="1032">
      <c r="A1032" s="272"/>
      <c r="B1032" s="273"/>
      <c r="C1032" s="273"/>
      <c r="D1032" s="274"/>
      <c r="E1032" s="274"/>
      <c r="F1032" s="274"/>
      <c r="G1032" s="247"/>
      <c r="H1032" s="247"/>
      <c r="I1032" s="247"/>
      <c r="J1032" s="247"/>
      <c r="K1032" s="272"/>
    </row>
    <row r="1033">
      <c r="A1033" s="272"/>
      <c r="B1033" s="273"/>
      <c r="C1033" s="273"/>
      <c r="D1033" s="274"/>
      <c r="E1033" s="274"/>
      <c r="F1033" s="274"/>
      <c r="G1033" s="247"/>
      <c r="H1033" s="247"/>
      <c r="I1033" s="247"/>
      <c r="J1033" s="247"/>
      <c r="K1033" s="272"/>
    </row>
    <row r="1034">
      <c r="A1034" s="272"/>
      <c r="B1034" s="273"/>
      <c r="C1034" s="273"/>
      <c r="D1034" s="274"/>
      <c r="E1034" s="274"/>
      <c r="F1034" s="274"/>
      <c r="G1034" s="247"/>
      <c r="H1034" s="247"/>
      <c r="I1034" s="247"/>
      <c r="J1034" s="247"/>
      <c r="K1034" s="272"/>
    </row>
    <row r="1035">
      <c r="A1035" s="272"/>
      <c r="B1035" s="273"/>
      <c r="C1035" s="273"/>
      <c r="D1035" s="274"/>
      <c r="E1035" s="274"/>
      <c r="F1035" s="274"/>
      <c r="G1035" s="247"/>
      <c r="H1035" s="247"/>
      <c r="I1035" s="247"/>
      <c r="J1035" s="247"/>
      <c r="K1035" s="272"/>
    </row>
    <row r="1036">
      <c r="A1036" s="272"/>
      <c r="B1036" s="273"/>
      <c r="C1036" s="273"/>
      <c r="D1036" s="274"/>
      <c r="E1036" s="274"/>
      <c r="F1036" s="274"/>
      <c r="G1036" s="247"/>
      <c r="H1036" s="247"/>
      <c r="I1036" s="247"/>
      <c r="J1036" s="247"/>
      <c r="K1036" s="272"/>
    </row>
    <row r="1037">
      <c r="A1037" s="272"/>
      <c r="B1037" s="273"/>
      <c r="C1037" s="273"/>
      <c r="D1037" s="274"/>
      <c r="E1037" s="274"/>
      <c r="F1037" s="274"/>
      <c r="G1037" s="247"/>
      <c r="H1037" s="247"/>
      <c r="I1037" s="247"/>
      <c r="J1037" s="247"/>
      <c r="K1037" s="272"/>
    </row>
    <row r="1038">
      <c r="A1038" s="272"/>
      <c r="B1038" s="273"/>
      <c r="C1038" s="273"/>
      <c r="D1038" s="274"/>
      <c r="E1038" s="274"/>
      <c r="F1038" s="274"/>
      <c r="G1038" s="247"/>
      <c r="H1038" s="247"/>
      <c r="I1038" s="247"/>
      <c r="J1038" s="247"/>
      <c r="K1038" s="272"/>
    </row>
    <row r="1039">
      <c r="A1039" s="272"/>
      <c r="B1039" s="273"/>
      <c r="C1039" s="273"/>
      <c r="D1039" s="274"/>
      <c r="E1039" s="274"/>
      <c r="F1039" s="274"/>
      <c r="G1039" s="247"/>
      <c r="H1039" s="247"/>
      <c r="I1039" s="247"/>
      <c r="J1039" s="247"/>
      <c r="K1039" s="272"/>
    </row>
    <row r="1040">
      <c r="A1040" s="272"/>
      <c r="B1040" s="273"/>
      <c r="C1040" s="273"/>
      <c r="D1040" s="274"/>
      <c r="E1040" s="274"/>
      <c r="F1040" s="274"/>
      <c r="G1040" s="247"/>
      <c r="H1040" s="247"/>
      <c r="I1040" s="247"/>
      <c r="J1040" s="247"/>
      <c r="K1040" s="272"/>
    </row>
    <row r="1041">
      <c r="A1041" s="272"/>
      <c r="B1041" s="273"/>
      <c r="C1041" s="273"/>
      <c r="D1041" s="274"/>
      <c r="E1041" s="274"/>
      <c r="F1041" s="274"/>
      <c r="G1041" s="247"/>
      <c r="H1041" s="247"/>
      <c r="I1041" s="247"/>
      <c r="J1041" s="247"/>
      <c r="K1041" s="272"/>
    </row>
    <row r="1042">
      <c r="A1042" s="272"/>
      <c r="B1042" s="273"/>
      <c r="C1042" s="273"/>
      <c r="D1042" s="274"/>
      <c r="E1042" s="274"/>
      <c r="F1042" s="274"/>
      <c r="G1042" s="247"/>
      <c r="H1042" s="247"/>
      <c r="I1042" s="247"/>
      <c r="J1042" s="247"/>
      <c r="K1042" s="272"/>
    </row>
    <row r="1043">
      <c r="A1043" s="272"/>
      <c r="B1043" s="273"/>
      <c r="C1043" s="273"/>
      <c r="D1043" s="274"/>
      <c r="E1043" s="274"/>
      <c r="F1043" s="274"/>
      <c r="G1043" s="247"/>
      <c r="H1043" s="247"/>
      <c r="I1043" s="247"/>
      <c r="J1043" s="247"/>
      <c r="K1043" s="272"/>
    </row>
    <row r="1044">
      <c r="A1044" s="272"/>
      <c r="B1044" s="273"/>
      <c r="C1044" s="273"/>
      <c r="D1044" s="274"/>
      <c r="E1044" s="274"/>
      <c r="F1044" s="274"/>
      <c r="G1044" s="247"/>
      <c r="H1044" s="247"/>
      <c r="I1044" s="247"/>
      <c r="J1044" s="247"/>
      <c r="K1044" s="272"/>
    </row>
    <row r="1045">
      <c r="A1045" s="272"/>
      <c r="B1045" s="273"/>
      <c r="C1045" s="273"/>
      <c r="D1045" s="274"/>
      <c r="E1045" s="274"/>
      <c r="F1045" s="274"/>
      <c r="G1045" s="247"/>
      <c r="H1045" s="247"/>
      <c r="I1045" s="247"/>
      <c r="J1045" s="247"/>
      <c r="K1045" s="272"/>
    </row>
    <row r="1046">
      <c r="A1046" s="272"/>
      <c r="B1046" s="273"/>
      <c r="C1046" s="273"/>
      <c r="D1046" s="274"/>
      <c r="E1046" s="274"/>
      <c r="F1046" s="274"/>
      <c r="G1046" s="247"/>
      <c r="H1046" s="247"/>
      <c r="I1046" s="247"/>
      <c r="J1046" s="247"/>
      <c r="K1046" s="272"/>
    </row>
    <row r="1047">
      <c r="A1047" s="272"/>
      <c r="B1047" s="273"/>
      <c r="C1047" s="273"/>
      <c r="D1047" s="274"/>
      <c r="E1047" s="274"/>
      <c r="F1047" s="274"/>
      <c r="G1047" s="247"/>
      <c r="H1047" s="247"/>
      <c r="I1047" s="247"/>
      <c r="J1047" s="247"/>
      <c r="K1047" s="272"/>
    </row>
    <row r="1048">
      <c r="A1048" s="272"/>
      <c r="B1048" s="273"/>
      <c r="C1048" s="273"/>
      <c r="D1048" s="274"/>
      <c r="E1048" s="274"/>
      <c r="F1048" s="274"/>
      <c r="G1048" s="247"/>
      <c r="H1048" s="247"/>
      <c r="I1048" s="247"/>
      <c r="J1048" s="247"/>
      <c r="K1048" s="272"/>
    </row>
    <row r="1049">
      <c r="A1049" s="272"/>
      <c r="B1049" s="273"/>
      <c r="C1049" s="273"/>
      <c r="D1049" s="274"/>
      <c r="E1049" s="274"/>
      <c r="F1049" s="274"/>
      <c r="G1049" s="247"/>
      <c r="H1049" s="247"/>
      <c r="I1049" s="247"/>
      <c r="J1049" s="247"/>
      <c r="K1049" s="272"/>
    </row>
    <row r="1050">
      <c r="A1050" s="272"/>
      <c r="B1050" s="273"/>
      <c r="C1050" s="273"/>
      <c r="D1050" s="274"/>
      <c r="E1050" s="274"/>
      <c r="F1050" s="274"/>
      <c r="G1050" s="247"/>
      <c r="H1050" s="247"/>
      <c r="I1050" s="247"/>
      <c r="J1050" s="247"/>
      <c r="K1050" s="272"/>
    </row>
    <row r="1051">
      <c r="A1051" s="272"/>
      <c r="B1051" s="273"/>
      <c r="C1051" s="273"/>
      <c r="D1051" s="274"/>
      <c r="E1051" s="274"/>
      <c r="F1051" s="274"/>
      <c r="G1051" s="247"/>
      <c r="H1051" s="247"/>
      <c r="I1051" s="247"/>
      <c r="J1051" s="247"/>
      <c r="K1051" s="272"/>
    </row>
    <row r="1052">
      <c r="A1052" s="272"/>
      <c r="B1052" s="273"/>
      <c r="C1052" s="273"/>
      <c r="D1052" s="274"/>
      <c r="E1052" s="274"/>
      <c r="F1052" s="274"/>
      <c r="G1052" s="247"/>
      <c r="H1052" s="247"/>
      <c r="I1052" s="247"/>
      <c r="J1052" s="247"/>
      <c r="K1052" s="272"/>
    </row>
    <row r="1053">
      <c r="A1053" s="272"/>
      <c r="B1053" s="273"/>
      <c r="C1053" s="273"/>
      <c r="D1053" s="274"/>
      <c r="E1053" s="274"/>
      <c r="F1053" s="274"/>
      <c r="G1053" s="247"/>
      <c r="H1053" s="247"/>
      <c r="I1053" s="247"/>
      <c r="J1053" s="247"/>
      <c r="K1053" s="272"/>
    </row>
    <row r="1054">
      <c r="A1054" s="272"/>
      <c r="B1054" s="273"/>
      <c r="C1054" s="273"/>
      <c r="D1054" s="274"/>
      <c r="E1054" s="274"/>
      <c r="F1054" s="274"/>
      <c r="G1054" s="247"/>
      <c r="H1054" s="247"/>
      <c r="I1054" s="247"/>
      <c r="J1054" s="247"/>
      <c r="K1054" s="272"/>
    </row>
    <row r="1055">
      <c r="A1055" s="272"/>
      <c r="B1055" s="273"/>
      <c r="C1055" s="273"/>
      <c r="D1055" s="274"/>
      <c r="E1055" s="274"/>
      <c r="F1055" s="274"/>
      <c r="G1055" s="247"/>
      <c r="H1055" s="247"/>
      <c r="I1055" s="247"/>
      <c r="J1055" s="247"/>
      <c r="K1055" s="272"/>
    </row>
    <row r="1056">
      <c r="A1056" s="272"/>
      <c r="B1056" s="273"/>
      <c r="C1056" s="273"/>
      <c r="D1056" s="274"/>
      <c r="E1056" s="274"/>
      <c r="F1056" s="274"/>
      <c r="G1056" s="247"/>
      <c r="H1056" s="247"/>
      <c r="I1056" s="247"/>
      <c r="J1056" s="247"/>
      <c r="K1056" s="272"/>
    </row>
    <row r="1057">
      <c r="A1057" s="272"/>
      <c r="B1057" s="273"/>
      <c r="C1057" s="273"/>
      <c r="D1057" s="274"/>
      <c r="E1057" s="274"/>
      <c r="F1057" s="274"/>
      <c r="G1057" s="247"/>
      <c r="H1057" s="247"/>
      <c r="I1057" s="247"/>
      <c r="J1057" s="247"/>
      <c r="K1057" s="272"/>
    </row>
    <row r="1058">
      <c r="A1058" s="272"/>
      <c r="B1058" s="273"/>
      <c r="C1058" s="273"/>
      <c r="D1058" s="274"/>
      <c r="E1058" s="274"/>
      <c r="F1058" s="274"/>
      <c r="G1058" s="247"/>
      <c r="H1058" s="247"/>
      <c r="I1058" s="247"/>
      <c r="J1058" s="247"/>
      <c r="K1058" s="272"/>
    </row>
    <row r="1059">
      <c r="A1059" s="272"/>
      <c r="B1059" s="273"/>
      <c r="C1059" s="273"/>
      <c r="D1059" s="274"/>
      <c r="E1059" s="274"/>
      <c r="F1059" s="274"/>
      <c r="G1059" s="247"/>
      <c r="H1059" s="247"/>
      <c r="I1059" s="247"/>
      <c r="J1059" s="247"/>
      <c r="K1059" s="272"/>
    </row>
    <row r="1060">
      <c r="A1060" s="272"/>
      <c r="B1060" s="273"/>
      <c r="C1060" s="273"/>
      <c r="D1060" s="274"/>
      <c r="E1060" s="274"/>
      <c r="F1060" s="274"/>
      <c r="G1060" s="247"/>
      <c r="H1060" s="247"/>
      <c r="I1060" s="247"/>
      <c r="J1060" s="247"/>
      <c r="K1060" s="272"/>
    </row>
    <row r="1061">
      <c r="A1061" s="272"/>
      <c r="B1061" s="273"/>
      <c r="C1061" s="273"/>
      <c r="D1061" s="274"/>
      <c r="E1061" s="274"/>
      <c r="F1061" s="274"/>
      <c r="G1061" s="247"/>
      <c r="H1061" s="247"/>
      <c r="I1061" s="247"/>
      <c r="J1061" s="247"/>
      <c r="K1061" s="272"/>
    </row>
    <row r="1062">
      <c r="A1062" s="272"/>
      <c r="B1062" s="273"/>
      <c r="C1062" s="273"/>
      <c r="D1062" s="274"/>
      <c r="E1062" s="274"/>
      <c r="F1062" s="274"/>
      <c r="G1062" s="247"/>
      <c r="H1062" s="247"/>
      <c r="I1062" s="247"/>
      <c r="J1062" s="247"/>
      <c r="K1062" s="272"/>
    </row>
    <row r="1063">
      <c r="A1063" s="272"/>
      <c r="B1063" s="273"/>
      <c r="C1063" s="273"/>
      <c r="D1063" s="274"/>
      <c r="E1063" s="274"/>
      <c r="F1063" s="274"/>
      <c r="G1063" s="247"/>
      <c r="H1063" s="247"/>
      <c r="I1063" s="247"/>
      <c r="J1063" s="247"/>
      <c r="K1063" s="272"/>
    </row>
    <row r="1064">
      <c r="A1064" s="272"/>
      <c r="B1064" s="273"/>
      <c r="C1064" s="273"/>
      <c r="D1064" s="274"/>
      <c r="E1064" s="274"/>
      <c r="F1064" s="274"/>
      <c r="G1064" s="247"/>
      <c r="H1064" s="247"/>
      <c r="I1064" s="247"/>
      <c r="J1064" s="247"/>
      <c r="K1064" s="272"/>
    </row>
    <row r="1065">
      <c r="A1065" s="272"/>
      <c r="B1065" s="273"/>
      <c r="C1065" s="273"/>
      <c r="D1065" s="274"/>
      <c r="E1065" s="274"/>
      <c r="F1065" s="274"/>
      <c r="G1065" s="247"/>
      <c r="H1065" s="247"/>
      <c r="I1065" s="247"/>
      <c r="J1065" s="247"/>
      <c r="K1065" s="272"/>
    </row>
    <row r="1066">
      <c r="A1066" s="272"/>
      <c r="B1066" s="273"/>
      <c r="C1066" s="273"/>
      <c r="D1066" s="274"/>
      <c r="E1066" s="274"/>
      <c r="F1066" s="274"/>
      <c r="G1066" s="247"/>
      <c r="H1066" s="247"/>
      <c r="I1066" s="247"/>
      <c r="J1066" s="247"/>
      <c r="K1066" s="272"/>
    </row>
    <row r="1067">
      <c r="A1067" s="272"/>
      <c r="B1067" s="273"/>
      <c r="C1067" s="273"/>
      <c r="D1067" s="274"/>
      <c r="E1067" s="274"/>
      <c r="F1067" s="274"/>
      <c r="G1067" s="247"/>
      <c r="H1067" s="247"/>
      <c r="I1067" s="247"/>
      <c r="J1067" s="247"/>
      <c r="K1067" s="272"/>
    </row>
    <row r="1068">
      <c r="A1068" s="272"/>
      <c r="B1068" s="273"/>
      <c r="C1068" s="273"/>
      <c r="D1068" s="274"/>
      <c r="E1068" s="274"/>
      <c r="F1068" s="274"/>
      <c r="G1068" s="247"/>
      <c r="H1068" s="247"/>
      <c r="I1068" s="247"/>
      <c r="J1068" s="247"/>
      <c r="K1068" s="272"/>
    </row>
    <row r="1069">
      <c r="A1069" s="272"/>
      <c r="B1069" s="273"/>
      <c r="C1069" s="273"/>
      <c r="D1069" s="274"/>
      <c r="E1069" s="274"/>
      <c r="F1069" s="274"/>
      <c r="G1069" s="247"/>
      <c r="H1069" s="247"/>
      <c r="I1069" s="247"/>
      <c r="J1069" s="247"/>
      <c r="K1069" s="272"/>
    </row>
    <row r="1070">
      <c r="A1070" s="272"/>
      <c r="B1070" s="273"/>
      <c r="C1070" s="273"/>
      <c r="D1070" s="274"/>
      <c r="E1070" s="274"/>
      <c r="F1070" s="274"/>
      <c r="G1070" s="247"/>
      <c r="H1070" s="247"/>
      <c r="I1070" s="247"/>
      <c r="J1070" s="247"/>
      <c r="K1070" s="272"/>
    </row>
    <row r="1071">
      <c r="A1071" s="272"/>
      <c r="B1071" s="273"/>
      <c r="C1071" s="273"/>
      <c r="D1071" s="274"/>
      <c r="E1071" s="274"/>
      <c r="F1071" s="274"/>
      <c r="G1071" s="247"/>
      <c r="H1071" s="247"/>
      <c r="I1071" s="247"/>
      <c r="J1071" s="247"/>
      <c r="K1071" s="272"/>
    </row>
    <row r="1072">
      <c r="A1072" s="272"/>
      <c r="B1072" s="273"/>
      <c r="C1072" s="273"/>
      <c r="D1072" s="274"/>
      <c r="E1072" s="274"/>
      <c r="F1072" s="274"/>
      <c r="G1072" s="247"/>
      <c r="H1072" s="247"/>
      <c r="I1072" s="247"/>
      <c r="J1072" s="247"/>
      <c r="K1072" s="272"/>
    </row>
    <row r="1073">
      <c r="A1073" s="272"/>
      <c r="B1073" s="273"/>
      <c r="C1073" s="273"/>
      <c r="D1073" s="274"/>
      <c r="E1073" s="274"/>
      <c r="F1073" s="274"/>
      <c r="G1073" s="247"/>
      <c r="H1073" s="247"/>
      <c r="I1073" s="247"/>
      <c r="J1073" s="247"/>
      <c r="K1073" s="272"/>
    </row>
    <row r="1074">
      <c r="A1074" s="272"/>
      <c r="B1074" s="273"/>
      <c r="C1074" s="273"/>
      <c r="D1074" s="274"/>
      <c r="E1074" s="274"/>
      <c r="F1074" s="274"/>
      <c r="G1074" s="247"/>
      <c r="H1074" s="247"/>
      <c r="I1074" s="247"/>
      <c r="J1074" s="247"/>
      <c r="K1074" s="272"/>
    </row>
    <row r="1075">
      <c r="A1075" s="272"/>
      <c r="B1075" s="273"/>
      <c r="C1075" s="273"/>
      <c r="D1075" s="274"/>
      <c r="E1075" s="274"/>
      <c r="F1075" s="274"/>
      <c r="G1075" s="247"/>
      <c r="H1075" s="247"/>
      <c r="I1075" s="247"/>
      <c r="J1075" s="247"/>
      <c r="K1075" s="272"/>
    </row>
    <row r="1076">
      <c r="A1076" s="272"/>
      <c r="B1076" s="273"/>
      <c r="C1076" s="273"/>
      <c r="D1076" s="274"/>
      <c r="E1076" s="274"/>
      <c r="F1076" s="274"/>
      <c r="G1076" s="247"/>
      <c r="H1076" s="247"/>
      <c r="I1076" s="247"/>
      <c r="J1076" s="247"/>
      <c r="K1076" s="272"/>
    </row>
    <row r="1077">
      <c r="A1077" s="272"/>
      <c r="B1077" s="273"/>
      <c r="C1077" s="273"/>
      <c r="D1077" s="274"/>
      <c r="E1077" s="274"/>
      <c r="F1077" s="274"/>
      <c r="G1077" s="247"/>
      <c r="H1077" s="247"/>
      <c r="I1077" s="247"/>
      <c r="J1077" s="247"/>
      <c r="K1077" s="272"/>
    </row>
    <row r="1078">
      <c r="A1078" s="272"/>
      <c r="B1078" s="273"/>
      <c r="C1078" s="273"/>
      <c r="D1078" s="274"/>
      <c r="E1078" s="274"/>
      <c r="F1078" s="274"/>
      <c r="G1078" s="247"/>
      <c r="H1078" s="247"/>
      <c r="I1078" s="247"/>
      <c r="J1078" s="247"/>
      <c r="K1078" s="272"/>
    </row>
    <row r="1079">
      <c r="A1079" s="272"/>
      <c r="B1079" s="273"/>
      <c r="C1079" s="273"/>
      <c r="D1079" s="274"/>
      <c r="E1079" s="274"/>
      <c r="F1079" s="274"/>
      <c r="G1079" s="247"/>
      <c r="H1079" s="247"/>
      <c r="I1079" s="247"/>
      <c r="J1079" s="247"/>
      <c r="K1079" s="272"/>
    </row>
    <row r="1080">
      <c r="A1080" s="272"/>
      <c r="B1080" s="273"/>
      <c r="C1080" s="273"/>
      <c r="D1080" s="274"/>
      <c r="E1080" s="274"/>
      <c r="F1080" s="274"/>
      <c r="G1080" s="247"/>
      <c r="H1080" s="247"/>
      <c r="I1080" s="247"/>
      <c r="J1080" s="247"/>
      <c r="K1080" s="272"/>
    </row>
    <row r="1081">
      <c r="A1081" s="272"/>
      <c r="B1081" s="273"/>
      <c r="C1081" s="273"/>
      <c r="D1081" s="274"/>
      <c r="E1081" s="274"/>
      <c r="F1081" s="274"/>
      <c r="G1081" s="247"/>
      <c r="H1081" s="247"/>
      <c r="I1081" s="247"/>
      <c r="J1081" s="247"/>
      <c r="K1081" s="272"/>
    </row>
    <row r="1082">
      <c r="A1082" s="272"/>
      <c r="B1082" s="273"/>
      <c r="C1082" s="273"/>
      <c r="D1082" s="274"/>
      <c r="E1082" s="274"/>
      <c r="F1082" s="274"/>
      <c r="G1082" s="247"/>
      <c r="H1082" s="247"/>
      <c r="I1082" s="247"/>
      <c r="J1082" s="247"/>
      <c r="K1082" s="272"/>
    </row>
    <row r="1083">
      <c r="A1083" s="272"/>
      <c r="B1083" s="273"/>
      <c r="C1083" s="273"/>
      <c r="D1083" s="274"/>
      <c r="E1083" s="274"/>
      <c r="F1083" s="274"/>
      <c r="G1083" s="247"/>
      <c r="H1083" s="247"/>
      <c r="I1083" s="247"/>
      <c r="J1083" s="247"/>
      <c r="K1083" s="272"/>
    </row>
    <row r="1084">
      <c r="A1084" s="272"/>
      <c r="B1084" s="273"/>
      <c r="C1084" s="273"/>
      <c r="D1084" s="274"/>
      <c r="E1084" s="274"/>
      <c r="F1084" s="274"/>
      <c r="G1084" s="247"/>
      <c r="H1084" s="247"/>
      <c r="I1084" s="247"/>
      <c r="J1084" s="247"/>
      <c r="K1084" s="272"/>
    </row>
    <row r="1085">
      <c r="A1085" s="272"/>
      <c r="B1085" s="273"/>
      <c r="C1085" s="273"/>
      <c r="D1085" s="274"/>
      <c r="E1085" s="274"/>
      <c r="F1085" s="274"/>
      <c r="G1085" s="247"/>
      <c r="H1085" s="247"/>
      <c r="I1085" s="247"/>
      <c r="J1085" s="247"/>
      <c r="K1085" s="272"/>
    </row>
    <row r="1086">
      <c r="A1086" s="272"/>
      <c r="B1086" s="273"/>
      <c r="C1086" s="273"/>
      <c r="D1086" s="274"/>
      <c r="E1086" s="274"/>
      <c r="F1086" s="274"/>
      <c r="G1086" s="247"/>
      <c r="H1086" s="247"/>
      <c r="I1086" s="247"/>
      <c r="J1086" s="247"/>
      <c r="K1086" s="272"/>
    </row>
    <row r="1087">
      <c r="A1087" s="272"/>
      <c r="B1087" s="273"/>
      <c r="C1087" s="273"/>
      <c r="D1087" s="274"/>
      <c r="E1087" s="274"/>
      <c r="F1087" s="274"/>
      <c r="G1087" s="247"/>
      <c r="H1087" s="247"/>
      <c r="I1087" s="247"/>
      <c r="J1087" s="247"/>
      <c r="K1087" s="272"/>
    </row>
    <row r="1088">
      <c r="A1088" s="272"/>
      <c r="B1088" s="273"/>
      <c r="C1088" s="273"/>
      <c r="D1088" s="274"/>
      <c r="E1088" s="274"/>
      <c r="F1088" s="274"/>
      <c r="G1088" s="247"/>
      <c r="H1088" s="247"/>
      <c r="I1088" s="247"/>
      <c r="J1088" s="247"/>
      <c r="K1088" s="272"/>
    </row>
    <row r="1089">
      <c r="A1089" s="272"/>
      <c r="B1089" s="273"/>
      <c r="C1089" s="273"/>
      <c r="D1089" s="274"/>
      <c r="E1089" s="274"/>
      <c r="F1089" s="274"/>
      <c r="G1089" s="247"/>
      <c r="H1089" s="247"/>
      <c r="I1089" s="247"/>
      <c r="J1089" s="247"/>
      <c r="K1089" s="272"/>
    </row>
    <row r="1090">
      <c r="A1090" s="272"/>
      <c r="B1090" s="273"/>
      <c r="C1090" s="273"/>
      <c r="D1090" s="274"/>
      <c r="E1090" s="274"/>
      <c r="F1090" s="274"/>
      <c r="G1090" s="247"/>
      <c r="H1090" s="247"/>
      <c r="I1090" s="247"/>
      <c r="J1090" s="247"/>
      <c r="K1090" s="272"/>
    </row>
    <row r="1091">
      <c r="A1091" s="272"/>
      <c r="B1091" s="273"/>
      <c r="C1091" s="273"/>
      <c r="D1091" s="274"/>
      <c r="E1091" s="274"/>
      <c r="F1091" s="274"/>
      <c r="G1091" s="247"/>
      <c r="H1091" s="247"/>
      <c r="I1091" s="247"/>
      <c r="J1091" s="247"/>
      <c r="K1091" s="272"/>
    </row>
    <row r="1092">
      <c r="A1092" s="272"/>
      <c r="B1092" s="273"/>
      <c r="C1092" s="273"/>
      <c r="D1092" s="274"/>
      <c r="E1092" s="274"/>
      <c r="F1092" s="274"/>
      <c r="G1092" s="247"/>
      <c r="H1092" s="247"/>
      <c r="I1092" s="247"/>
      <c r="J1092" s="247"/>
      <c r="K1092" s="272"/>
    </row>
    <row r="1093">
      <c r="A1093" s="272"/>
      <c r="B1093" s="273"/>
      <c r="C1093" s="273"/>
      <c r="D1093" s="274"/>
      <c r="E1093" s="274"/>
      <c r="F1093" s="274"/>
      <c r="G1093" s="247"/>
      <c r="H1093" s="247"/>
      <c r="I1093" s="247"/>
      <c r="J1093" s="247"/>
      <c r="K1093" s="272"/>
    </row>
    <row r="1094">
      <c r="A1094" s="272"/>
      <c r="B1094" s="273"/>
      <c r="C1094" s="273"/>
      <c r="D1094" s="274"/>
      <c r="E1094" s="274"/>
      <c r="F1094" s="274"/>
      <c r="G1094" s="247"/>
      <c r="H1094" s="247"/>
      <c r="I1094" s="247"/>
      <c r="J1094" s="247"/>
      <c r="K1094" s="272"/>
    </row>
    <row r="1095">
      <c r="A1095" s="272"/>
      <c r="B1095" s="273"/>
      <c r="C1095" s="273"/>
      <c r="D1095" s="274"/>
      <c r="E1095" s="274"/>
      <c r="F1095" s="274"/>
      <c r="G1095" s="247"/>
      <c r="H1095" s="247"/>
      <c r="I1095" s="247"/>
      <c r="J1095" s="247"/>
      <c r="K1095" s="272"/>
    </row>
    <row r="1096">
      <c r="A1096" s="272"/>
      <c r="B1096" s="273"/>
      <c r="C1096" s="273"/>
      <c r="D1096" s="274"/>
      <c r="E1096" s="274"/>
      <c r="F1096" s="274"/>
      <c r="G1096" s="247"/>
      <c r="H1096" s="247"/>
      <c r="I1096" s="247"/>
      <c r="J1096" s="247"/>
      <c r="K1096" s="272"/>
    </row>
    <row r="1097">
      <c r="A1097" s="272"/>
      <c r="B1097" s="273"/>
      <c r="C1097" s="273"/>
      <c r="D1097" s="274"/>
      <c r="E1097" s="274"/>
      <c r="F1097" s="274"/>
      <c r="G1097" s="247"/>
      <c r="H1097" s="247"/>
      <c r="I1097" s="247"/>
      <c r="J1097" s="247"/>
      <c r="K1097" s="272"/>
    </row>
    <row r="1098">
      <c r="A1098" s="272"/>
      <c r="B1098" s="273"/>
      <c r="C1098" s="273"/>
      <c r="D1098" s="274"/>
      <c r="E1098" s="274"/>
      <c r="F1098" s="274"/>
      <c r="G1098" s="247"/>
      <c r="H1098" s="247"/>
      <c r="I1098" s="247"/>
      <c r="J1098" s="247"/>
      <c r="K1098" s="272"/>
    </row>
    <row r="1099">
      <c r="A1099" s="272"/>
      <c r="B1099" s="273"/>
      <c r="C1099" s="273"/>
      <c r="D1099" s="274"/>
      <c r="E1099" s="274"/>
      <c r="F1099" s="274"/>
      <c r="G1099" s="247"/>
      <c r="H1099" s="247"/>
      <c r="I1099" s="247"/>
      <c r="J1099" s="247"/>
      <c r="K1099" s="272"/>
    </row>
    <row r="1100">
      <c r="A1100" s="272"/>
      <c r="B1100" s="273"/>
      <c r="C1100" s="273"/>
      <c r="D1100" s="274"/>
      <c r="E1100" s="274"/>
      <c r="F1100" s="274"/>
      <c r="G1100" s="247"/>
      <c r="H1100" s="247"/>
      <c r="I1100" s="247"/>
      <c r="J1100" s="247"/>
      <c r="K1100" s="272"/>
    </row>
    <row r="1101">
      <c r="A1101" s="272"/>
      <c r="B1101" s="273"/>
      <c r="C1101" s="273"/>
      <c r="D1101" s="274"/>
      <c r="E1101" s="274"/>
      <c r="F1101" s="274"/>
      <c r="G1101" s="247"/>
      <c r="H1101" s="247"/>
      <c r="I1101" s="247"/>
      <c r="J1101" s="247"/>
      <c r="K1101" s="272"/>
    </row>
    <row r="1102">
      <c r="A1102" s="272"/>
      <c r="B1102" s="273"/>
      <c r="C1102" s="273"/>
      <c r="D1102" s="274"/>
      <c r="E1102" s="274"/>
      <c r="F1102" s="274"/>
      <c r="G1102" s="247"/>
      <c r="H1102" s="247"/>
      <c r="I1102" s="247"/>
      <c r="J1102" s="247"/>
      <c r="K1102" s="272"/>
    </row>
    <row r="1103">
      <c r="A1103" s="272"/>
      <c r="B1103" s="273"/>
      <c r="C1103" s="273"/>
      <c r="D1103" s="274"/>
      <c r="E1103" s="274"/>
      <c r="F1103" s="274"/>
      <c r="G1103" s="247"/>
      <c r="H1103" s="247"/>
      <c r="I1103" s="247"/>
      <c r="J1103" s="247"/>
      <c r="K1103" s="272"/>
    </row>
    <row r="1104">
      <c r="A1104" s="272"/>
      <c r="B1104" s="273"/>
      <c r="C1104" s="273"/>
      <c r="D1104" s="274"/>
      <c r="E1104" s="274"/>
      <c r="F1104" s="274"/>
      <c r="G1104" s="247"/>
      <c r="H1104" s="247"/>
      <c r="I1104" s="247"/>
      <c r="J1104" s="247"/>
      <c r="K1104" s="272"/>
    </row>
    <row r="1105">
      <c r="A1105" s="272"/>
      <c r="B1105" s="273"/>
      <c r="C1105" s="273"/>
      <c r="D1105" s="274"/>
      <c r="E1105" s="274"/>
      <c r="F1105" s="274"/>
      <c r="G1105" s="247"/>
      <c r="H1105" s="247"/>
      <c r="I1105" s="247"/>
      <c r="J1105" s="247"/>
      <c r="K1105" s="272"/>
    </row>
    <row r="1106">
      <c r="A1106" s="272"/>
      <c r="B1106" s="273"/>
      <c r="C1106" s="273"/>
      <c r="D1106" s="274"/>
      <c r="E1106" s="274"/>
      <c r="F1106" s="274"/>
      <c r="G1106" s="247"/>
      <c r="H1106" s="247"/>
      <c r="I1106" s="247"/>
      <c r="J1106" s="247"/>
      <c r="K1106" s="272"/>
    </row>
    <row r="1107">
      <c r="A1107" s="272"/>
      <c r="B1107" s="273"/>
      <c r="C1107" s="273"/>
      <c r="D1107" s="274"/>
      <c r="E1107" s="274"/>
      <c r="F1107" s="274"/>
      <c r="G1107" s="247"/>
      <c r="H1107" s="247"/>
      <c r="I1107" s="247"/>
      <c r="J1107" s="247"/>
      <c r="K1107" s="272"/>
    </row>
    <row r="1108">
      <c r="A1108" s="272"/>
      <c r="B1108" s="273"/>
      <c r="C1108" s="273"/>
      <c r="D1108" s="274"/>
      <c r="E1108" s="274"/>
      <c r="F1108" s="274"/>
      <c r="G1108" s="247"/>
      <c r="H1108" s="247"/>
      <c r="I1108" s="247"/>
      <c r="J1108" s="247"/>
      <c r="K1108" s="272"/>
    </row>
    <row r="1109">
      <c r="A1109" s="272"/>
      <c r="B1109" s="273"/>
      <c r="C1109" s="273"/>
      <c r="D1109" s="274"/>
      <c r="E1109" s="274"/>
      <c r="F1109" s="274"/>
      <c r="G1109" s="247"/>
      <c r="H1109" s="247"/>
      <c r="I1109" s="247"/>
      <c r="J1109" s="247"/>
      <c r="K1109" s="272"/>
    </row>
    <row r="1110">
      <c r="A1110" s="272"/>
      <c r="B1110" s="273"/>
      <c r="C1110" s="273"/>
      <c r="D1110" s="274"/>
      <c r="E1110" s="274"/>
      <c r="F1110" s="274"/>
      <c r="G1110" s="247"/>
      <c r="H1110" s="247"/>
      <c r="I1110" s="247"/>
      <c r="J1110" s="247"/>
      <c r="K1110" s="272"/>
    </row>
    <row r="1111">
      <c r="A1111" s="272"/>
      <c r="B1111" s="273"/>
      <c r="C1111" s="273"/>
      <c r="D1111" s="274"/>
      <c r="E1111" s="274"/>
      <c r="F1111" s="274"/>
      <c r="G1111" s="247"/>
      <c r="H1111" s="247"/>
      <c r="I1111" s="247"/>
      <c r="J1111" s="247"/>
      <c r="K1111" s="272"/>
    </row>
    <row r="1112">
      <c r="A1112" s="272"/>
      <c r="B1112" s="273"/>
      <c r="C1112" s="273"/>
      <c r="D1112" s="274"/>
      <c r="E1112" s="274"/>
      <c r="F1112" s="274"/>
      <c r="G1112" s="247"/>
      <c r="H1112" s="247"/>
      <c r="I1112" s="247"/>
      <c r="J1112" s="247"/>
      <c r="K1112" s="272"/>
    </row>
    <row r="1113">
      <c r="A1113" s="272"/>
      <c r="B1113" s="273"/>
      <c r="C1113" s="273"/>
      <c r="D1113" s="274"/>
      <c r="E1113" s="274"/>
      <c r="F1113" s="274"/>
      <c r="G1113" s="247"/>
      <c r="H1113" s="247"/>
      <c r="I1113" s="247"/>
      <c r="J1113" s="247"/>
      <c r="K1113" s="272"/>
    </row>
    <row r="1114">
      <c r="A1114" s="272"/>
      <c r="B1114" s="273"/>
      <c r="C1114" s="273"/>
      <c r="D1114" s="274"/>
      <c r="E1114" s="274"/>
      <c r="F1114" s="274"/>
      <c r="G1114" s="247"/>
      <c r="H1114" s="247"/>
      <c r="I1114" s="247"/>
      <c r="J1114" s="247"/>
      <c r="K1114" s="272"/>
    </row>
    <row r="1115">
      <c r="A1115" s="272"/>
      <c r="B1115" s="273"/>
      <c r="C1115" s="273"/>
      <c r="D1115" s="274"/>
      <c r="E1115" s="274"/>
      <c r="F1115" s="274"/>
      <c r="G1115" s="247"/>
      <c r="H1115" s="247"/>
      <c r="I1115" s="247"/>
      <c r="J1115" s="247"/>
      <c r="K1115" s="272"/>
    </row>
    <row r="1116">
      <c r="A1116" s="272"/>
      <c r="B1116" s="273"/>
      <c r="C1116" s="273"/>
      <c r="D1116" s="274"/>
      <c r="E1116" s="274"/>
      <c r="F1116" s="274"/>
      <c r="G1116" s="247"/>
      <c r="H1116" s="247"/>
      <c r="I1116" s="247"/>
      <c r="J1116" s="247"/>
      <c r="K1116" s="272"/>
    </row>
    <row r="1117">
      <c r="A1117" s="272"/>
      <c r="B1117" s="273"/>
      <c r="C1117" s="273"/>
      <c r="D1117" s="274"/>
      <c r="E1117" s="274"/>
      <c r="F1117" s="274"/>
      <c r="G1117" s="247"/>
      <c r="H1117" s="247"/>
      <c r="I1117" s="247"/>
      <c r="J1117" s="247"/>
      <c r="K1117" s="272"/>
    </row>
    <row r="1118">
      <c r="A1118" s="272"/>
      <c r="B1118" s="273"/>
      <c r="C1118" s="273"/>
      <c r="D1118" s="274"/>
      <c r="E1118" s="274"/>
      <c r="F1118" s="274"/>
      <c r="G1118" s="247"/>
      <c r="H1118" s="247"/>
      <c r="I1118" s="247"/>
      <c r="J1118" s="247"/>
      <c r="K1118" s="272"/>
    </row>
    <row r="1119">
      <c r="A1119" s="272"/>
      <c r="B1119" s="273"/>
      <c r="C1119" s="273"/>
      <c r="D1119" s="274"/>
      <c r="E1119" s="274"/>
      <c r="F1119" s="274"/>
      <c r="G1119" s="247"/>
      <c r="H1119" s="247"/>
      <c r="I1119" s="247"/>
      <c r="J1119" s="247"/>
      <c r="K1119" s="272"/>
    </row>
    <row r="1120">
      <c r="A1120" s="272"/>
      <c r="B1120" s="273"/>
      <c r="C1120" s="273"/>
      <c r="D1120" s="274"/>
      <c r="E1120" s="274"/>
      <c r="F1120" s="274"/>
      <c r="G1120" s="247"/>
      <c r="H1120" s="247"/>
      <c r="I1120" s="247"/>
      <c r="J1120" s="247"/>
      <c r="K1120" s="272"/>
    </row>
    <row r="1121">
      <c r="A1121" s="272"/>
      <c r="B1121" s="273"/>
      <c r="C1121" s="273"/>
      <c r="D1121" s="274"/>
      <c r="E1121" s="274"/>
      <c r="F1121" s="274"/>
      <c r="G1121" s="247"/>
      <c r="H1121" s="247"/>
      <c r="I1121" s="247"/>
      <c r="J1121" s="247"/>
      <c r="K1121" s="272"/>
    </row>
    <row r="1122">
      <c r="A1122" s="272"/>
      <c r="B1122" s="273"/>
      <c r="C1122" s="273"/>
      <c r="D1122" s="274"/>
      <c r="E1122" s="274"/>
      <c r="F1122" s="274"/>
      <c r="G1122" s="247"/>
      <c r="H1122" s="247"/>
      <c r="I1122" s="247"/>
      <c r="J1122" s="247"/>
      <c r="K1122" s="272"/>
    </row>
    <row r="1123">
      <c r="A1123" s="272"/>
      <c r="B1123" s="273"/>
      <c r="C1123" s="273"/>
      <c r="D1123" s="274"/>
      <c r="E1123" s="274"/>
      <c r="F1123" s="274"/>
      <c r="G1123" s="247"/>
      <c r="H1123" s="247"/>
      <c r="I1123" s="247"/>
      <c r="J1123" s="247"/>
      <c r="K1123" s="272"/>
    </row>
    <row r="1124">
      <c r="A1124" s="272"/>
      <c r="B1124" s="273"/>
      <c r="C1124" s="273"/>
      <c r="D1124" s="274"/>
      <c r="E1124" s="274"/>
      <c r="F1124" s="274"/>
      <c r="G1124" s="247"/>
      <c r="H1124" s="247"/>
      <c r="I1124" s="247"/>
      <c r="J1124" s="247"/>
      <c r="K1124" s="272"/>
    </row>
    <row r="1125">
      <c r="A1125" s="272"/>
      <c r="B1125" s="273"/>
      <c r="C1125" s="273"/>
      <c r="D1125" s="274"/>
      <c r="E1125" s="274"/>
      <c r="F1125" s="274"/>
      <c r="G1125" s="247"/>
      <c r="H1125" s="247"/>
      <c r="I1125" s="247"/>
      <c r="J1125" s="247"/>
      <c r="K1125" s="272"/>
    </row>
    <row r="1126">
      <c r="A1126" s="272"/>
      <c r="B1126" s="273"/>
      <c r="C1126" s="273"/>
      <c r="D1126" s="274"/>
      <c r="E1126" s="274"/>
      <c r="F1126" s="274"/>
      <c r="G1126" s="247"/>
      <c r="H1126" s="247"/>
      <c r="I1126" s="247"/>
      <c r="J1126" s="247"/>
      <c r="K1126" s="272"/>
    </row>
    <row r="1127">
      <c r="A1127" s="272"/>
      <c r="B1127" s="273"/>
      <c r="C1127" s="273"/>
      <c r="D1127" s="274"/>
      <c r="E1127" s="274"/>
      <c r="F1127" s="274"/>
      <c r="G1127" s="247"/>
      <c r="H1127" s="247"/>
      <c r="I1127" s="247"/>
      <c r="J1127" s="247"/>
      <c r="K1127" s="272"/>
    </row>
    <row r="1128">
      <c r="A1128" s="272"/>
      <c r="B1128" s="273"/>
      <c r="C1128" s="273"/>
      <c r="D1128" s="274"/>
      <c r="E1128" s="274"/>
      <c r="F1128" s="274"/>
      <c r="G1128" s="247"/>
      <c r="H1128" s="247"/>
      <c r="I1128" s="247"/>
      <c r="J1128" s="247"/>
      <c r="K1128" s="272"/>
    </row>
    <row r="1129">
      <c r="A1129" s="272"/>
      <c r="B1129" s="273"/>
      <c r="C1129" s="273"/>
      <c r="D1129" s="274"/>
      <c r="E1129" s="274"/>
      <c r="F1129" s="274"/>
      <c r="G1129" s="247"/>
      <c r="H1129" s="247"/>
      <c r="I1129" s="247"/>
      <c r="J1129" s="247"/>
      <c r="K1129" s="272"/>
    </row>
    <row r="1130">
      <c r="A1130" s="272"/>
      <c r="B1130" s="273"/>
      <c r="C1130" s="273"/>
      <c r="D1130" s="274"/>
      <c r="E1130" s="274"/>
      <c r="F1130" s="274"/>
      <c r="G1130" s="247"/>
      <c r="H1130" s="247"/>
      <c r="I1130" s="247"/>
      <c r="J1130" s="247"/>
      <c r="K1130" s="272"/>
    </row>
    <row r="1131">
      <c r="A1131" s="272"/>
      <c r="B1131" s="273"/>
      <c r="C1131" s="273"/>
      <c r="D1131" s="274"/>
      <c r="E1131" s="274"/>
      <c r="F1131" s="274"/>
      <c r="G1131" s="247"/>
      <c r="H1131" s="247"/>
      <c r="I1131" s="247"/>
      <c r="J1131" s="247"/>
      <c r="K1131" s="272"/>
    </row>
    <row r="1132">
      <c r="A1132" s="272"/>
      <c r="B1132" s="273"/>
      <c r="C1132" s="273"/>
      <c r="D1132" s="274"/>
      <c r="E1132" s="274"/>
      <c r="F1132" s="274"/>
      <c r="G1132" s="247"/>
      <c r="H1132" s="247"/>
      <c r="I1132" s="247"/>
      <c r="J1132" s="247"/>
      <c r="K1132" s="272"/>
    </row>
    <row r="1133">
      <c r="A1133" s="272"/>
      <c r="B1133" s="273"/>
      <c r="C1133" s="273"/>
      <c r="D1133" s="274"/>
      <c r="E1133" s="274"/>
      <c r="F1133" s="274"/>
      <c r="G1133" s="247"/>
      <c r="H1133" s="247"/>
      <c r="I1133" s="247"/>
      <c r="J1133" s="247"/>
      <c r="K1133" s="272"/>
    </row>
    <row r="1134">
      <c r="A1134" s="272"/>
      <c r="B1134" s="273"/>
      <c r="C1134" s="273"/>
      <c r="D1134" s="274"/>
      <c r="E1134" s="274"/>
      <c r="F1134" s="274"/>
      <c r="G1134" s="247"/>
      <c r="H1134" s="247"/>
      <c r="I1134" s="247"/>
      <c r="J1134" s="247"/>
      <c r="K1134" s="272"/>
    </row>
    <row r="1135">
      <c r="A1135" s="272"/>
      <c r="B1135" s="273"/>
      <c r="C1135" s="273"/>
      <c r="D1135" s="274"/>
      <c r="E1135" s="274"/>
      <c r="F1135" s="274"/>
      <c r="G1135" s="247"/>
      <c r="H1135" s="247"/>
      <c r="I1135" s="247"/>
      <c r="J1135" s="247"/>
      <c r="K1135" s="272"/>
    </row>
    <row r="1136">
      <c r="A1136" s="272"/>
      <c r="B1136" s="273"/>
      <c r="C1136" s="273"/>
      <c r="D1136" s="274"/>
      <c r="E1136" s="274"/>
      <c r="F1136" s="274"/>
      <c r="G1136" s="247"/>
      <c r="H1136" s="247"/>
      <c r="I1136" s="247"/>
      <c r="J1136" s="247"/>
      <c r="K1136" s="272"/>
    </row>
    <row r="1137">
      <c r="A1137" s="272"/>
      <c r="B1137" s="273"/>
      <c r="C1137" s="273"/>
      <c r="D1137" s="274"/>
      <c r="E1137" s="274"/>
      <c r="F1137" s="274"/>
      <c r="G1137" s="247"/>
      <c r="H1137" s="247"/>
      <c r="I1137" s="247"/>
      <c r="J1137" s="247"/>
      <c r="K1137" s="272"/>
    </row>
    <row r="1138">
      <c r="A1138" s="272"/>
      <c r="B1138" s="273"/>
      <c r="C1138" s="273"/>
      <c r="D1138" s="274"/>
      <c r="E1138" s="274"/>
      <c r="F1138" s="274"/>
      <c r="G1138" s="247"/>
      <c r="H1138" s="247"/>
      <c r="I1138" s="247"/>
      <c r="J1138" s="247"/>
      <c r="K1138" s="272"/>
    </row>
    <row r="1139">
      <c r="A1139" s="272"/>
      <c r="B1139" s="273"/>
      <c r="C1139" s="273"/>
      <c r="D1139" s="274"/>
      <c r="E1139" s="274"/>
      <c r="F1139" s="274"/>
      <c r="G1139" s="247"/>
      <c r="H1139" s="247"/>
      <c r="I1139" s="247"/>
      <c r="J1139" s="247"/>
      <c r="K1139" s="272"/>
    </row>
    <row r="1140">
      <c r="A1140" s="272"/>
      <c r="B1140" s="273"/>
      <c r="C1140" s="273"/>
      <c r="D1140" s="274"/>
      <c r="E1140" s="274"/>
      <c r="F1140" s="274"/>
      <c r="G1140" s="247"/>
      <c r="H1140" s="247"/>
      <c r="I1140" s="247"/>
      <c r="J1140" s="247"/>
      <c r="K1140" s="272"/>
    </row>
    <row r="1141">
      <c r="A1141" s="272"/>
      <c r="B1141" s="273"/>
      <c r="C1141" s="273"/>
      <c r="D1141" s="274"/>
      <c r="E1141" s="274"/>
      <c r="F1141" s="274"/>
      <c r="G1141" s="247"/>
      <c r="H1141" s="247"/>
      <c r="I1141" s="247"/>
      <c r="J1141" s="247"/>
      <c r="K1141" s="272"/>
    </row>
    <row r="1142">
      <c r="A1142" s="272"/>
      <c r="B1142" s="273"/>
      <c r="C1142" s="273"/>
      <c r="D1142" s="274"/>
      <c r="E1142" s="274"/>
      <c r="F1142" s="274"/>
      <c r="G1142" s="247"/>
      <c r="H1142" s="247"/>
      <c r="I1142" s="247"/>
      <c r="J1142" s="247"/>
      <c r="K1142" s="272"/>
    </row>
    <row r="1143">
      <c r="A1143" s="272"/>
      <c r="B1143" s="273"/>
      <c r="C1143" s="273"/>
      <c r="D1143" s="274"/>
      <c r="E1143" s="274"/>
      <c r="F1143" s="274"/>
      <c r="G1143" s="247"/>
      <c r="H1143" s="247"/>
      <c r="I1143" s="247"/>
      <c r="J1143" s="247"/>
      <c r="K1143" s="272"/>
    </row>
    <row r="1144">
      <c r="A1144" s="272"/>
      <c r="B1144" s="273"/>
      <c r="C1144" s="273"/>
      <c r="D1144" s="274"/>
      <c r="E1144" s="274"/>
      <c r="F1144" s="274"/>
      <c r="G1144" s="247"/>
      <c r="H1144" s="247"/>
      <c r="I1144" s="247"/>
      <c r="J1144" s="247"/>
      <c r="K1144" s="272"/>
    </row>
    <row r="1145">
      <c r="A1145" s="272"/>
      <c r="B1145" s="273"/>
      <c r="C1145" s="273"/>
      <c r="D1145" s="274"/>
      <c r="E1145" s="274"/>
      <c r="F1145" s="274"/>
      <c r="G1145" s="247"/>
      <c r="H1145" s="247"/>
      <c r="I1145" s="247"/>
      <c r="J1145" s="247"/>
      <c r="K1145" s="272"/>
    </row>
    <row r="1146">
      <c r="A1146" s="272"/>
      <c r="B1146" s="273"/>
      <c r="C1146" s="273"/>
      <c r="D1146" s="274"/>
      <c r="E1146" s="274"/>
      <c r="F1146" s="274"/>
      <c r="G1146" s="247"/>
      <c r="H1146" s="247"/>
      <c r="I1146" s="247"/>
      <c r="J1146" s="247"/>
      <c r="K1146" s="272"/>
    </row>
    <row r="1147">
      <c r="A1147" s="272"/>
      <c r="B1147" s="273"/>
      <c r="C1147" s="273"/>
      <c r="D1147" s="274"/>
      <c r="E1147" s="274"/>
      <c r="F1147" s="274"/>
      <c r="G1147" s="247"/>
      <c r="H1147" s="247"/>
      <c r="I1147" s="247"/>
      <c r="J1147" s="247"/>
      <c r="K1147" s="272"/>
    </row>
    <row r="1148">
      <c r="A1148" s="272"/>
      <c r="B1148" s="273"/>
      <c r="C1148" s="273"/>
      <c r="D1148" s="274"/>
      <c r="E1148" s="274"/>
      <c r="F1148" s="274"/>
      <c r="G1148" s="247"/>
      <c r="H1148" s="247"/>
      <c r="I1148" s="247"/>
      <c r="J1148" s="247"/>
      <c r="K1148" s="272"/>
    </row>
    <row r="1149">
      <c r="A1149" s="272"/>
      <c r="B1149" s="273"/>
      <c r="C1149" s="273"/>
      <c r="D1149" s="274"/>
      <c r="E1149" s="274"/>
      <c r="F1149" s="274"/>
      <c r="G1149" s="247"/>
      <c r="H1149" s="247"/>
      <c r="I1149" s="247"/>
      <c r="J1149" s="247"/>
      <c r="K1149" s="272"/>
    </row>
    <row r="1150">
      <c r="A1150" s="272"/>
      <c r="B1150" s="273"/>
      <c r="C1150" s="273"/>
      <c r="D1150" s="274"/>
      <c r="E1150" s="274"/>
      <c r="F1150" s="274"/>
      <c r="G1150" s="247"/>
      <c r="H1150" s="247"/>
      <c r="I1150" s="247"/>
      <c r="J1150" s="247"/>
      <c r="K1150" s="272"/>
    </row>
    <row r="1151">
      <c r="A1151" s="272"/>
      <c r="B1151" s="273"/>
      <c r="C1151" s="273"/>
      <c r="D1151" s="274"/>
      <c r="E1151" s="274"/>
      <c r="F1151" s="274"/>
      <c r="G1151" s="247"/>
      <c r="H1151" s="247"/>
      <c r="I1151" s="247"/>
      <c r="J1151" s="247"/>
      <c r="K1151" s="272"/>
    </row>
    <row r="1152">
      <c r="A1152" s="272"/>
      <c r="B1152" s="273"/>
      <c r="C1152" s="273"/>
      <c r="D1152" s="274"/>
      <c r="E1152" s="274"/>
      <c r="F1152" s="274"/>
      <c r="G1152" s="247"/>
      <c r="H1152" s="247"/>
      <c r="I1152" s="247"/>
      <c r="J1152" s="247"/>
      <c r="K1152" s="272"/>
    </row>
    <row r="1153">
      <c r="A1153" s="272"/>
      <c r="B1153" s="273"/>
      <c r="C1153" s="273"/>
      <c r="D1153" s="274"/>
      <c r="E1153" s="274"/>
      <c r="F1153" s="274"/>
      <c r="G1153" s="247"/>
      <c r="H1153" s="247"/>
      <c r="I1153" s="247"/>
      <c r="J1153" s="247"/>
      <c r="K1153" s="272"/>
    </row>
    <row r="1154">
      <c r="A1154" s="272"/>
      <c r="B1154" s="273"/>
      <c r="C1154" s="273"/>
      <c r="D1154" s="274"/>
      <c r="E1154" s="274"/>
      <c r="F1154" s="274"/>
      <c r="G1154" s="247"/>
      <c r="H1154" s="247"/>
      <c r="I1154" s="247"/>
      <c r="J1154" s="247"/>
      <c r="K1154" s="272"/>
    </row>
    <row r="1155">
      <c r="A1155" s="272"/>
      <c r="B1155" s="273"/>
      <c r="C1155" s="273"/>
      <c r="D1155" s="274"/>
      <c r="E1155" s="274"/>
      <c r="F1155" s="274"/>
      <c r="G1155" s="247"/>
      <c r="H1155" s="247"/>
      <c r="I1155" s="247"/>
      <c r="J1155" s="247"/>
      <c r="K1155" s="272"/>
    </row>
    <row r="1156">
      <c r="A1156" s="272"/>
      <c r="B1156" s="273"/>
      <c r="C1156" s="273"/>
      <c r="D1156" s="274"/>
      <c r="E1156" s="274"/>
      <c r="F1156" s="274"/>
      <c r="G1156" s="247"/>
      <c r="H1156" s="247"/>
      <c r="I1156" s="247"/>
      <c r="J1156" s="247"/>
      <c r="K1156" s="272"/>
    </row>
    <row r="1157">
      <c r="A1157" s="272"/>
      <c r="B1157" s="273"/>
      <c r="C1157" s="273"/>
      <c r="D1157" s="274"/>
      <c r="E1157" s="274"/>
      <c r="F1157" s="274"/>
      <c r="G1157" s="247"/>
      <c r="H1157" s="247"/>
      <c r="I1157" s="247"/>
      <c r="J1157" s="247"/>
      <c r="K1157" s="272"/>
    </row>
    <row r="1158">
      <c r="A1158" s="272"/>
      <c r="B1158" s="273"/>
      <c r="C1158" s="273"/>
      <c r="D1158" s="274"/>
      <c r="E1158" s="274"/>
      <c r="F1158" s="274"/>
      <c r="G1158" s="247"/>
      <c r="H1158" s="247"/>
      <c r="I1158" s="247"/>
      <c r="J1158" s="247"/>
      <c r="K1158" s="272"/>
    </row>
    <row r="1159">
      <c r="A1159" s="272"/>
      <c r="B1159" s="273"/>
      <c r="C1159" s="273"/>
      <c r="D1159" s="274"/>
      <c r="E1159" s="274"/>
      <c r="F1159" s="274"/>
      <c r="G1159" s="247"/>
      <c r="H1159" s="247"/>
      <c r="I1159" s="247"/>
      <c r="J1159" s="247"/>
      <c r="K1159" s="272"/>
    </row>
    <row r="1160">
      <c r="A1160" s="272"/>
      <c r="B1160" s="273"/>
      <c r="C1160" s="273"/>
      <c r="D1160" s="274"/>
      <c r="E1160" s="274"/>
      <c r="F1160" s="274"/>
      <c r="G1160" s="247"/>
      <c r="H1160" s="247"/>
      <c r="I1160" s="247"/>
      <c r="J1160" s="247"/>
      <c r="K1160" s="272"/>
    </row>
    <row r="1161">
      <c r="A1161" s="272"/>
      <c r="B1161" s="273"/>
      <c r="C1161" s="273"/>
      <c r="D1161" s="274"/>
      <c r="E1161" s="274"/>
      <c r="F1161" s="274"/>
      <c r="G1161" s="247"/>
      <c r="H1161" s="247"/>
      <c r="I1161" s="247"/>
      <c r="J1161" s="247"/>
      <c r="K1161" s="272"/>
    </row>
    <row r="1162">
      <c r="A1162" s="272"/>
      <c r="B1162" s="273"/>
      <c r="C1162" s="273"/>
      <c r="D1162" s="274"/>
      <c r="E1162" s="274"/>
      <c r="F1162" s="274"/>
      <c r="G1162" s="247"/>
      <c r="H1162" s="247"/>
      <c r="I1162" s="247"/>
      <c r="J1162" s="247"/>
      <c r="K1162" s="272"/>
    </row>
    <row r="1163">
      <c r="A1163" s="272"/>
      <c r="B1163" s="273"/>
      <c r="C1163" s="273"/>
      <c r="D1163" s="274"/>
      <c r="E1163" s="274"/>
      <c r="F1163" s="274"/>
      <c r="G1163" s="247"/>
      <c r="H1163" s="247"/>
      <c r="I1163" s="247"/>
      <c r="J1163" s="247"/>
      <c r="K1163" s="272"/>
    </row>
    <row r="1164">
      <c r="A1164" s="272"/>
      <c r="B1164" s="273"/>
      <c r="C1164" s="273"/>
      <c r="D1164" s="274"/>
      <c r="E1164" s="274"/>
      <c r="F1164" s="274"/>
      <c r="G1164" s="247"/>
      <c r="H1164" s="247"/>
      <c r="I1164" s="247"/>
      <c r="J1164" s="247"/>
      <c r="K1164" s="272"/>
    </row>
    <row r="1165">
      <c r="A1165" s="272"/>
      <c r="B1165" s="273"/>
      <c r="C1165" s="273"/>
      <c r="D1165" s="274"/>
      <c r="E1165" s="274"/>
      <c r="F1165" s="274"/>
      <c r="G1165" s="247"/>
      <c r="H1165" s="247"/>
      <c r="I1165" s="247"/>
      <c r="J1165" s="247"/>
      <c r="K1165" s="272"/>
    </row>
    <row r="1166">
      <c r="A1166" s="272"/>
      <c r="B1166" s="273"/>
      <c r="C1166" s="273"/>
      <c r="D1166" s="274"/>
      <c r="E1166" s="274"/>
      <c r="F1166" s="274"/>
      <c r="G1166" s="247"/>
      <c r="H1166" s="247"/>
      <c r="I1166" s="247"/>
      <c r="J1166" s="247"/>
      <c r="K1166" s="272"/>
    </row>
    <row r="1167">
      <c r="A1167" s="272"/>
      <c r="B1167" s="273"/>
      <c r="C1167" s="273"/>
      <c r="D1167" s="274"/>
      <c r="E1167" s="274"/>
      <c r="F1167" s="274"/>
      <c r="G1167" s="247"/>
      <c r="H1167" s="247"/>
      <c r="I1167" s="247"/>
      <c r="J1167" s="247"/>
      <c r="K1167" s="272"/>
    </row>
    <row r="1168">
      <c r="A1168" s="272"/>
      <c r="B1168" s="273"/>
      <c r="C1168" s="273"/>
      <c r="D1168" s="274"/>
      <c r="E1168" s="274"/>
      <c r="F1168" s="274"/>
      <c r="G1168" s="247"/>
      <c r="H1168" s="247"/>
      <c r="I1168" s="247"/>
      <c r="J1168" s="247"/>
      <c r="K1168" s="272"/>
    </row>
    <row r="1169">
      <c r="A1169" s="272"/>
      <c r="B1169" s="273"/>
      <c r="C1169" s="273"/>
      <c r="D1169" s="274"/>
      <c r="E1169" s="274"/>
      <c r="F1169" s="274"/>
      <c r="G1169" s="247"/>
      <c r="H1169" s="247"/>
      <c r="I1169" s="247"/>
      <c r="J1169" s="247"/>
      <c r="K1169" s="272"/>
    </row>
    <row r="1170">
      <c r="A1170" s="272"/>
      <c r="B1170" s="273"/>
      <c r="C1170" s="273"/>
      <c r="D1170" s="274"/>
      <c r="E1170" s="274"/>
      <c r="F1170" s="274"/>
      <c r="G1170" s="247"/>
      <c r="H1170" s="247"/>
      <c r="I1170" s="247"/>
      <c r="J1170" s="247"/>
      <c r="K1170" s="272"/>
    </row>
    <row r="1171">
      <c r="A1171" s="272"/>
      <c r="B1171" s="273"/>
      <c r="C1171" s="273"/>
      <c r="D1171" s="274"/>
      <c r="E1171" s="274"/>
      <c r="F1171" s="274"/>
      <c r="G1171" s="247"/>
      <c r="H1171" s="247"/>
      <c r="I1171" s="247"/>
      <c r="J1171" s="247"/>
      <c r="K1171" s="272"/>
    </row>
    <row r="1172">
      <c r="A1172" s="272"/>
      <c r="B1172" s="273"/>
      <c r="C1172" s="273"/>
      <c r="D1172" s="274"/>
      <c r="E1172" s="274"/>
      <c r="F1172" s="274"/>
      <c r="G1172" s="247"/>
      <c r="H1172" s="247"/>
      <c r="I1172" s="247"/>
      <c r="J1172" s="247"/>
      <c r="K1172" s="272"/>
    </row>
    <row r="1173">
      <c r="A1173" s="272"/>
      <c r="B1173" s="273"/>
      <c r="C1173" s="273"/>
      <c r="D1173" s="274"/>
      <c r="E1173" s="274"/>
      <c r="F1173" s="274"/>
      <c r="G1173" s="247"/>
      <c r="H1173" s="247"/>
      <c r="I1173" s="247"/>
      <c r="J1173" s="247"/>
      <c r="K1173" s="272"/>
    </row>
    <row r="1174">
      <c r="A1174" s="272"/>
      <c r="B1174" s="273"/>
      <c r="C1174" s="273"/>
      <c r="D1174" s="274"/>
      <c r="E1174" s="274"/>
      <c r="F1174" s="274"/>
      <c r="G1174" s="247"/>
      <c r="H1174" s="247"/>
      <c r="I1174" s="247"/>
      <c r="J1174" s="247"/>
      <c r="K1174" s="272"/>
    </row>
    <row r="1175">
      <c r="A1175" s="272"/>
      <c r="B1175" s="273"/>
      <c r="C1175" s="273"/>
      <c r="D1175" s="274"/>
      <c r="E1175" s="274"/>
      <c r="F1175" s="274"/>
      <c r="G1175" s="247"/>
      <c r="H1175" s="247"/>
      <c r="I1175" s="247"/>
      <c r="J1175" s="247"/>
      <c r="K1175" s="272"/>
    </row>
    <row r="1176">
      <c r="A1176" s="272"/>
      <c r="B1176" s="273"/>
      <c r="C1176" s="273"/>
      <c r="D1176" s="274"/>
      <c r="E1176" s="274"/>
      <c r="F1176" s="274"/>
      <c r="G1176" s="247"/>
      <c r="H1176" s="247"/>
      <c r="I1176" s="247"/>
      <c r="J1176" s="247"/>
      <c r="K1176" s="272"/>
    </row>
    <row r="1177">
      <c r="A1177" s="272"/>
      <c r="B1177" s="273"/>
      <c r="C1177" s="273"/>
      <c r="D1177" s="274"/>
      <c r="E1177" s="274"/>
      <c r="F1177" s="274"/>
      <c r="G1177" s="247"/>
      <c r="H1177" s="247"/>
      <c r="I1177" s="247"/>
      <c r="J1177" s="247"/>
      <c r="K1177" s="272"/>
    </row>
    <row r="1178">
      <c r="A1178" s="272"/>
      <c r="B1178" s="273"/>
      <c r="C1178" s="273"/>
      <c r="D1178" s="274"/>
      <c r="E1178" s="274"/>
      <c r="F1178" s="274"/>
      <c r="G1178" s="247"/>
      <c r="H1178" s="247"/>
      <c r="I1178" s="247"/>
      <c r="J1178" s="247"/>
      <c r="K1178" s="272"/>
    </row>
    <row r="1179">
      <c r="A1179" s="272"/>
      <c r="B1179" s="273"/>
      <c r="C1179" s="273"/>
      <c r="D1179" s="274"/>
      <c r="E1179" s="274"/>
      <c r="F1179" s="274"/>
      <c r="G1179" s="247"/>
      <c r="H1179" s="247"/>
      <c r="I1179" s="247"/>
      <c r="J1179" s="247"/>
      <c r="K1179" s="272"/>
    </row>
    <row r="1180">
      <c r="A1180" s="272"/>
      <c r="B1180" s="273"/>
      <c r="C1180" s="273"/>
      <c r="D1180" s="274"/>
      <c r="E1180" s="274"/>
      <c r="F1180" s="274"/>
      <c r="G1180" s="247"/>
      <c r="H1180" s="247"/>
      <c r="I1180" s="247"/>
      <c r="J1180" s="247"/>
      <c r="K1180" s="272"/>
    </row>
    <row r="1181">
      <c r="A1181" s="272"/>
      <c r="B1181" s="273"/>
      <c r="C1181" s="273"/>
      <c r="D1181" s="274"/>
      <c r="E1181" s="274"/>
      <c r="F1181" s="274"/>
      <c r="G1181" s="247"/>
      <c r="H1181" s="247"/>
      <c r="I1181" s="247"/>
      <c r="J1181" s="247"/>
      <c r="K1181" s="272"/>
    </row>
    <row r="1182">
      <c r="A1182" s="272"/>
      <c r="B1182" s="273"/>
      <c r="C1182" s="273"/>
      <c r="D1182" s="274"/>
      <c r="E1182" s="274"/>
      <c r="F1182" s="274"/>
      <c r="G1182" s="247"/>
      <c r="H1182" s="247"/>
      <c r="I1182" s="247"/>
      <c r="J1182" s="247"/>
      <c r="K1182" s="272"/>
    </row>
    <row r="1183">
      <c r="A1183" s="272"/>
      <c r="B1183" s="273"/>
      <c r="C1183" s="273"/>
      <c r="D1183" s="274"/>
      <c r="E1183" s="274"/>
      <c r="F1183" s="274"/>
      <c r="G1183" s="247"/>
      <c r="H1183" s="247"/>
      <c r="I1183" s="247"/>
      <c r="J1183" s="247"/>
      <c r="K1183" s="272"/>
    </row>
    <row r="1184">
      <c r="A1184" s="272"/>
      <c r="B1184" s="273"/>
      <c r="C1184" s="273"/>
      <c r="D1184" s="274"/>
      <c r="E1184" s="274"/>
      <c r="F1184" s="274"/>
      <c r="G1184" s="247"/>
      <c r="H1184" s="247"/>
      <c r="I1184" s="247"/>
      <c r="J1184" s="247"/>
      <c r="K1184" s="272"/>
    </row>
    <row r="1185">
      <c r="A1185" s="272"/>
      <c r="B1185" s="273"/>
      <c r="C1185" s="273"/>
      <c r="D1185" s="274"/>
      <c r="E1185" s="274"/>
      <c r="F1185" s="274"/>
      <c r="G1185" s="247"/>
      <c r="H1185" s="247"/>
      <c r="I1185" s="247"/>
      <c r="J1185" s="247"/>
      <c r="K1185" s="272"/>
    </row>
    <row r="1186">
      <c r="A1186" s="272"/>
      <c r="B1186" s="273"/>
      <c r="C1186" s="273"/>
      <c r="D1186" s="274"/>
      <c r="E1186" s="274"/>
      <c r="F1186" s="274"/>
      <c r="G1186" s="247"/>
      <c r="H1186" s="247"/>
      <c r="I1186" s="247"/>
      <c r="J1186" s="247"/>
      <c r="K1186" s="272"/>
    </row>
    <row r="1187">
      <c r="A1187" s="272"/>
      <c r="B1187" s="273"/>
      <c r="C1187" s="273"/>
      <c r="D1187" s="274"/>
      <c r="E1187" s="274"/>
      <c r="F1187" s="274"/>
      <c r="G1187" s="247"/>
      <c r="H1187" s="247"/>
      <c r="I1187" s="247"/>
      <c r="J1187" s="247"/>
      <c r="K1187" s="272"/>
    </row>
    <row r="1188">
      <c r="A1188" s="272"/>
      <c r="B1188" s="273"/>
      <c r="C1188" s="273"/>
      <c r="D1188" s="274"/>
      <c r="E1188" s="274"/>
      <c r="F1188" s="274"/>
      <c r="G1188" s="247"/>
      <c r="H1188" s="247"/>
      <c r="I1188" s="247"/>
      <c r="J1188" s="247"/>
      <c r="K1188" s="272"/>
    </row>
    <row r="1189">
      <c r="A1189" s="272"/>
      <c r="B1189" s="273"/>
      <c r="C1189" s="273"/>
      <c r="D1189" s="274"/>
      <c r="E1189" s="274"/>
      <c r="F1189" s="274"/>
      <c r="G1189" s="247"/>
      <c r="H1189" s="247"/>
      <c r="I1189" s="247"/>
      <c r="J1189" s="247"/>
      <c r="K1189" s="272"/>
    </row>
    <row r="1190">
      <c r="A1190" s="272"/>
      <c r="B1190" s="273"/>
      <c r="C1190" s="273"/>
      <c r="D1190" s="274"/>
      <c r="E1190" s="274"/>
      <c r="F1190" s="274"/>
      <c r="G1190" s="247"/>
      <c r="H1190" s="247"/>
      <c r="I1190" s="247"/>
      <c r="J1190" s="247"/>
      <c r="K1190" s="272"/>
    </row>
    <row r="1191">
      <c r="A1191" s="272"/>
      <c r="B1191" s="273"/>
      <c r="C1191" s="273"/>
      <c r="D1191" s="274"/>
      <c r="E1191" s="274"/>
      <c r="F1191" s="274"/>
      <c r="G1191" s="247"/>
      <c r="H1191" s="247"/>
      <c r="I1191" s="247"/>
      <c r="J1191" s="247"/>
      <c r="K1191" s="272"/>
    </row>
    <row r="1192">
      <c r="A1192" s="272"/>
      <c r="B1192" s="273"/>
      <c r="C1192" s="273"/>
      <c r="D1192" s="274"/>
      <c r="E1192" s="274"/>
      <c r="F1192" s="274"/>
      <c r="G1192" s="247"/>
      <c r="H1192" s="247"/>
      <c r="I1192" s="247"/>
      <c r="J1192" s="247"/>
      <c r="K1192" s="272"/>
    </row>
    <row r="1193">
      <c r="A1193" s="264"/>
      <c r="B1193" s="303"/>
      <c r="C1193" s="303"/>
      <c r="D1193" s="304"/>
      <c r="E1193" s="304"/>
      <c r="F1193" s="304"/>
      <c r="G1193" s="267"/>
      <c r="H1193" s="267"/>
      <c r="I1193" s="267"/>
      <c r="J1193" s="267"/>
      <c r="K1193" s="264"/>
    </row>
    <row r="1194">
      <c r="A1194" s="264"/>
      <c r="B1194" s="303"/>
      <c r="C1194" s="303"/>
      <c r="D1194" s="304"/>
      <c r="E1194" s="304"/>
      <c r="F1194" s="304"/>
      <c r="G1194" s="267"/>
      <c r="H1194" s="267"/>
      <c r="I1194" s="267"/>
      <c r="J1194" s="267"/>
      <c r="K1194" s="264"/>
    </row>
    <row r="1195">
      <c r="A1195" s="264"/>
      <c r="B1195" s="303"/>
      <c r="C1195" s="303"/>
      <c r="D1195" s="304"/>
      <c r="E1195" s="304"/>
      <c r="F1195" s="304"/>
      <c r="G1195" s="267"/>
      <c r="H1195" s="267"/>
      <c r="I1195" s="267"/>
      <c r="J1195" s="267"/>
      <c r="K1195" s="264"/>
    </row>
    <row r="1196">
      <c r="A1196" s="264"/>
      <c r="B1196" s="303"/>
      <c r="C1196" s="303"/>
      <c r="D1196" s="304"/>
      <c r="E1196" s="304"/>
      <c r="F1196" s="304"/>
      <c r="G1196" s="267"/>
      <c r="H1196" s="267"/>
      <c r="I1196" s="267"/>
      <c r="J1196" s="267"/>
      <c r="K1196" s="264"/>
    </row>
    <row r="1197">
      <c r="A1197" s="264"/>
      <c r="B1197" s="303"/>
      <c r="C1197" s="303"/>
      <c r="D1197" s="304"/>
      <c r="E1197" s="304"/>
      <c r="F1197" s="304"/>
      <c r="G1197" s="267"/>
      <c r="H1197" s="267"/>
      <c r="I1197" s="267"/>
      <c r="J1197" s="267"/>
      <c r="K1197" s="264"/>
    </row>
    <row r="1198">
      <c r="A1198" s="264"/>
      <c r="B1198" s="303"/>
      <c r="C1198" s="303"/>
      <c r="D1198" s="304"/>
      <c r="E1198" s="304"/>
      <c r="F1198" s="304"/>
      <c r="G1198" s="267"/>
      <c r="H1198" s="267"/>
      <c r="I1198" s="267"/>
      <c r="J1198" s="267"/>
      <c r="K1198" s="264"/>
    </row>
    <row r="1199">
      <c r="A1199" s="264"/>
      <c r="B1199" s="303"/>
      <c r="C1199" s="303"/>
      <c r="D1199" s="304"/>
      <c r="E1199" s="304"/>
      <c r="F1199" s="304"/>
      <c r="G1199" s="267"/>
      <c r="H1199" s="267"/>
      <c r="I1199" s="267"/>
      <c r="J1199" s="267"/>
      <c r="K1199" s="264"/>
    </row>
    <row r="1200">
      <c r="A1200" s="264"/>
      <c r="B1200" s="303"/>
      <c r="C1200" s="303"/>
      <c r="D1200" s="304"/>
      <c r="E1200" s="304"/>
      <c r="F1200" s="304"/>
      <c r="G1200" s="267"/>
      <c r="H1200" s="267"/>
      <c r="I1200" s="267"/>
      <c r="J1200" s="267"/>
      <c r="K1200" s="264"/>
    </row>
    <row r="1201">
      <c r="A1201" s="264"/>
      <c r="B1201" s="303"/>
      <c r="C1201" s="303"/>
      <c r="D1201" s="304"/>
      <c r="E1201" s="304"/>
      <c r="F1201" s="304"/>
      <c r="G1201" s="267"/>
      <c r="H1201" s="267"/>
      <c r="I1201" s="267"/>
      <c r="J1201" s="267"/>
      <c r="K1201" s="264"/>
    </row>
    <row r="1202">
      <c r="A1202" s="264"/>
      <c r="B1202" s="303"/>
      <c r="C1202" s="303"/>
      <c r="D1202" s="304"/>
      <c r="E1202" s="304"/>
      <c r="F1202" s="304"/>
      <c r="G1202" s="267"/>
      <c r="H1202" s="267"/>
      <c r="I1202" s="267"/>
      <c r="J1202" s="267"/>
      <c r="K1202" s="264"/>
    </row>
    <row r="1203">
      <c r="A1203" s="264"/>
      <c r="B1203" s="303"/>
      <c r="C1203" s="303"/>
      <c r="D1203" s="304"/>
      <c r="E1203" s="304"/>
      <c r="F1203" s="304"/>
      <c r="G1203" s="267"/>
      <c r="H1203" s="267"/>
      <c r="I1203" s="267"/>
      <c r="J1203" s="267"/>
      <c r="K1203" s="264"/>
    </row>
    <row r="1204">
      <c r="A1204" s="264"/>
      <c r="B1204" s="303"/>
      <c r="C1204" s="303"/>
      <c r="D1204" s="304"/>
      <c r="E1204" s="304"/>
      <c r="F1204" s="304"/>
      <c r="G1204" s="267"/>
      <c r="H1204" s="267"/>
      <c r="I1204" s="267"/>
      <c r="J1204" s="267"/>
      <c r="K1204" s="264"/>
    </row>
    <row r="1205">
      <c r="A1205" s="264"/>
      <c r="B1205" s="303"/>
      <c r="C1205" s="303"/>
      <c r="D1205" s="304"/>
      <c r="E1205" s="304"/>
      <c r="F1205" s="304"/>
      <c r="G1205" s="267"/>
      <c r="H1205" s="267"/>
      <c r="I1205" s="267"/>
      <c r="J1205" s="267"/>
      <c r="K1205" s="264"/>
    </row>
    <row r="1206">
      <c r="A1206" s="264"/>
      <c r="B1206" s="303"/>
      <c r="C1206" s="303"/>
      <c r="D1206" s="304"/>
      <c r="E1206" s="304"/>
      <c r="F1206" s="304"/>
      <c r="G1206" s="267"/>
      <c r="H1206" s="267"/>
      <c r="I1206" s="267"/>
      <c r="J1206" s="267"/>
      <c r="K1206" s="264"/>
    </row>
    <row r="1207">
      <c r="A1207" s="264"/>
      <c r="B1207" s="303"/>
      <c r="C1207" s="303"/>
      <c r="D1207" s="304"/>
      <c r="E1207" s="304"/>
      <c r="F1207" s="304"/>
      <c r="G1207" s="267"/>
      <c r="H1207" s="267"/>
      <c r="I1207" s="267"/>
      <c r="J1207" s="267"/>
      <c r="K1207" s="264"/>
    </row>
    <row r="1208">
      <c r="A1208" s="264"/>
      <c r="B1208" s="303"/>
      <c r="C1208" s="303"/>
      <c r="D1208" s="304"/>
      <c r="E1208" s="304"/>
      <c r="F1208" s="304"/>
      <c r="G1208" s="267"/>
      <c r="H1208" s="267"/>
      <c r="I1208" s="267"/>
      <c r="J1208" s="267"/>
      <c r="K1208" s="264"/>
    </row>
    <row r="1209">
      <c r="A1209" s="264"/>
      <c r="B1209" s="303"/>
      <c r="C1209" s="303"/>
      <c r="D1209" s="304"/>
      <c r="E1209" s="304"/>
      <c r="F1209" s="304"/>
      <c r="G1209" s="267"/>
      <c r="H1209" s="267"/>
      <c r="I1209" s="267"/>
      <c r="J1209" s="267"/>
      <c r="K1209" s="264"/>
    </row>
    <row r="1210">
      <c r="A1210" s="264"/>
      <c r="B1210" s="303"/>
      <c r="C1210" s="303"/>
      <c r="D1210" s="304"/>
      <c r="E1210" s="304"/>
      <c r="F1210" s="304"/>
      <c r="G1210" s="267"/>
      <c r="H1210" s="267"/>
      <c r="I1210" s="267"/>
      <c r="J1210" s="267"/>
      <c r="K1210" s="264"/>
    </row>
    <row r="1211">
      <c r="A1211" s="264"/>
      <c r="B1211" s="303"/>
      <c r="C1211" s="303"/>
      <c r="D1211" s="304"/>
      <c r="E1211" s="304"/>
      <c r="F1211" s="304"/>
      <c r="G1211" s="267"/>
      <c r="H1211" s="267"/>
      <c r="I1211" s="267"/>
      <c r="J1211" s="267"/>
      <c r="K1211" s="264"/>
    </row>
    <row r="1212">
      <c r="A1212" s="264"/>
      <c r="B1212" s="303"/>
      <c r="C1212" s="303"/>
      <c r="D1212" s="304"/>
      <c r="E1212" s="304"/>
      <c r="F1212" s="304"/>
      <c r="G1212" s="267"/>
      <c r="H1212" s="267"/>
      <c r="I1212" s="267"/>
      <c r="J1212" s="267"/>
      <c r="K1212" s="264"/>
    </row>
    <row r="1213">
      <c r="A1213" s="264"/>
      <c r="B1213" s="303"/>
      <c r="C1213" s="303"/>
      <c r="D1213" s="304"/>
      <c r="E1213" s="304"/>
      <c r="F1213" s="304"/>
      <c r="G1213" s="267"/>
      <c r="H1213" s="267"/>
      <c r="I1213" s="267"/>
      <c r="J1213" s="267"/>
      <c r="K1213" s="264"/>
    </row>
    <row r="1214">
      <c r="A1214" s="264"/>
      <c r="B1214" s="303"/>
      <c r="C1214" s="303"/>
      <c r="D1214" s="304"/>
      <c r="E1214" s="304"/>
      <c r="F1214" s="304"/>
      <c r="G1214" s="267"/>
      <c r="H1214" s="267"/>
      <c r="I1214" s="267"/>
      <c r="J1214" s="267"/>
      <c r="K1214" s="264"/>
    </row>
    <row r="1215">
      <c r="A1215" s="264"/>
      <c r="B1215" s="303"/>
      <c r="C1215" s="303"/>
      <c r="D1215" s="304"/>
      <c r="E1215" s="304"/>
      <c r="F1215" s="304"/>
      <c r="G1215" s="267"/>
      <c r="H1215" s="267"/>
      <c r="I1215" s="267"/>
      <c r="J1215" s="267"/>
      <c r="K1215" s="264"/>
    </row>
    <row r="1216">
      <c r="A1216" s="264"/>
      <c r="B1216" s="303"/>
      <c r="C1216" s="303"/>
      <c r="D1216" s="304"/>
      <c r="E1216" s="304"/>
      <c r="F1216" s="304"/>
      <c r="G1216" s="267"/>
      <c r="H1216" s="267"/>
      <c r="I1216" s="267"/>
      <c r="J1216" s="267"/>
      <c r="K1216" s="264"/>
    </row>
    <row r="1217">
      <c r="A1217" s="264"/>
      <c r="B1217" s="303"/>
      <c r="C1217" s="303"/>
      <c r="D1217" s="304"/>
      <c r="E1217" s="304"/>
      <c r="F1217" s="304"/>
      <c r="G1217" s="267"/>
      <c r="H1217" s="267"/>
      <c r="I1217" s="267"/>
      <c r="J1217" s="267"/>
      <c r="K1217" s="264"/>
    </row>
    <row r="1218">
      <c r="A1218" s="264"/>
      <c r="B1218" s="303"/>
      <c r="C1218" s="303"/>
      <c r="D1218" s="304"/>
      <c r="E1218" s="304"/>
      <c r="F1218" s="304"/>
      <c r="G1218" s="267"/>
      <c r="H1218" s="267"/>
      <c r="I1218" s="267"/>
      <c r="J1218" s="267"/>
      <c r="K1218" s="264"/>
    </row>
    <row r="1219">
      <c r="A1219" s="264"/>
      <c r="B1219" s="303"/>
      <c r="C1219" s="303"/>
      <c r="D1219" s="304"/>
      <c r="E1219" s="304"/>
      <c r="F1219" s="304"/>
      <c r="G1219" s="267"/>
      <c r="H1219" s="267"/>
      <c r="I1219" s="267"/>
      <c r="J1219" s="267"/>
      <c r="K1219" s="264"/>
    </row>
    <row r="1220">
      <c r="A1220" s="264"/>
      <c r="B1220" s="303"/>
      <c r="C1220" s="303"/>
      <c r="D1220" s="304"/>
      <c r="E1220" s="304"/>
      <c r="F1220" s="304"/>
      <c r="G1220" s="267"/>
      <c r="H1220" s="267"/>
      <c r="I1220" s="267"/>
      <c r="J1220" s="267"/>
      <c r="K1220" s="264"/>
    </row>
    <row r="1221">
      <c r="A1221" s="264"/>
      <c r="B1221" s="303"/>
      <c r="C1221" s="303"/>
      <c r="D1221" s="304"/>
      <c r="E1221" s="304"/>
      <c r="F1221" s="304"/>
      <c r="G1221" s="267"/>
      <c r="H1221" s="267"/>
      <c r="I1221" s="267"/>
      <c r="J1221" s="267"/>
      <c r="K1221" s="264"/>
    </row>
    <row r="1222">
      <c r="A1222" s="264"/>
      <c r="B1222" s="303"/>
      <c r="C1222" s="303"/>
      <c r="D1222" s="304"/>
      <c r="E1222" s="304"/>
      <c r="F1222" s="304"/>
      <c r="G1222" s="267"/>
      <c r="H1222" s="267"/>
      <c r="I1222" s="267"/>
      <c r="J1222" s="267"/>
      <c r="K1222" s="264"/>
    </row>
    <row r="1223">
      <c r="A1223" s="264"/>
      <c r="B1223" s="303"/>
      <c r="C1223" s="303"/>
      <c r="D1223" s="304"/>
      <c r="E1223" s="304"/>
      <c r="F1223" s="304"/>
      <c r="G1223" s="267"/>
      <c r="H1223" s="267"/>
      <c r="I1223" s="267"/>
      <c r="J1223" s="267"/>
      <c r="K1223" s="264"/>
    </row>
    <row r="1224">
      <c r="A1224" s="264"/>
      <c r="B1224" s="303"/>
      <c r="C1224" s="303"/>
      <c r="D1224" s="304"/>
      <c r="E1224" s="304"/>
      <c r="F1224" s="304"/>
      <c r="G1224" s="267"/>
      <c r="H1224" s="267"/>
      <c r="I1224" s="267"/>
      <c r="J1224" s="267"/>
      <c r="K1224" s="264"/>
    </row>
    <row r="1225">
      <c r="A1225" s="264"/>
      <c r="B1225" s="303"/>
      <c r="C1225" s="303"/>
      <c r="D1225" s="304"/>
      <c r="E1225" s="304"/>
      <c r="F1225" s="304"/>
      <c r="G1225" s="267"/>
      <c r="H1225" s="267"/>
      <c r="I1225" s="267"/>
      <c r="J1225" s="267"/>
      <c r="K1225" s="264"/>
    </row>
    <row r="1226">
      <c r="A1226" s="264"/>
      <c r="B1226" s="303"/>
      <c r="C1226" s="303"/>
      <c r="D1226" s="304"/>
      <c r="E1226" s="304"/>
      <c r="F1226" s="304"/>
      <c r="G1226" s="267"/>
      <c r="H1226" s="267"/>
      <c r="I1226" s="267"/>
      <c r="J1226" s="267"/>
      <c r="K1226" s="264"/>
    </row>
    <row r="1227">
      <c r="A1227" s="264"/>
      <c r="B1227" s="303"/>
      <c r="C1227" s="303"/>
      <c r="D1227" s="304"/>
      <c r="E1227" s="304"/>
      <c r="F1227" s="304"/>
      <c r="G1227" s="267"/>
      <c r="H1227" s="267"/>
      <c r="I1227" s="267"/>
      <c r="J1227" s="267"/>
      <c r="K1227" s="264"/>
    </row>
    <row r="1228">
      <c r="A1228" s="264"/>
      <c r="B1228" s="303"/>
      <c r="C1228" s="303"/>
      <c r="D1228" s="304"/>
      <c r="E1228" s="304"/>
      <c r="F1228" s="304"/>
      <c r="G1228" s="267"/>
      <c r="H1228" s="267"/>
      <c r="I1228" s="267"/>
      <c r="J1228" s="267"/>
      <c r="K1228" s="264"/>
    </row>
    <row r="1229">
      <c r="A1229" s="264"/>
      <c r="B1229" s="303"/>
      <c r="C1229" s="303"/>
      <c r="D1229" s="304"/>
      <c r="E1229" s="304"/>
      <c r="F1229" s="304"/>
      <c r="G1229" s="267"/>
      <c r="H1229" s="267"/>
      <c r="I1229" s="267"/>
      <c r="J1229" s="267"/>
      <c r="K1229" s="264"/>
    </row>
    <row r="1230">
      <c r="A1230" s="264"/>
      <c r="B1230" s="303"/>
      <c r="C1230" s="303"/>
      <c r="D1230" s="304"/>
      <c r="E1230" s="304"/>
      <c r="F1230" s="304"/>
      <c r="G1230" s="267"/>
      <c r="H1230" s="267"/>
      <c r="I1230" s="267"/>
      <c r="J1230" s="267"/>
      <c r="K1230" s="264"/>
    </row>
    <row r="1231">
      <c r="A1231" s="264"/>
      <c r="B1231" s="303"/>
      <c r="C1231" s="303"/>
      <c r="D1231" s="304"/>
      <c r="E1231" s="304"/>
      <c r="F1231" s="304"/>
      <c r="G1231" s="267"/>
      <c r="H1231" s="267"/>
      <c r="I1231" s="267"/>
      <c r="J1231" s="267"/>
      <c r="K1231" s="264"/>
    </row>
    <row r="1232">
      <c r="A1232" s="264"/>
      <c r="B1232" s="303"/>
      <c r="C1232" s="303"/>
      <c r="D1232" s="304"/>
      <c r="E1232" s="304"/>
      <c r="F1232" s="304"/>
      <c r="G1232" s="267"/>
      <c r="H1232" s="267"/>
      <c r="I1232" s="267"/>
      <c r="J1232" s="267"/>
      <c r="K1232" s="264"/>
    </row>
    <row r="1233">
      <c r="A1233" s="264"/>
      <c r="B1233" s="303"/>
      <c r="C1233" s="303"/>
      <c r="D1233" s="304"/>
      <c r="E1233" s="304"/>
      <c r="F1233" s="304"/>
      <c r="G1233" s="267"/>
      <c r="H1233" s="267"/>
      <c r="I1233" s="267"/>
      <c r="J1233" s="267"/>
      <c r="K1233" s="264"/>
    </row>
    <row r="1234">
      <c r="A1234" s="264"/>
      <c r="B1234" s="303"/>
      <c r="C1234" s="303"/>
      <c r="D1234" s="304"/>
      <c r="E1234" s="304"/>
      <c r="F1234" s="304"/>
      <c r="G1234" s="267"/>
      <c r="H1234" s="267"/>
      <c r="I1234" s="267"/>
      <c r="J1234" s="267"/>
      <c r="K1234" s="264"/>
    </row>
    <row r="1235">
      <c r="A1235" s="264"/>
      <c r="B1235" s="303"/>
      <c r="C1235" s="303"/>
      <c r="D1235" s="304"/>
      <c r="E1235" s="304"/>
      <c r="F1235" s="304"/>
      <c r="G1235" s="267"/>
      <c r="H1235" s="267"/>
      <c r="I1235" s="267"/>
      <c r="J1235" s="267"/>
      <c r="K1235" s="264"/>
    </row>
    <row r="1236">
      <c r="A1236" s="264"/>
      <c r="B1236" s="303"/>
      <c r="C1236" s="303"/>
      <c r="D1236" s="304"/>
      <c r="E1236" s="304"/>
      <c r="F1236" s="304"/>
      <c r="G1236" s="267"/>
      <c r="H1236" s="267"/>
      <c r="I1236" s="267"/>
      <c r="J1236" s="267"/>
      <c r="K1236" s="264"/>
    </row>
    <row r="1237">
      <c r="A1237" s="264"/>
      <c r="B1237" s="303"/>
      <c r="C1237" s="303"/>
      <c r="D1237" s="304"/>
      <c r="E1237" s="304"/>
      <c r="F1237" s="304"/>
      <c r="G1237" s="267"/>
      <c r="H1237" s="267"/>
      <c r="I1237" s="267"/>
      <c r="J1237" s="267"/>
      <c r="K1237" s="264"/>
    </row>
    <row r="1238">
      <c r="A1238" s="264"/>
      <c r="B1238" s="303"/>
      <c r="C1238" s="303"/>
      <c r="D1238" s="304"/>
      <c r="E1238" s="304"/>
      <c r="F1238" s="304"/>
      <c r="G1238" s="267"/>
      <c r="H1238" s="267"/>
      <c r="I1238" s="267"/>
      <c r="J1238" s="267"/>
      <c r="K1238" s="264"/>
    </row>
    <row r="1239">
      <c r="A1239" s="264"/>
      <c r="B1239" s="303"/>
      <c r="C1239" s="303"/>
      <c r="D1239" s="304"/>
      <c r="E1239" s="304"/>
      <c r="F1239" s="304"/>
      <c r="G1239" s="267"/>
      <c r="H1239" s="267"/>
      <c r="I1239" s="267"/>
      <c r="J1239" s="267"/>
      <c r="K1239" s="264"/>
    </row>
    <row r="1240">
      <c r="A1240" s="264"/>
      <c r="B1240" s="303"/>
      <c r="C1240" s="303"/>
      <c r="D1240" s="304"/>
      <c r="E1240" s="304"/>
      <c r="F1240" s="304"/>
      <c r="G1240" s="267"/>
      <c r="H1240" s="267"/>
      <c r="I1240" s="267"/>
      <c r="J1240" s="267"/>
      <c r="K1240" s="264"/>
    </row>
    <row r="1241">
      <c r="A1241" s="264"/>
      <c r="B1241" s="303"/>
      <c r="C1241" s="303"/>
      <c r="D1241" s="304"/>
      <c r="E1241" s="304"/>
      <c r="F1241" s="304"/>
      <c r="G1241" s="267"/>
      <c r="H1241" s="267"/>
      <c r="I1241" s="267"/>
      <c r="J1241" s="267"/>
      <c r="K1241" s="264"/>
    </row>
    <row r="1242">
      <c r="A1242" s="264"/>
      <c r="B1242" s="303"/>
      <c r="C1242" s="303"/>
      <c r="D1242" s="304"/>
      <c r="E1242" s="304"/>
      <c r="F1242" s="304"/>
      <c r="G1242" s="267"/>
      <c r="H1242" s="267"/>
      <c r="I1242" s="267"/>
      <c r="J1242" s="267"/>
      <c r="K1242" s="264"/>
    </row>
    <row r="1243">
      <c r="A1243" s="264"/>
      <c r="B1243" s="303"/>
      <c r="C1243" s="303"/>
      <c r="D1243" s="304"/>
      <c r="E1243" s="304"/>
      <c r="F1243" s="304"/>
      <c r="G1243" s="267"/>
      <c r="H1243" s="267"/>
      <c r="I1243" s="267"/>
      <c r="J1243" s="267"/>
      <c r="K1243" s="264"/>
    </row>
    <row r="1244">
      <c r="A1244" s="264"/>
      <c r="B1244" s="303"/>
      <c r="C1244" s="303"/>
      <c r="D1244" s="304"/>
      <c r="E1244" s="304"/>
      <c r="F1244" s="304"/>
      <c r="G1244" s="267"/>
      <c r="H1244" s="267"/>
      <c r="I1244" s="267"/>
      <c r="J1244" s="267"/>
      <c r="K1244" s="264"/>
    </row>
    <row r="1245">
      <c r="A1245" s="264"/>
      <c r="B1245" s="303"/>
      <c r="C1245" s="303"/>
      <c r="D1245" s="304"/>
      <c r="E1245" s="304"/>
      <c r="F1245" s="304"/>
      <c r="G1245" s="267"/>
      <c r="H1245" s="267"/>
      <c r="I1245" s="267"/>
      <c r="J1245" s="267"/>
      <c r="K1245" s="264"/>
    </row>
    <row r="1246">
      <c r="A1246" s="264"/>
      <c r="B1246" s="303"/>
      <c r="C1246" s="303"/>
      <c r="D1246" s="304"/>
      <c r="E1246" s="304"/>
      <c r="F1246" s="304"/>
      <c r="G1246" s="267"/>
      <c r="H1246" s="267"/>
      <c r="I1246" s="267"/>
      <c r="J1246" s="267"/>
      <c r="K1246" s="264"/>
    </row>
    <row r="1247">
      <c r="A1247" s="264"/>
      <c r="B1247" s="303"/>
      <c r="C1247" s="303"/>
      <c r="D1247" s="304"/>
      <c r="E1247" s="304"/>
      <c r="F1247" s="304"/>
      <c r="G1247" s="267"/>
      <c r="H1247" s="267"/>
      <c r="I1247" s="267"/>
      <c r="J1247" s="267"/>
      <c r="K1247" s="264"/>
    </row>
    <row r="1248">
      <c r="A1248" s="264"/>
      <c r="B1248" s="303"/>
      <c r="C1248" s="303"/>
      <c r="D1248" s="304"/>
      <c r="E1248" s="304"/>
      <c r="F1248" s="304"/>
      <c r="G1248" s="267"/>
      <c r="H1248" s="267"/>
      <c r="I1248" s="267"/>
      <c r="J1248" s="267"/>
      <c r="K1248" s="264"/>
    </row>
    <row r="1249">
      <c r="A1249" s="264"/>
      <c r="B1249" s="303"/>
      <c r="C1249" s="303"/>
      <c r="D1249" s="304"/>
      <c r="E1249" s="304"/>
      <c r="F1249" s="304"/>
      <c r="G1249" s="267"/>
      <c r="H1249" s="267"/>
      <c r="I1249" s="267"/>
      <c r="J1249" s="267"/>
      <c r="K1249" s="264"/>
    </row>
    <row r="1250">
      <c r="A1250" s="264"/>
      <c r="B1250" s="303"/>
      <c r="C1250" s="303"/>
      <c r="D1250" s="304"/>
      <c r="E1250" s="304"/>
      <c r="F1250" s="304"/>
      <c r="G1250" s="267"/>
      <c r="H1250" s="267"/>
      <c r="I1250" s="267"/>
      <c r="J1250" s="267"/>
      <c r="K1250" s="264"/>
    </row>
    <row r="1251">
      <c r="A1251" s="264"/>
      <c r="B1251" s="303"/>
      <c r="C1251" s="303"/>
      <c r="D1251" s="304"/>
      <c r="E1251" s="304"/>
      <c r="F1251" s="304"/>
      <c r="G1251" s="267"/>
      <c r="H1251" s="267"/>
      <c r="I1251" s="267"/>
      <c r="J1251" s="267"/>
      <c r="K1251" s="264"/>
    </row>
    <row r="1252">
      <c r="A1252" s="264"/>
      <c r="B1252" s="303"/>
      <c r="C1252" s="303"/>
      <c r="D1252" s="304"/>
      <c r="E1252" s="304"/>
      <c r="F1252" s="304"/>
      <c r="G1252" s="267"/>
      <c r="H1252" s="267"/>
      <c r="I1252" s="267"/>
      <c r="J1252" s="267"/>
      <c r="K1252" s="264"/>
    </row>
    <row r="1253">
      <c r="A1253" s="264"/>
      <c r="B1253" s="303"/>
      <c r="C1253" s="303"/>
      <c r="D1253" s="304"/>
      <c r="E1253" s="304"/>
      <c r="F1253" s="304"/>
      <c r="G1253" s="267"/>
      <c r="H1253" s="267"/>
      <c r="I1253" s="267"/>
      <c r="J1253" s="267"/>
      <c r="K1253" s="264"/>
    </row>
    <row r="1254">
      <c r="A1254" s="264"/>
      <c r="B1254" s="303"/>
      <c r="C1254" s="303"/>
      <c r="D1254" s="304"/>
      <c r="E1254" s="304"/>
      <c r="F1254" s="304"/>
      <c r="G1254" s="267"/>
      <c r="H1254" s="267"/>
      <c r="I1254" s="267"/>
      <c r="J1254" s="267"/>
      <c r="K1254" s="264"/>
    </row>
    <row r="1255">
      <c r="A1255" s="264"/>
      <c r="B1255" s="303"/>
      <c r="C1255" s="303"/>
      <c r="D1255" s="304"/>
      <c r="E1255" s="304"/>
      <c r="F1255" s="304"/>
      <c r="G1255" s="267"/>
      <c r="H1255" s="267"/>
      <c r="I1255" s="267"/>
      <c r="J1255" s="267"/>
      <c r="K1255" s="264"/>
    </row>
    <row r="1256">
      <c r="A1256" s="264"/>
      <c r="B1256" s="303"/>
      <c r="C1256" s="303"/>
      <c r="D1256" s="304"/>
      <c r="E1256" s="304"/>
      <c r="F1256" s="304"/>
      <c r="G1256" s="267"/>
      <c r="H1256" s="267"/>
      <c r="I1256" s="267"/>
      <c r="J1256" s="267"/>
      <c r="K1256" s="264"/>
    </row>
    <row r="1257">
      <c r="A1257" s="264"/>
      <c r="B1257" s="303"/>
      <c r="C1257" s="303"/>
      <c r="D1257" s="304"/>
      <c r="E1257" s="304"/>
      <c r="F1257" s="304"/>
      <c r="G1257" s="267"/>
      <c r="H1257" s="267"/>
      <c r="I1257" s="267"/>
      <c r="J1257" s="267"/>
      <c r="K1257" s="264"/>
    </row>
    <row r="1258">
      <c r="A1258" s="264"/>
      <c r="B1258" s="303"/>
      <c r="C1258" s="303"/>
      <c r="D1258" s="304"/>
      <c r="E1258" s="304"/>
      <c r="F1258" s="304"/>
      <c r="G1258" s="267"/>
      <c r="H1258" s="267"/>
      <c r="I1258" s="267"/>
      <c r="J1258" s="267"/>
      <c r="K1258" s="264"/>
    </row>
    <row r="1259">
      <c r="A1259" s="264"/>
      <c r="B1259" s="303"/>
      <c r="C1259" s="303"/>
      <c r="D1259" s="304"/>
      <c r="E1259" s="304"/>
      <c r="F1259" s="304"/>
      <c r="G1259" s="267"/>
      <c r="H1259" s="267"/>
      <c r="I1259" s="267"/>
      <c r="J1259" s="267"/>
      <c r="K1259" s="264"/>
    </row>
    <row r="1260">
      <c r="A1260" s="264"/>
      <c r="B1260" s="303"/>
      <c r="C1260" s="303"/>
      <c r="D1260" s="304"/>
      <c r="E1260" s="304"/>
      <c r="F1260" s="304"/>
      <c r="G1260" s="267"/>
      <c r="H1260" s="267"/>
      <c r="I1260" s="267"/>
      <c r="J1260" s="267"/>
      <c r="K1260" s="264"/>
    </row>
    <row r="1261">
      <c r="A1261" s="264"/>
      <c r="B1261" s="303"/>
      <c r="C1261" s="303"/>
      <c r="D1261" s="304"/>
      <c r="E1261" s="304"/>
      <c r="F1261" s="304"/>
      <c r="G1261" s="267"/>
      <c r="H1261" s="267"/>
      <c r="I1261" s="267"/>
      <c r="J1261" s="267"/>
      <c r="K1261" s="264"/>
    </row>
    <row r="1262">
      <c r="A1262" s="264"/>
      <c r="B1262" s="303"/>
      <c r="C1262" s="303"/>
      <c r="D1262" s="304"/>
      <c r="E1262" s="304"/>
      <c r="F1262" s="304"/>
      <c r="G1262" s="267"/>
      <c r="H1262" s="267"/>
      <c r="I1262" s="267"/>
      <c r="J1262" s="267"/>
      <c r="K1262" s="264"/>
    </row>
    <row r="1263">
      <c r="A1263" s="264"/>
      <c r="B1263" s="303"/>
      <c r="C1263" s="303"/>
      <c r="D1263" s="304"/>
      <c r="E1263" s="304"/>
      <c r="F1263" s="304"/>
      <c r="G1263" s="267"/>
      <c r="H1263" s="267"/>
      <c r="I1263" s="267"/>
      <c r="J1263" s="267"/>
      <c r="K1263" s="264"/>
    </row>
    <row r="1264">
      <c r="A1264" s="264"/>
      <c r="B1264" s="303"/>
      <c r="C1264" s="303"/>
      <c r="D1264" s="304"/>
      <c r="E1264" s="304"/>
      <c r="F1264" s="304"/>
      <c r="G1264" s="267"/>
      <c r="H1264" s="267"/>
      <c r="I1264" s="267"/>
      <c r="J1264" s="267"/>
      <c r="K1264" s="264"/>
    </row>
    <row r="1265">
      <c r="A1265" s="264"/>
      <c r="B1265" s="303"/>
      <c r="C1265" s="303"/>
      <c r="D1265" s="304"/>
      <c r="E1265" s="304"/>
      <c r="F1265" s="304"/>
      <c r="G1265" s="267"/>
      <c r="H1265" s="267"/>
      <c r="I1265" s="267"/>
      <c r="J1265" s="267"/>
      <c r="K1265" s="264"/>
    </row>
    <row r="1266">
      <c r="A1266" s="264"/>
      <c r="B1266" s="303"/>
      <c r="C1266" s="303"/>
      <c r="D1266" s="304"/>
      <c r="E1266" s="304"/>
      <c r="F1266" s="304"/>
      <c r="G1266" s="267"/>
      <c r="H1266" s="267"/>
      <c r="I1266" s="267"/>
      <c r="J1266" s="267"/>
      <c r="K1266" s="264"/>
    </row>
    <row r="1267">
      <c r="A1267" s="264"/>
      <c r="B1267" s="303"/>
      <c r="C1267" s="303"/>
      <c r="D1267" s="304"/>
      <c r="E1267" s="304"/>
      <c r="F1267" s="304"/>
      <c r="G1267" s="267"/>
      <c r="H1267" s="267"/>
      <c r="I1267" s="267"/>
      <c r="J1267" s="267"/>
      <c r="K1267" s="264"/>
    </row>
    <row r="1268">
      <c r="A1268" s="264"/>
      <c r="B1268" s="303"/>
      <c r="C1268" s="303"/>
      <c r="D1268" s="304"/>
      <c r="E1268" s="304"/>
      <c r="F1268" s="304"/>
      <c r="G1268" s="267"/>
      <c r="H1268" s="267"/>
      <c r="I1268" s="267"/>
      <c r="J1268" s="267"/>
      <c r="K1268" s="264"/>
    </row>
    <row r="1269">
      <c r="A1269" s="264"/>
      <c r="B1269" s="303"/>
      <c r="C1269" s="303"/>
      <c r="D1269" s="304"/>
      <c r="E1269" s="304"/>
      <c r="F1269" s="304"/>
      <c r="G1269" s="267"/>
      <c r="H1269" s="267"/>
      <c r="I1269" s="267"/>
      <c r="J1269" s="267"/>
      <c r="K1269" s="264"/>
    </row>
    <row r="1270">
      <c r="A1270" s="264"/>
      <c r="B1270" s="303"/>
      <c r="C1270" s="303"/>
      <c r="D1270" s="304"/>
      <c r="E1270" s="304"/>
      <c r="F1270" s="304"/>
      <c r="G1270" s="267"/>
      <c r="H1270" s="267"/>
      <c r="I1270" s="267"/>
      <c r="J1270" s="267"/>
      <c r="K1270" s="264"/>
    </row>
    <row r="1271">
      <c r="A1271" s="264"/>
      <c r="B1271" s="303"/>
      <c r="C1271" s="303"/>
      <c r="D1271" s="304"/>
      <c r="E1271" s="304"/>
      <c r="F1271" s="304"/>
      <c r="G1271" s="267"/>
      <c r="H1271" s="267"/>
      <c r="I1271" s="267"/>
      <c r="J1271" s="267"/>
      <c r="K1271" s="264"/>
    </row>
    <row r="1272">
      <c r="A1272" s="264"/>
      <c r="B1272" s="303"/>
      <c r="C1272" s="303"/>
      <c r="D1272" s="304"/>
      <c r="E1272" s="304"/>
      <c r="F1272" s="304"/>
      <c r="G1272" s="267"/>
      <c r="H1272" s="267"/>
      <c r="I1272" s="267"/>
      <c r="J1272" s="267"/>
      <c r="K1272" s="264"/>
    </row>
    <row r="1273">
      <c r="A1273" s="264"/>
      <c r="B1273" s="303"/>
      <c r="C1273" s="303"/>
      <c r="D1273" s="304"/>
      <c r="E1273" s="304"/>
      <c r="F1273" s="304"/>
      <c r="G1273" s="267"/>
      <c r="H1273" s="267"/>
      <c r="I1273" s="267"/>
      <c r="J1273" s="267"/>
      <c r="K1273" s="264"/>
    </row>
    <row r="1274">
      <c r="A1274" s="264"/>
      <c r="B1274" s="303"/>
      <c r="C1274" s="303"/>
      <c r="D1274" s="304"/>
      <c r="E1274" s="304"/>
      <c r="F1274" s="304"/>
      <c r="G1274" s="267"/>
      <c r="H1274" s="267"/>
      <c r="I1274" s="267"/>
      <c r="J1274" s="267"/>
      <c r="K1274" s="264"/>
    </row>
    <row r="1275">
      <c r="A1275" s="264"/>
      <c r="B1275" s="303"/>
      <c r="C1275" s="303"/>
      <c r="D1275" s="304"/>
      <c r="E1275" s="304"/>
      <c r="F1275" s="304"/>
      <c r="G1275" s="267"/>
      <c r="H1275" s="267"/>
      <c r="I1275" s="267"/>
      <c r="J1275" s="267"/>
      <c r="K1275" s="264"/>
    </row>
    <row r="1276">
      <c r="A1276" s="264"/>
      <c r="B1276" s="303"/>
      <c r="C1276" s="303"/>
      <c r="D1276" s="304"/>
      <c r="E1276" s="304"/>
      <c r="F1276" s="304"/>
      <c r="G1276" s="267"/>
      <c r="H1276" s="267"/>
      <c r="I1276" s="267"/>
      <c r="J1276" s="267"/>
      <c r="K1276" s="264"/>
    </row>
    <row r="1277">
      <c r="A1277" s="264"/>
      <c r="B1277" s="303"/>
      <c r="C1277" s="303"/>
      <c r="D1277" s="304"/>
      <c r="E1277" s="304"/>
      <c r="F1277" s="304"/>
      <c r="G1277" s="267"/>
      <c r="H1277" s="267"/>
      <c r="I1277" s="267"/>
      <c r="J1277" s="267"/>
      <c r="K1277" s="264"/>
    </row>
    <row r="1278">
      <c r="A1278" s="264"/>
      <c r="B1278" s="303"/>
      <c r="C1278" s="303"/>
      <c r="D1278" s="304"/>
      <c r="E1278" s="304"/>
      <c r="F1278" s="304"/>
      <c r="G1278" s="267"/>
      <c r="H1278" s="267"/>
      <c r="I1278" s="267"/>
      <c r="J1278" s="267"/>
      <c r="K1278" s="264"/>
    </row>
    <row r="1279">
      <c r="A1279" s="264"/>
      <c r="B1279" s="303"/>
      <c r="C1279" s="303"/>
      <c r="D1279" s="304"/>
      <c r="E1279" s="304"/>
      <c r="F1279" s="304"/>
      <c r="G1279" s="267"/>
      <c r="H1279" s="267"/>
      <c r="I1279" s="267"/>
      <c r="J1279" s="267"/>
      <c r="K1279" s="264"/>
    </row>
    <row r="1280">
      <c r="A1280" s="264"/>
      <c r="B1280" s="303"/>
      <c r="C1280" s="303"/>
      <c r="D1280" s="304"/>
      <c r="E1280" s="304"/>
      <c r="F1280" s="304"/>
      <c r="G1280" s="267"/>
      <c r="H1280" s="267"/>
      <c r="I1280" s="267"/>
      <c r="J1280" s="267"/>
      <c r="K1280" s="264"/>
    </row>
    <row r="1281">
      <c r="A1281" s="264"/>
      <c r="B1281" s="303"/>
      <c r="C1281" s="303"/>
      <c r="D1281" s="304"/>
      <c r="E1281" s="304"/>
      <c r="F1281" s="304"/>
      <c r="G1281" s="267"/>
      <c r="H1281" s="267"/>
      <c r="I1281" s="267"/>
      <c r="J1281" s="267"/>
      <c r="K1281" s="264"/>
    </row>
    <row r="1282">
      <c r="A1282" s="264"/>
      <c r="B1282" s="303"/>
      <c r="C1282" s="303"/>
      <c r="D1282" s="304"/>
      <c r="E1282" s="304"/>
      <c r="F1282" s="304"/>
      <c r="G1282" s="267"/>
      <c r="H1282" s="267"/>
      <c r="I1282" s="267"/>
      <c r="J1282" s="267"/>
      <c r="K1282" s="264"/>
    </row>
    <row r="1283">
      <c r="A1283" s="264"/>
      <c r="B1283" s="303"/>
      <c r="C1283" s="303"/>
      <c r="D1283" s="304"/>
      <c r="E1283" s="304"/>
      <c r="F1283" s="304"/>
      <c r="G1283" s="267"/>
      <c r="H1283" s="267"/>
      <c r="I1283" s="267"/>
      <c r="J1283" s="267"/>
      <c r="K1283" s="264"/>
    </row>
    <row r="1284">
      <c r="A1284" s="264"/>
      <c r="B1284" s="303"/>
      <c r="C1284" s="303"/>
      <c r="D1284" s="304"/>
      <c r="E1284" s="304"/>
      <c r="F1284" s="304"/>
      <c r="G1284" s="267"/>
      <c r="H1284" s="267"/>
      <c r="I1284" s="267"/>
      <c r="J1284" s="267"/>
      <c r="K1284" s="264"/>
    </row>
    <row r="1285">
      <c r="A1285" s="264"/>
      <c r="B1285" s="303"/>
      <c r="C1285" s="303"/>
      <c r="D1285" s="304"/>
      <c r="E1285" s="304"/>
      <c r="F1285" s="304"/>
      <c r="G1285" s="267"/>
      <c r="H1285" s="267"/>
      <c r="I1285" s="267"/>
      <c r="J1285" s="267"/>
      <c r="K1285" s="264"/>
    </row>
    <row r="1286">
      <c r="A1286" s="264"/>
      <c r="B1286" s="303"/>
      <c r="C1286" s="303"/>
      <c r="D1286" s="304"/>
      <c r="E1286" s="304"/>
      <c r="F1286" s="304"/>
      <c r="G1286" s="267"/>
      <c r="H1286" s="267"/>
      <c r="I1286" s="267"/>
      <c r="J1286" s="267"/>
      <c r="K1286" s="264"/>
    </row>
    <row r="1287">
      <c r="A1287" s="264"/>
      <c r="B1287" s="303"/>
      <c r="C1287" s="303"/>
      <c r="D1287" s="304"/>
      <c r="E1287" s="304"/>
      <c r="F1287" s="304"/>
      <c r="G1287" s="267"/>
      <c r="H1287" s="267"/>
      <c r="I1287" s="267"/>
      <c r="J1287" s="267"/>
      <c r="K1287" s="264"/>
    </row>
    <row r="1288">
      <c r="A1288" s="264"/>
      <c r="B1288" s="303"/>
      <c r="C1288" s="303"/>
      <c r="D1288" s="304"/>
      <c r="E1288" s="304"/>
      <c r="F1288" s="304"/>
      <c r="G1288" s="267"/>
      <c r="H1288" s="267"/>
      <c r="I1288" s="267"/>
      <c r="J1288" s="267"/>
      <c r="K1288" s="264"/>
    </row>
    <row r="1289">
      <c r="A1289" s="264"/>
      <c r="B1289" s="303"/>
      <c r="C1289" s="303"/>
      <c r="D1289" s="304"/>
      <c r="E1289" s="304"/>
      <c r="F1289" s="304"/>
      <c r="G1289" s="267"/>
      <c r="H1289" s="267"/>
      <c r="I1289" s="267"/>
      <c r="J1289" s="267"/>
      <c r="K1289" s="264"/>
    </row>
    <row r="1290">
      <c r="A1290" s="264"/>
      <c r="B1290" s="303"/>
      <c r="C1290" s="303"/>
      <c r="D1290" s="304"/>
      <c r="E1290" s="304"/>
      <c r="F1290" s="304"/>
      <c r="G1290" s="267"/>
      <c r="H1290" s="267"/>
      <c r="I1290" s="267"/>
      <c r="J1290" s="267"/>
      <c r="K1290" s="264"/>
    </row>
    <row r="1291">
      <c r="A1291" s="264"/>
      <c r="B1291" s="303"/>
      <c r="C1291" s="303"/>
      <c r="D1291" s="304"/>
      <c r="E1291" s="304"/>
      <c r="F1291" s="304"/>
      <c r="G1291" s="267"/>
      <c r="H1291" s="267"/>
      <c r="I1291" s="267"/>
      <c r="J1291" s="267"/>
      <c r="K1291" s="264"/>
    </row>
    <row r="1292">
      <c r="A1292" s="264"/>
      <c r="B1292" s="303"/>
      <c r="C1292" s="303"/>
      <c r="D1292" s="304"/>
      <c r="E1292" s="304"/>
      <c r="F1292" s="304"/>
      <c r="G1292" s="267"/>
      <c r="H1292" s="267"/>
      <c r="I1292" s="267"/>
      <c r="J1292" s="267"/>
      <c r="K1292" s="264"/>
    </row>
    <row r="1293">
      <c r="A1293" s="264"/>
      <c r="B1293" s="303"/>
      <c r="C1293" s="303"/>
      <c r="D1293" s="304"/>
      <c r="E1293" s="304"/>
      <c r="F1293" s="304"/>
      <c r="G1293" s="267"/>
      <c r="H1293" s="267"/>
      <c r="I1293" s="267"/>
      <c r="J1293" s="267"/>
      <c r="K1293" s="264"/>
    </row>
    <row r="1294">
      <c r="A1294" s="264"/>
      <c r="B1294" s="303"/>
      <c r="C1294" s="303"/>
      <c r="D1294" s="304"/>
      <c r="E1294" s="304"/>
      <c r="F1294" s="304"/>
      <c r="G1294" s="267"/>
      <c r="H1294" s="267"/>
      <c r="I1294" s="267"/>
      <c r="J1294" s="267"/>
      <c r="K1294" s="264"/>
    </row>
    <row r="1295">
      <c r="A1295" s="264"/>
      <c r="B1295" s="303"/>
      <c r="C1295" s="303"/>
      <c r="D1295" s="304"/>
      <c r="E1295" s="304"/>
      <c r="F1295" s="304"/>
      <c r="G1295" s="267"/>
      <c r="H1295" s="267"/>
      <c r="I1295" s="267"/>
      <c r="J1295" s="267"/>
      <c r="K1295" s="264"/>
    </row>
    <row r="1296">
      <c r="A1296" s="264"/>
      <c r="B1296" s="303"/>
      <c r="C1296" s="303"/>
      <c r="D1296" s="304"/>
      <c r="E1296" s="304"/>
      <c r="F1296" s="304"/>
      <c r="G1296" s="267"/>
      <c r="H1296" s="267"/>
      <c r="I1296" s="267"/>
      <c r="J1296" s="267"/>
      <c r="K1296" s="264"/>
    </row>
    <row r="1297">
      <c r="A1297" s="264"/>
      <c r="B1297" s="303"/>
      <c r="C1297" s="303"/>
      <c r="D1297" s="304"/>
      <c r="E1297" s="304"/>
      <c r="F1297" s="304"/>
      <c r="G1297" s="267"/>
      <c r="H1297" s="267"/>
      <c r="I1297" s="267"/>
      <c r="J1297" s="267"/>
      <c r="K1297" s="264"/>
    </row>
    <row r="1298">
      <c r="A1298" s="264"/>
      <c r="B1298" s="303"/>
      <c r="C1298" s="303"/>
      <c r="D1298" s="304"/>
      <c r="E1298" s="304"/>
      <c r="F1298" s="304"/>
      <c r="G1298" s="267"/>
      <c r="H1298" s="267"/>
      <c r="I1298" s="267"/>
      <c r="J1298" s="267"/>
      <c r="K1298" s="264"/>
    </row>
    <row r="1299">
      <c r="A1299" s="264"/>
      <c r="B1299" s="303"/>
      <c r="C1299" s="303"/>
      <c r="D1299" s="304"/>
      <c r="E1299" s="304"/>
      <c r="F1299" s="304"/>
      <c r="G1299" s="267"/>
      <c r="H1299" s="267"/>
      <c r="I1299" s="267"/>
      <c r="J1299" s="267"/>
      <c r="K1299" s="264"/>
    </row>
    <row r="1300">
      <c r="A1300" s="264"/>
      <c r="B1300" s="303"/>
      <c r="C1300" s="303"/>
      <c r="D1300" s="304"/>
      <c r="E1300" s="304"/>
      <c r="F1300" s="304"/>
      <c r="G1300" s="267"/>
      <c r="H1300" s="267"/>
      <c r="I1300" s="267"/>
      <c r="J1300" s="267"/>
      <c r="K1300" s="264"/>
    </row>
    <row r="1301">
      <c r="A1301" s="264"/>
      <c r="B1301" s="303"/>
      <c r="C1301" s="303"/>
      <c r="D1301" s="304"/>
      <c r="E1301" s="304"/>
      <c r="F1301" s="304"/>
      <c r="G1301" s="267"/>
      <c r="H1301" s="267"/>
      <c r="I1301" s="267"/>
      <c r="J1301" s="267"/>
      <c r="K1301" s="264"/>
    </row>
    <row r="1302">
      <c r="A1302" s="264"/>
      <c r="B1302" s="303"/>
      <c r="C1302" s="303"/>
      <c r="D1302" s="304"/>
      <c r="E1302" s="304"/>
      <c r="F1302" s="304"/>
      <c r="G1302" s="267"/>
      <c r="H1302" s="267"/>
      <c r="I1302" s="267"/>
      <c r="J1302" s="267"/>
      <c r="K1302" s="264"/>
    </row>
    <row r="1303">
      <c r="A1303" s="264"/>
      <c r="B1303" s="303"/>
      <c r="C1303" s="303"/>
      <c r="D1303" s="304"/>
      <c r="E1303" s="304"/>
      <c r="F1303" s="304"/>
      <c r="G1303" s="267"/>
      <c r="H1303" s="267"/>
      <c r="I1303" s="267"/>
      <c r="J1303" s="267"/>
      <c r="K1303" s="264"/>
    </row>
    <row r="1304">
      <c r="A1304" s="264"/>
      <c r="B1304" s="303"/>
      <c r="C1304" s="303"/>
      <c r="D1304" s="304"/>
      <c r="E1304" s="304"/>
      <c r="F1304" s="304"/>
      <c r="G1304" s="267"/>
      <c r="H1304" s="267"/>
      <c r="I1304" s="267"/>
      <c r="J1304" s="267"/>
      <c r="K1304" s="264"/>
    </row>
    <row r="1305">
      <c r="A1305" s="264"/>
      <c r="B1305" s="303"/>
      <c r="C1305" s="303"/>
      <c r="D1305" s="304"/>
      <c r="E1305" s="304"/>
      <c r="F1305" s="304"/>
      <c r="G1305" s="267"/>
      <c r="H1305" s="267"/>
      <c r="I1305" s="267"/>
      <c r="J1305" s="267"/>
      <c r="K1305" s="264"/>
    </row>
    <row r="1306">
      <c r="A1306" s="264"/>
      <c r="B1306" s="303"/>
      <c r="C1306" s="303"/>
      <c r="D1306" s="304"/>
      <c r="E1306" s="304"/>
      <c r="F1306" s="304"/>
      <c r="G1306" s="267"/>
      <c r="H1306" s="267"/>
      <c r="I1306" s="267"/>
      <c r="J1306" s="267"/>
      <c r="K1306" s="264"/>
    </row>
    <row r="1307">
      <c r="A1307" s="264"/>
      <c r="B1307" s="303"/>
      <c r="C1307" s="303"/>
      <c r="D1307" s="304"/>
      <c r="E1307" s="304"/>
      <c r="F1307" s="304"/>
      <c r="G1307" s="267"/>
      <c r="H1307" s="267"/>
      <c r="I1307" s="267"/>
      <c r="J1307" s="267"/>
      <c r="K1307" s="264"/>
    </row>
    <row r="1308">
      <c r="A1308" s="264"/>
      <c r="B1308" s="303"/>
      <c r="C1308" s="303"/>
      <c r="D1308" s="304"/>
      <c r="E1308" s="304"/>
      <c r="F1308" s="304"/>
      <c r="G1308" s="267"/>
      <c r="H1308" s="267"/>
      <c r="I1308" s="267"/>
      <c r="J1308" s="267"/>
      <c r="K1308" s="264"/>
    </row>
    <row r="1309">
      <c r="A1309" s="264"/>
      <c r="B1309" s="303"/>
      <c r="C1309" s="303"/>
      <c r="D1309" s="304"/>
      <c r="E1309" s="304"/>
      <c r="F1309" s="304"/>
      <c r="G1309" s="267"/>
      <c r="H1309" s="267"/>
      <c r="I1309" s="267"/>
      <c r="J1309" s="267"/>
      <c r="K1309" s="264"/>
    </row>
    <row r="1310">
      <c r="A1310" s="264"/>
      <c r="B1310" s="303"/>
      <c r="C1310" s="303"/>
      <c r="D1310" s="304"/>
      <c r="E1310" s="304"/>
      <c r="F1310" s="304"/>
      <c r="G1310" s="267"/>
      <c r="H1310" s="267"/>
      <c r="I1310" s="267"/>
      <c r="J1310" s="267"/>
      <c r="K1310" s="264"/>
    </row>
    <row r="1311">
      <c r="A1311" s="264"/>
      <c r="B1311" s="303"/>
      <c r="C1311" s="303"/>
      <c r="D1311" s="304"/>
      <c r="E1311" s="304"/>
      <c r="F1311" s="304"/>
      <c r="G1311" s="267"/>
      <c r="H1311" s="267"/>
      <c r="I1311" s="267"/>
      <c r="J1311" s="267"/>
      <c r="K1311" s="264"/>
    </row>
    <row r="1312">
      <c r="A1312" s="264"/>
      <c r="B1312" s="303"/>
      <c r="C1312" s="303"/>
      <c r="D1312" s="304"/>
      <c r="E1312" s="304"/>
      <c r="F1312" s="304"/>
      <c r="G1312" s="267"/>
      <c r="H1312" s="267"/>
      <c r="I1312" s="267"/>
      <c r="J1312" s="267"/>
      <c r="K1312" s="264"/>
    </row>
    <row r="1313">
      <c r="A1313" s="264"/>
      <c r="B1313" s="303"/>
      <c r="C1313" s="303"/>
      <c r="D1313" s="304"/>
      <c r="E1313" s="304"/>
      <c r="F1313" s="304"/>
      <c r="G1313" s="267"/>
      <c r="H1313" s="267"/>
      <c r="I1313" s="267"/>
      <c r="J1313" s="267"/>
      <c r="K1313" s="264"/>
    </row>
    <row r="1314">
      <c r="A1314" s="264"/>
      <c r="B1314" s="303"/>
      <c r="C1314" s="303"/>
      <c r="D1314" s="304"/>
      <c r="E1314" s="304"/>
      <c r="F1314" s="304"/>
      <c r="G1314" s="267"/>
      <c r="H1314" s="267"/>
      <c r="I1314" s="267"/>
      <c r="J1314" s="267"/>
      <c r="K1314" s="264"/>
    </row>
    <row r="1315">
      <c r="A1315" s="264"/>
      <c r="B1315" s="303"/>
      <c r="C1315" s="303"/>
      <c r="D1315" s="304"/>
      <c r="E1315" s="304"/>
      <c r="F1315" s="304"/>
      <c r="G1315" s="267"/>
      <c r="H1315" s="267"/>
      <c r="I1315" s="267"/>
      <c r="J1315" s="267"/>
      <c r="K1315" s="264"/>
    </row>
    <row r="1316">
      <c r="A1316" s="264"/>
      <c r="B1316" s="303"/>
      <c r="C1316" s="303"/>
      <c r="D1316" s="304"/>
      <c r="E1316" s="304"/>
      <c r="F1316" s="304"/>
      <c r="G1316" s="267"/>
      <c r="H1316" s="267"/>
      <c r="I1316" s="267"/>
      <c r="J1316" s="267"/>
      <c r="K1316" s="264"/>
    </row>
    <row r="1317">
      <c r="A1317" s="264"/>
      <c r="B1317" s="303"/>
      <c r="C1317" s="303"/>
      <c r="D1317" s="304"/>
      <c r="E1317" s="304"/>
      <c r="F1317" s="304"/>
      <c r="G1317" s="267"/>
      <c r="H1317" s="267"/>
      <c r="I1317" s="267"/>
      <c r="J1317" s="267"/>
      <c r="K1317" s="264"/>
    </row>
    <row r="1318">
      <c r="A1318" s="264"/>
      <c r="B1318" s="303"/>
      <c r="C1318" s="303"/>
      <c r="D1318" s="304"/>
      <c r="E1318" s="304"/>
      <c r="F1318" s="304"/>
      <c r="G1318" s="267"/>
      <c r="H1318" s="267"/>
      <c r="I1318" s="267"/>
      <c r="J1318" s="267"/>
      <c r="K1318" s="264"/>
    </row>
    <row r="1319">
      <c r="A1319" s="264"/>
      <c r="B1319" s="303"/>
      <c r="C1319" s="303"/>
      <c r="D1319" s="304"/>
      <c r="E1319" s="304"/>
      <c r="F1319" s="304"/>
      <c r="G1319" s="267"/>
      <c r="H1319" s="267"/>
      <c r="I1319" s="267"/>
      <c r="J1319" s="267"/>
      <c r="K1319" s="264"/>
    </row>
    <row r="1320">
      <c r="A1320" s="264"/>
      <c r="B1320" s="303"/>
      <c r="C1320" s="303"/>
      <c r="D1320" s="304"/>
      <c r="E1320" s="304"/>
      <c r="F1320" s="304"/>
      <c r="G1320" s="267"/>
      <c r="H1320" s="267"/>
      <c r="I1320" s="267"/>
      <c r="J1320" s="267"/>
      <c r="K1320" s="264"/>
    </row>
    <row r="1321">
      <c r="A1321" s="264"/>
      <c r="B1321" s="303"/>
      <c r="C1321" s="303"/>
      <c r="D1321" s="304"/>
      <c r="E1321" s="304"/>
      <c r="F1321" s="304"/>
      <c r="G1321" s="267"/>
      <c r="H1321" s="267"/>
      <c r="I1321" s="267"/>
      <c r="J1321" s="267"/>
      <c r="K1321" s="264"/>
    </row>
    <row r="1322">
      <c r="A1322" s="264"/>
      <c r="B1322" s="303"/>
      <c r="C1322" s="303"/>
      <c r="D1322" s="304"/>
      <c r="E1322" s="304"/>
      <c r="F1322" s="304"/>
      <c r="G1322" s="267"/>
      <c r="H1322" s="267"/>
      <c r="I1322" s="267"/>
      <c r="J1322" s="267"/>
      <c r="K1322" s="264"/>
    </row>
    <row r="1323">
      <c r="A1323" s="264"/>
      <c r="B1323" s="303"/>
      <c r="C1323" s="303"/>
      <c r="D1323" s="304"/>
      <c r="E1323" s="304"/>
      <c r="F1323" s="304"/>
      <c r="G1323" s="267"/>
      <c r="H1323" s="267"/>
      <c r="I1323" s="267"/>
      <c r="J1323" s="267"/>
      <c r="K1323" s="264"/>
    </row>
    <row r="1324">
      <c r="A1324" s="264"/>
      <c r="B1324" s="303"/>
      <c r="C1324" s="303"/>
      <c r="D1324" s="304"/>
      <c r="E1324" s="304"/>
      <c r="F1324" s="304"/>
      <c r="G1324" s="267"/>
      <c r="H1324" s="267"/>
      <c r="I1324" s="267"/>
      <c r="J1324" s="267"/>
      <c r="K1324" s="264"/>
    </row>
    <row r="1325">
      <c r="A1325" s="264"/>
      <c r="B1325" s="303"/>
      <c r="C1325" s="303"/>
      <c r="D1325" s="304"/>
      <c r="E1325" s="304"/>
      <c r="F1325" s="304"/>
      <c r="G1325" s="267"/>
      <c r="H1325" s="267"/>
      <c r="I1325" s="267"/>
      <c r="J1325" s="267"/>
      <c r="K1325" s="264"/>
    </row>
    <row r="1326">
      <c r="A1326" s="264"/>
      <c r="B1326" s="303"/>
      <c r="C1326" s="303"/>
      <c r="D1326" s="304"/>
      <c r="E1326" s="304"/>
      <c r="F1326" s="304"/>
      <c r="G1326" s="267"/>
      <c r="H1326" s="267"/>
      <c r="I1326" s="267"/>
      <c r="J1326" s="267"/>
      <c r="K1326" s="264"/>
    </row>
    <row r="1327">
      <c r="A1327" s="264"/>
      <c r="B1327" s="303"/>
      <c r="C1327" s="303"/>
      <c r="D1327" s="304"/>
      <c r="E1327" s="304"/>
      <c r="F1327" s="304"/>
      <c r="G1327" s="267"/>
      <c r="H1327" s="267"/>
      <c r="I1327" s="267"/>
      <c r="J1327" s="267"/>
      <c r="K1327" s="264"/>
    </row>
    <row r="1328">
      <c r="A1328" s="264"/>
      <c r="B1328" s="303"/>
      <c r="C1328" s="303"/>
      <c r="D1328" s="304"/>
      <c r="E1328" s="304"/>
      <c r="F1328" s="304"/>
      <c r="G1328" s="267"/>
      <c r="H1328" s="267"/>
      <c r="I1328" s="267"/>
      <c r="J1328" s="267"/>
      <c r="K1328" s="264"/>
    </row>
    <row r="1329">
      <c r="A1329" s="264"/>
      <c r="B1329" s="303"/>
      <c r="C1329" s="303"/>
      <c r="D1329" s="304"/>
      <c r="E1329" s="304"/>
      <c r="F1329" s="304"/>
      <c r="G1329" s="267"/>
      <c r="H1329" s="267"/>
      <c r="I1329" s="267"/>
      <c r="J1329" s="267"/>
      <c r="K1329" s="264"/>
    </row>
    <row r="1330">
      <c r="A1330" s="264"/>
      <c r="B1330" s="303"/>
      <c r="C1330" s="303"/>
      <c r="D1330" s="304"/>
      <c r="E1330" s="304"/>
      <c r="F1330" s="304"/>
      <c r="G1330" s="267"/>
      <c r="H1330" s="267"/>
      <c r="I1330" s="267"/>
      <c r="J1330" s="267"/>
      <c r="K1330" s="264"/>
    </row>
    <row r="1331">
      <c r="A1331" s="264"/>
      <c r="B1331" s="303"/>
      <c r="C1331" s="303"/>
      <c r="D1331" s="304"/>
      <c r="E1331" s="304"/>
      <c r="F1331" s="304"/>
      <c r="G1331" s="267"/>
      <c r="H1331" s="267"/>
      <c r="I1331" s="267"/>
      <c r="J1331" s="267"/>
      <c r="K1331" s="264"/>
    </row>
    <row r="1332">
      <c r="A1332" s="264"/>
      <c r="B1332" s="303"/>
      <c r="C1332" s="303"/>
      <c r="D1332" s="304"/>
      <c r="E1332" s="304"/>
      <c r="F1332" s="304"/>
      <c r="G1332" s="267"/>
      <c r="H1332" s="267"/>
      <c r="I1332" s="267"/>
      <c r="J1332" s="267"/>
      <c r="K1332" s="264"/>
    </row>
    <row r="1333">
      <c r="A1333" s="264"/>
      <c r="B1333" s="303"/>
      <c r="C1333" s="303"/>
      <c r="D1333" s="304"/>
      <c r="E1333" s="304"/>
      <c r="F1333" s="304"/>
      <c r="G1333" s="267"/>
      <c r="H1333" s="267"/>
      <c r="I1333" s="267"/>
      <c r="J1333" s="267"/>
      <c r="K1333" s="264"/>
    </row>
    <row r="1334">
      <c r="A1334" s="264"/>
      <c r="B1334" s="303"/>
      <c r="C1334" s="303"/>
      <c r="D1334" s="304"/>
      <c r="E1334" s="304"/>
      <c r="F1334" s="304"/>
      <c r="G1334" s="267"/>
      <c r="H1334" s="267"/>
      <c r="I1334" s="267"/>
      <c r="J1334" s="267"/>
      <c r="K1334" s="264"/>
    </row>
    <row r="1335">
      <c r="A1335" s="264"/>
      <c r="B1335" s="303"/>
      <c r="C1335" s="303"/>
      <c r="D1335" s="304"/>
      <c r="E1335" s="304"/>
      <c r="F1335" s="304"/>
      <c r="G1335" s="267"/>
      <c r="H1335" s="267"/>
      <c r="I1335" s="267"/>
      <c r="J1335" s="267"/>
      <c r="K1335" s="264"/>
    </row>
    <row r="1336">
      <c r="A1336" s="264"/>
      <c r="B1336" s="303"/>
      <c r="C1336" s="303"/>
      <c r="D1336" s="304"/>
      <c r="E1336" s="304"/>
      <c r="F1336" s="304"/>
      <c r="G1336" s="267"/>
      <c r="H1336" s="267"/>
      <c r="I1336" s="267"/>
      <c r="J1336" s="267"/>
      <c r="K1336" s="264"/>
    </row>
    <row r="1337">
      <c r="A1337" s="264"/>
      <c r="B1337" s="303"/>
      <c r="C1337" s="303"/>
      <c r="D1337" s="304"/>
      <c r="E1337" s="304"/>
      <c r="F1337" s="304"/>
      <c r="G1337" s="267"/>
      <c r="H1337" s="267"/>
      <c r="I1337" s="267"/>
      <c r="J1337" s="267"/>
      <c r="K1337" s="264"/>
    </row>
    <row r="1338">
      <c r="A1338" s="264"/>
      <c r="B1338" s="303"/>
      <c r="C1338" s="303"/>
      <c r="D1338" s="304"/>
      <c r="E1338" s="304"/>
      <c r="F1338" s="304"/>
      <c r="G1338" s="267"/>
      <c r="H1338" s="267"/>
      <c r="I1338" s="267"/>
      <c r="J1338" s="267"/>
      <c r="K1338" s="264"/>
    </row>
    <row r="1339">
      <c r="A1339" s="264"/>
      <c r="B1339" s="303"/>
      <c r="C1339" s="303"/>
      <c r="D1339" s="304"/>
      <c r="E1339" s="304"/>
      <c r="F1339" s="304"/>
      <c r="G1339" s="267"/>
      <c r="H1339" s="267"/>
      <c r="I1339" s="267"/>
      <c r="J1339" s="267"/>
      <c r="K1339" s="264"/>
    </row>
    <row r="1340">
      <c r="A1340" s="264"/>
      <c r="B1340" s="303"/>
      <c r="C1340" s="303"/>
      <c r="D1340" s="304"/>
      <c r="E1340" s="304"/>
      <c r="F1340" s="304"/>
      <c r="G1340" s="267"/>
      <c r="H1340" s="267"/>
      <c r="I1340" s="267"/>
      <c r="J1340" s="267"/>
      <c r="K1340" s="264"/>
    </row>
    <row r="1341">
      <c r="A1341" s="264"/>
      <c r="B1341" s="303"/>
      <c r="C1341" s="303"/>
      <c r="D1341" s="304"/>
      <c r="E1341" s="304"/>
      <c r="F1341" s="304"/>
      <c r="G1341" s="267"/>
      <c r="H1341" s="267"/>
      <c r="I1341" s="267"/>
      <c r="J1341" s="267"/>
      <c r="K1341" s="264"/>
    </row>
    <row r="1342">
      <c r="A1342" s="264"/>
      <c r="B1342" s="303"/>
      <c r="C1342" s="303"/>
      <c r="D1342" s="304"/>
      <c r="E1342" s="304"/>
      <c r="F1342" s="304"/>
      <c r="G1342" s="267"/>
      <c r="H1342" s="267"/>
      <c r="I1342" s="267"/>
      <c r="J1342" s="267"/>
      <c r="K1342" s="264"/>
    </row>
    <row r="1343">
      <c r="A1343" s="264"/>
      <c r="B1343" s="303"/>
      <c r="C1343" s="303"/>
      <c r="D1343" s="304"/>
      <c r="E1343" s="304"/>
      <c r="F1343" s="304"/>
      <c r="G1343" s="267"/>
      <c r="H1343" s="267"/>
      <c r="I1343" s="267"/>
      <c r="J1343" s="267"/>
      <c r="K1343" s="264"/>
    </row>
    <row r="1344">
      <c r="A1344" s="264"/>
      <c r="B1344" s="303"/>
      <c r="C1344" s="303"/>
      <c r="D1344" s="304"/>
      <c r="E1344" s="304"/>
      <c r="F1344" s="304"/>
      <c r="G1344" s="267"/>
      <c r="H1344" s="267"/>
      <c r="I1344" s="267"/>
      <c r="J1344" s="267"/>
      <c r="K1344" s="264"/>
    </row>
    <row r="1345">
      <c r="A1345" s="264"/>
      <c r="B1345" s="303"/>
      <c r="C1345" s="303"/>
      <c r="D1345" s="304"/>
      <c r="E1345" s="304"/>
      <c r="F1345" s="304"/>
      <c r="G1345" s="267"/>
      <c r="H1345" s="267"/>
      <c r="I1345" s="267"/>
      <c r="J1345" s="267"/>
      <c r="K1345" s="264"/>
    </row>
    <row r="1346">
      <c r="A1346" s="264"/>
      <c r="B1346" s="303"/>
      <c r="C1346" s="303"/>
      <c r="D1346" s="304"/>
      <c r="E1346" s="304"/>
      <c r="F1346" s="304"/>
      <c r="G1346" s="267"/>
      <c r="H1346" s="267"/>
      <c r="I1346" s="267"/>
      <c r="J1346" s="267"/>
      <c r="K1346" s="264"/>
    </row>
    <row r="1347">
      <c r="A1347" s="264"/>
      <c r="B1347" s="303"/>
      <c r="C1347" s="303"/>
      <c r="D1347" s="304"/>
      <c r="E1347" s="304"/>
      <c r="F1347" s="304"/>
      <c r="G1347" s="267"/>
      <c r="H1347" s="267"/>
      <c r="I1347" s="267"/>
      <c r="J1347" s="267"/>
      <c r="K1347" s="264"/>
    </row>
    <row r="1348">
      <c r="A1348" s="264"/>
      <c r="B1348" s="303"/>
      <c r="C1348" s="303"/>
      <c r="D1348" s="304"/>
      <c r="E1348" s="304"/>
      <c r="F1348" s="304"/>
      <c r="G1348" s="267"/>
      <c r="H1348" s="267"/>
      <c r="I1348" s="267"/>
      <c r="J1348" s="267"/>
      <c r="K1348" s="264"/>
    </row>
    <row r="1349">
      <c r="A1349" s="264"/>
      <c r="B1349" s="303"/>
      <c r="C1349" s="303"/>
      <c r="D1349" s="304"/>
      <c r="E1349" s="304"/>
      <c r="F1349" s="304"/>
      <c r="G1349" s="267"/>
      <c r="H1349" s="267"/>
      <c r="I1349" s="267"/>
      <c r="J1349" s="267"/>
      <c r="K1349" s="264"/>
    </row>
    <row r="1350">
      <c r="A1350" s="264"/>
      <c r="B1350" s="303"/>
      <c r="C1350" s="303"/>
      <c r="D1350" s="304"/>
      <c r="E1350" s="304"/>
      <c r="F1350" s="304"/>
      <c r="G1350" s="267"/>
      <c r="H1350" s="267"/>
      <c r="I1350" s="267"/>
      <c r="J1350" s="267"/>
      <c r="K1350" s="264"/>
    </row>
    <row r="1351">
      <c r="A1351" s="264"/>
      <c r="B1351" s="303"/>
      <c r="C1351" s="303"/>
      <c r="D1351" s="304"/>
      <c r="E1351" s="304"/>
      <c r="F1351" s="304"/>
      <c r="G1351" s="267"/>
      <c r="H1351" s="267"/>
      <c r="I1351" s="267"/>
      <c r="J1351" s="267"/>
      <c r="K1351" s="264"/>
    </row>
    <row r="1352">
      <c r="A1352" s="264"/>
      <c r="B1352" s="303"/>
      <c r="C1352" s="303"/>
      <c r="D1352" s="304"/>
      <c r="E1352" s="304"/>
      <c r="F1352" s="304"/>
      <c r="G1352" s="267"/>
      <c r="H1352" s="267"/>
      <c r="I1352" s="267"/>
      <c r="J1352" s="267"/>
      <c r="K1352" s="264"/>
    </row>
    <row r="1353">
      <c r="A1353" s="264"/>
      <c r="B1353" s="303"/>
      <c r="C1353" s="303"/>
      <c r="D1353" s="304"/>
      <c r="E1353" s="304"/>
      <c r="F1353" s="304"/>
      <c r="G1353" s="267"/>
      <c r="H1353" s="267"/>
      <c r="I1353" s="267"/>
      <c r="J1353" s="267"/>
      <c r="K1353" s="264"/>
    </row>
    <row r="1354">
      <c r="A1354" s="264"/>
      <c r="B1354" s="303"/>
      <c r="C1354" s="303"/>
      <c r="D1354" s="304"/>
      <c r="E1354" s="304"/>
      <c r="F1354" s="304"/>
      <c r="G1354" s="267"/>
      <c r="H1354" s="267"/>
      <c r="I1354" s="267"/>
      <c r="J1354" s="267"/>
      <c r="K1354" s="264"/>
    </row>
    <row r="1355">
      <c r="A1355" s="264"/>
      <c r="B1355" s="303"/>
      <c r="C1355" s="303"/>
      <c r="D1355" s="304"/>
      <c r="E1355" s="304"/>
      <c r="F1355" s="304"/>
      <c r="G1355" s="267"/>
      <c r="H1355" s="267"/>
      <c r="I1355" s="267"/>
      <c r="J1355" s="267"/>
      <c r="K1355" s="264"/>
    </row>
    <row r="1356">
      <c r="A1356" s="264"/>
      <c r="B1356" s="303"/>
      <c r="C1356" s="303"/>
      <c r="D1356" s="304"/>
      <c r="E1356" s="304"/>
      <c r="F1356" s="304"/>
      <c r="G1356" s="267"/>
      <c r="H1356" s="267"/>
      <c r="I1356" s="267"/>
      <c r="J1356" s="267"/>
      <c r="K1356" s="264"/>
    </row>
    <row r="1357">
      <c r="A1357" s="264"/>
      <c r="B1357" s="303"/>
      <c r="C1357" s="303"/>
      <c r="D1357" s="304"/>
      <c r="E1357" s="304"/>
      <c r="F1357" s="304"/>
      <c r="G1357" s="267"/>
      <c r="H1357" s="267"/>
      <c r="I1357" s="267"/>
      <c r="J1357" s="267"/>
      <c r="K1357" s="264"/>
    </row>
    <row r="1358">
      <c r="A1358" s="264"/>
      <c r="B1358" s="303"/>
      <c r="C1358" s="303"/>
      <c r="D1358" s="304"/>
      <c r="E1358" s="304"/>
      <c r="F1358" s="304"/>
      <c r="G1358" s="267"/>
      <c r="H1358" s="267"/>
      <c r="I1358" s="267"/>
      <c r="J1358" s="267"/>
      <c r="K1358" s="264"/>
    </row>
    <row r="1359">
      <c r="A1359" s="264"/>
      <c r="B1359" s="303"/>
      <c r="C1359" s="303"/>
      <c r="D1359" s="304"/>
      <c r="E1359" s="304"/>
      <c r="F1359" s="304"/>
      <c r="G1359" s="267"/>
      <c r="H1359" s="267"/>
      <c r="I1359" s="267"/>
      <c r="J1359" s="267"/>
      <c r="K1359" s="264"/>
    </row>
    <row r="1360">
      <c r="A1360" s="264"/>
      <c r="B1360" s="303"/>
      <c r="C1360" s="303"/>
      <c r="D1360" s="304"/>
      <c r="E1360" s="304"/>
      <c r="F1360" s="304"/>
      <c r="G1360" s="267"/>
      <c r="H1360" s="267"/>
      <c r="I1360" s="267"/>
      <c r="J1360" s="267"/>
      <c r="K1360" s="264"/>
    </row>
    <row r="1361">
      <c r="A1361" s="264"/>
      <c r="B1361" s="303"/>
      <c r="C1361" s="303"/>
      <c r="D1361" s="304"/>
      <c r="E1361" s="304"/>
      <c r="F1361" s="304"/>
      <c r="G1361" s="267"/>
      <c r="H1361" s="267"/>
      <c r="I1361" s="267"/>
      <c r="J1361" s="267"/>
      <c r="K1361" s="264"/>
    </row>
    <row r="1362">
      <c r="A1362" s="264"/>
      <c r="B1362" s="303"/>
      <c r="C1362" s="303"/>
      <c r="D1362" s="304"/>
      <c r="E1362" s="304"/>
      <c r="F1362" s="304"/>
      <c r="G1362" s="267"/>
      <c r="H1362" s="267"/>
      <c r="I1362" s="267"/>
      <c r="J1362" s="267"/>
      <c r="K1362" s="264"/>
    </row>
    <row r="1363">
      <c r="A1363" s="264"/>
      <c r="B1363" s="303"/>
      <c r="C1363" s="303"/>
      <c r="D1363" s="304"/>
      <c r="E1363" s="304"/>
      <c r="F1363" s="304"/>
      <c r="G1363" s="267"/>
      <c r="H1363" s="267"/>
      <c r="I1363" s="267"/>
      <c r="J1363" s="267"/>
      <c r="K1363" s="264"/>
    </row>
    <row r="1364">
      <c r="A1364" s="264"/>
      <c r="B1364" s="303"/>
      <c r="C1364" s="303"/>
      <c r="D1364" s="304"/>
      <c r="E1364" s="304"/>
      <c r="F1364" s="304"/>
      <c r="G1364" s="267"/>
      <c r="H1364" s="267"/>
      <c r="I1364" s="267"/>
      <c r="J1364" s="267"/>
      <c r="K1364" s="264"/>
    </row>
    <row r="1365">
      <c r="A1365" s="264"/>
      <c r="B1365" s="303"/>
      <c r="C1365" s="303"/>
      <c r="D1365" s="304"/>
      <c r="E1365" s="304"/>
      <c r="F1365" s="304"/>
      <c r="G1365" s="267"/>
      <c r="H1365" s="267"/>
      <c r="I1365" s="267"/>
      <c r="J1365" s="267"/>
      <c r="K1365" s="264"/>
    </row>
    <row r="1366">
      <c r="A1366" s="264"/>
      <c r="B1366" s="303"/>
      <c r="C1366" s="303"/>
      <c r="D1366" s="304"/>
      <c r="E1366" s="304"/>
      <c r="F1366" s="304"/>
      <c r="G1366" s="267"/>
      <c r="H1366" s="267"/>
      <c r="I1366" s="267"/>
      <c r="J1366" s="267"/>
      <c r="K1366" s="264"/>
    </row>
    <row r="1367">
      <c r="A1367" s="264"/>
      <c r="B1367" s="303"/>
      <c r="C1367" s="303"/>
      <c r="D1367" s="304"/>
      <c r="E1367" s="304"/>
      <c r="F1367" s="304"/>
      <c r="G1367" s="267"/>
      <c r="H1367" s="267"/>
      <c r="I1367" s="267"/>
      <c r="J1367" s="267"/>
      <c r="K1367" s="264"/>
    </row>
    <row r="1368">
      <c r="A1368" s="264"/>
      <c r="B1368" s="303"/>
      <c r="C1368" s="303"/>
      <c r="D1368" s="304"/>
      <c r="E1368" s="304"/>
      <c r="F1368" s="304"/>
      <c r="G1368" s="267"/>
      <c r="H1368" s="267"/>
      <c r="I1368" s="267"/>
      <c r="J1368" s="267"/>
      <c r="K1368" s="264"/>
    </row>
    <row r="1369">
      <c r="A1369" s="264"/>
      <c r="B1369" s="303"/>
      <c r="C1369" s="303"/>
      <c r="D1369" s="304"/>
      <c r="E1369" s="304"/>
      <c r="F1369" s="304"/>
      <c r="G1369" s="267"/>
      <c r="H1369" s="267"/>
      <c r="I1369" s="267"/>
      <c r="J1369" s="267"/>
      <c r="K1369" s="264"/>
    </row>
    <row r="1370">
      <c r="A1370" s="264"/>
      <c r="B1370" s="303"/>
      <c r="C1370" s="303"/>
      <c r="D1370" s="304"/>
      <c r="E1370" s="304"/>
      <c r="F1370" s="304"/>
      <c r="G1370" s="267"/>
      <c r="H1370" s="267"/>
      <c r="I1370" s="267"/>
      <c r="J1370" s="267"/>
      <c r="K1370" s="264"/>
    </row>
    <row r="1371">
      <c r="A1371" s="264"/>
      <c r="B1371" s="303"/>
      <c r="C1371" s="303"/>
      <c r="D1371" s="304"/>
      <c r="E1371" s="304"/>
      <c r="F1371" s="304"/>
      <c r="G1371" s="267"/>
      <c r="H1371" s="267"/>
      <c r="I1371" s="267"/>
      <c r="J1371" s="267"/>
      <c r="K1371" s="264"/>
    </row>
    <row r="1372">
      <c r="A1372" s="264"/>
      <c r="B1372" s="303"/>
      <c r="C1372" s="303"/>
      <c r="D1372" s="304"/>
      <c r="E1372" s="304"/>
      <c r="F1372" s="304"/>
      <c r="G1372" s="267"/>
      <c r="H1372" s="267"/>
      <c r="I1372" s="267"/>
      <c r="J1372" s="267"/>
      <c r="K1372" s="264"/>
    </row>
    <row r="1373">
      <c r="A1373" s="264"/>
      <c r="B1373" s="303"/>
      <c r="C1373" s="303"/>
      <c r="D1373" s="304"/>
      <c r="E1373" s="304"/>
      <c r="F1373" s="304"/>
      <c r="G1373" s="267"/>
      <c r="H1373" s="267"/>
      <c r="I1373" s="267"/>
      <c r="J1373" s="267"/>
      <c r="K1373" s="264"/>
    </row>
    <row r="1374">
      <c r="A1374" s="264"/>
      <c r="B1374" s="303"/>
      <c r="C1374" s="303"/>
      <c r="D1374" s="304"/>
      <c r="E1374" s="304"/>
      <c r="F1374" s="304"/>
      <c r="G1374" s="267"/>
      <c r="H1374" s="267"/>
      <c r="I1374" s="267"/>
      <c r="J1374" s="267"/>
      <c r="K1374" s="264"/>
    </row>
    <row r="1375">
      <c r="A1375" s="264"/>
      <c r="B1375" s="303"/>
      <c r="C1375" s="303"/>
      <c r="D1375" s="304"/>
      <c r="E1375" s="304"/>
      <c r="F1375" s="304"/>
      <c r="G1375" s="267"/>
      <c r="H1375" s="267"/>
      <c r="I1375" s="267"/>
      <c r="J1375" s="267"/>
      <c r="K1375" s="264"/>
    </row>
    <row r="1376">
      <c r="A1376" s="264"/>
      <c r="B1376" s="303"/>
      <c r="C1376" s="303"/>
      <c r="D1376" s="304"/>
      <c r="E1376" s="304"/>
      <c r="F1376" s="304"/>
      <c r="G1376" s="267"/>
      <c r="H1376" s="267"/>
      <c r="I1376" s="267"/>
      <c r="J1376" s="267"/>
      <c r="K1376" s="264"/>
    </row>
    <row r="1377">
      <c r="A1377" s="264"/>
      <c r="B1377" s="303"/>
      <c r="C1377" s="303"/>
      <c r="D1377" s="304"/>
      <c r="E1377" s="304"/>
      <c r="F1377" s="304"/>
      <c r="G1377" s="267"/>
      <c r="H1377" s="267"/>
      <c r="I1377" s="267"/>
      <c r="J1377" s="267"/>
      <c r="K1377" s="264"/>
    </row>
    <row r="1378">
      <c r="A1378" s="264"/>
      <c r="B1378" s="303"/>
      <c r="C1378" s="303"/>
      <c r="D1378" s="304"/>
      <c r="E1378" s="304"/>
      <c r="F1378" s="304"/>
      <c r="G1378" s="267"/>
      <c r="H1378" s="267"/>
      <c r="I1378" s="267"/>
      <c r="J1378" s="267"/>
      <c r="K1378" s="264"/>
    </row>
    <row r="1379">
      <c r="A1379" s="264"/>
      <c r="B1379" s="303"/>
      <c r="C1379" s="303"/>
      <c r="D1379" s="304"/>
      <c r="E1379" s="304"/>
      <c r="F1379" s="304"/>
      <c r="G1379" s="267"/>
      <c r="H1379" s="267"/>
      <c r="I1379" s="267"/>
      <c r="J1379" s="267"/>
      <c r="K1379" s="264"/>
    </row>
    <row r="1380">
      <c r="A1380" s="264"/>
      <c r="B1380" s="303"/>
      <c r="C1380" s="303"/>
      <c r="D1380" s="304"/>
      <c r="E1380" s="304"/>
      <c r="F1380" s="304"/>
      <c r="G1380" s="267"/>
      <c r="H1380" s="267"/>
      <c r="I1380" s="267"/>
      <c r="J1380" s="267"/>
      <c r="K1380" s="264"/>
    </row>
    <row r="1381">
      <c r="A1381" s="264"/>
      <c r="B1381" s="303"/>
      <c r="C1381" s="303"/>
      <c r="D1381" s="304"/>
      <c r="E1381" s="304"/>
      <c r="F1381" s="304"/>
      <c r="G1381" s="267"/>
      <c r="H1381" s="267"/>
      <c r="I1381" s="267"/>
      <c r="J1381" s="267"/>
      <c r="K1381" s="264"/>
    </row>
    <row r="1382">
      <c r="A1382" s="264"/>
      <c r="B1382" s="303"/>
      <c r="C1382" s="303"/>
      <c r="D1382" s="304"/>
      <c r="E1382" s="304"/>
      <c r="F1382" s="304"/>
      <c r="G1382" s="267"/>
      <c r="H1382" s="267"/>
      <c r="I1382" s="267"/>
      <c r="J1382" s="267"/>
      <c r="K1382" s="264"/>
    </row>
    <row r="1383">
      <c r="A1383" s="264"/>
      <c r="B1383" s="303"/>
      <c r="C1383" s="303"/>
      <c r="D1383" s="304"/>
      <c r="E1383" s="304"/>
      <c r="F1383" s="304"/>
      <c r="G1383" s="267"/>
      <c r="H1383" s="267"/>
      <c r="I1383" s="267"/>
      <c r="J1383" s="267"/>
      <c r="K1383" s="264"/>
    </row>
    <row r="1384">
      <c r="A1384" s="264"/>
      <c r="B1384" s="303"/>
      <c r="C1384" s="303"/>
      <c r="D1384" s="304"/>
      <c r="E1384" s="304"/>
      <c r="F1384" s="304"/>
      <c r="G1384" s="267"/>
      <c r="H1384" s="267"/>
      <c r="I1384" s="267"/>
      <c r="J1384" s="267"/>
      <c r="K1384" s="264"/>
    </row>
    <row r="1385">
      <c r="A1385" s="264"/>
      <c r="B1385" s="303"/>
      <c r="C1385" s="303"/>
      <c r="D1385" s="304"/>
      <c r="E1385" s="304"/>
      <c r="F1385" s="304"/>
      <c r="G1385" s="267"/>
      <c r="H1385" s="267"/>
      <c r="I1385" s="267"/>
      <c r="J1385" s="267"/>
      <c r="K1385" s="264"/>
    </row>
    <row r="1386">
      <c r="A1386" s="264"/>
      <c r="B1386" s="303"/>
      <c r="C1386" s="303"/>
      <c r="D1386" s="304"/>
      <c r="E1386" s="304"/>
      <c r="F1386" s="304"/>
      <c r="G1386" s="267"/>
      <c r="H1386" s="267"/>
      <c r="I1386" s="267"/>
      <c r="J1386" s="267"/>
      <c r="K1386" s="264"/>
    </row>
    <row r="1387">
      <c r="A1387" s="264"/>
      <c r="B1387" s="303"/>
      <c r="C1387" s="303"/>
      <c r="D1387" s="304"/>
      <c r="E1387" s="304"/>
      <c r="F1387" s="304"/>
      <c r="G1387" s="267"/>
      <c r="H1387" s="267"/>
      <c r="I1387" s="267"/>
      <c r="J1387" s="267"/>
      <c r="K1387" s="264"/>
    </row>
    <row r="1388">
      <c r="A1388" s="264"/>
      <c r="B1388" s="303"/>
      <c r="C1388" s="303"/>
      <c r="D1388" s="304"/>
      <c r="E1388" s="304"/>
      <c r="F1388" s="304"/>
      <c r="G1388" s="267"/>
      <c r="H1388" s="267"/>
      <c r="I1388" s="267"/>
      <c r="J1388" s="267"/>
      <c r="K1388" s="264"/>
    </row>
    <row r="1389">
      <c r="A1389" s="264"/>
      <c r="B1389" s="303"/>
      <c r="C1389" s="303"/>
      <c r="D1389" s="304"/>
      <c r="E1389" s="304"/>
      <c r="F1389" s="304"/>
      <c r="G1389" s="267"/>
      <c r="H1389" s="267"/>
      <c r="I1389" s="267"/>
      <c r="J1389" s="267"/>
      <c r="K1389" s="264"/>
    </row>
    <row r="1390">
      <c r="A1390" s="264"/>
      <c r="B1390" s="303"/>
      <c r="C1390" s="303"/>
      <c r="D1390" s="304"/>
      <c r="E1390" s="304"/>
      <c r="F1390" s="304"/>
      <c r="G1390" s="267"/>
      <c r="H1390" s="267"/>
      <c r="I1390" s="267"/>
      <c r="J1390" s="267"/>
      <c r="K1390" s="264"/>
    </row>
    <row r="1391">
      <c r="A1391" s="264"/>
      <c r="B1391" s="303"/>
      <c r="C1391" s="303"/>
      <c r="D1391" s="304"/>
      <c r="E1391" s="304"/>
      <c r="F1391" s="304"/>
      <c r="G1391" s="267"/>
      <c r="H1391" s="267"/>
      <c r="I1391" s="267"/>
      <c r="J1391" s="267"/>
      <c r="K1391" s="264"/>
    </row>
    <row r="1392">
      <c r="A1392" s="264"/>
      <c r="B1392" s="303"/>
      <c r="C1392" s="303"/>
      <c r="D1392" s="304"/>
      <c r="E1392" s="304"/>
      <c r="F1392" s="304"/>
      <c r="G1392" s="267"/>
      <c r="H1392" s="267"/>
      <c r="I1392" s="267"/>
      <c r="J1392" s="267"/>
      <c r="K1392" s="264"/>
    </row>
    <row r="1393">
      <c r="A1393" s="264"/>
      <c r="B1393" s="303"/>
      <c r="C1393" s="303"/>
      <c r="D1393" s="304"/>
      <c r="E1393" s="304"/>
      <c r="F1393" s="304"/>
      <c r="G1393" s="267"/>
      <c r="H1393" s="267"/>
      <c r="I1393" s="267"/>
      <c r="J1393" s="267"/>
      <c r="K1393" s="264"/>
    </row>
    <row r="1394">
      <c r="A1394" s="264"/>
      <c r="B1394" s="303"/>
      <c r="C1394" s="303"/>
      <c r="D1394" s="304"/>
      <c r="E1394" s="304"/>
      <c r="F1394" s="304"/>
      <c r="G1394" s="267"/>
      <c r="H1394" s="267"/>
      <c r="I1394" s="267"/>
      <c r="J1394" s="267"/>
      <c r="K1394" s="264"/>
    </row>
    <row r="1395">
      <c r="A1395" s="264"/>
      <c r="B1395" s="303"/>
      <c r="C1395" s="303"/>
      <c r="D1395" s="304"/>
      <c r="E1395" s="304"/>
      <c r="F1395" s="304"/>
      <c r="G1395" s="267"/>
      <c r="H1395" s="267"/>
      <c r="I1395" s="267"/>
      <c r="J1395" s="267"/>
      <c r="K1395" s="264"/>
    </row>
    <row r="1396">
      <c r="A1396" s="264"/>
      <c r="B1396" s="303"/>
      <c r="C1396" s="303"/>
      <c r="D1396" s="304"/>
      <c r="E1396" s="304"/>
      <c r="F1396" s="304"/>
      <c r="G1396" s="267"/>
      <c r="H1396" s="267"/>
      <c r="I1396" s="267"/>
      <c r="J1396" s="267"/>
      <c r="K1396" s="264"/>
    </row>
    <row r="1397">
      <c r="A1397" s="264"/>
      <c r="B1397" s="303"/>
      <c r="C1397" s="303"/>
      <c r="D1397" s="304"/>
      <c r="E1397" s="304"/>
      <c r="F1397" s="304"/>
      <c r="G1397" s="267"/>
      <c r="H1397" s="267"/>
      <c r="I1397" s="267"/>
      <c r="J1397" s="267"/>
      <c r="K1397" s="264"/>
    </row>
    <row r="1398">
      <c r="A1398" s="264"/>
      <c r="B1398" s="303"/>
      <c r="C1398" s="303"/>
      <c r="D1398" s="304"/>
      <c r="E1398" s="304"/>
      <c r="F1398" s="304"/>
      <c r="G1398" s="267"/>
      <c r="H1398" s="267"/>
      <c r="I1398" s="267"/>
      <c r="J1398" s="267"/>
      <c r="K1398" s="264"/>
    </row>
    <row r="1399">
      <c r="A1399" s="264"/>
      <c r="B1399" s="303"/>
      <c r="C1399" s="303"/>
      <c r="D1399" s="304"/>
      <c r="E1399" s="304"/>
      <c r="F1399" s="304"/>
      <c r="G1399" s="267"/>
      <c r="H1399" s="267"/>
      <c r="I1399" s="267"/>
      <c r="J1399" s="267"/>
      <c r="K1399" s="264"/>
    </row>
    <row r="1400">
      <c r="A1400" s="264"/>
      <c r="B1400" s="303"/>
      <c r="C1400" s="303"/>
      <c r="D1400" s="304"/>
      <c r="E1400" s="304"/>
      <c r="F1400" s="304"/>
      <c r="G1400" s="267"/>
      <c r="H1400" s="267"/>
      <c r="I1400" s="267"/>
      <c r="J1400" s="267"/>
      <c r="K1400" s="264"/>
    </row>
    <row r="1401">
      <c r="A1401" s="264"/>
      <c r="B1401" s="303"/>
      <c r="C1401" s="303"/>
      <c r="D1401" s="304"/>
      <c r="E1401" s="304"/>
      <c r="F1401" s="304"/>
      <c r="G1401" s="267"/>
      <c r="H1401" s="267"/>
      <c r="I1401" s="267"/>
      <c r="J1401" s="267"/>
      <c r="K1401" s="264"/>
    </row>
    <row r="1402">
      <c r="A1402" s="264"/>
      <c r="B1402" s="303"/>
      <c r="C1402" s="303"/>
      <c r="D1402" s="304"/>
      <c r="E1402" s="304"/>
      <c r="F1402" s="304"/>
      <c r="G1402" s="267"/>
      <c r="H1402" s="267"/>
      <c r="I1402" s="267"/>
      <c r="J1402" s="267"/>
      <c r="K1402" s="264"/>
    </row>
    <row r="1403">
      <c r="A1403" s="264"/>
      <c r="B1403" s="303"/>
      <c r="C1403" s="303"/>
      <c r="D1403" s="304"/>
      <c r="E1403" s="304"/>
      <c r="F1403" s="304"/>
      <c r="G1403" s="267"/>
      <c r="H1403" s="267"/>
      <c r="I1403" s="267"/>
      <c r="J1403" s="267"/>
      <c r="K1403" s="264"/>
    </row>
    <row r="1404">
      <c r="A1404" s="264"/>
      <c r="B1404" s="303"/>
      <c r="C1404" s="303"/>
      <c r="D1404" s="304"/>
      <c r="E1404" s="304"/>
      <c r="F1404" s="304"/>
      <c r="G1404" s="267"/>
      <c r="H1404" s="267"/>
      <c r="I1404" s="267"/>
      <c r="J1404" s="267"/>
      <c r="K1404" s="264"/>
    </row>
    <row r="1405">
      <c r="A1405" s="264"/>
      <c r="B1405" s="303"/>
      <c r="C1405" s="303"/>
      <c r="D1405" s="304"/>
      <c r="E1405" s="304"/>
      <c r="F1405" s="304"/>
      <c r="G1405" s="267"/>
      <c r="H1405" s="267"/>
      <c r="I1405" s="267"/>
      <c r="J1405" s="267"/>
      <c r="K1405" s="264"/>
    </row>
    <row r="1406">
      <c r="A1406" s="264"/>
      <c r="B1406" s="303"/>
      <c r="C1406" s="303"/>
      <c r="D1406" s="304"/>
      <c r="E1406" s="304"/>
      <c r="F1406" s="304"/>
      <c r="G1406" s="267"/>
      <c r="H1406" s="267"/>
      <c r="I1406" s="267"/>
      <c r="J1406" s="267"/>
      <c r="K1406" s="264"/>
    </row>
    <row r="1407">
      <c r="A1407" s="264"/>
      <c r="B1407" s="303"/>
      <c r="C1407" s="303"/>
      <c r="D1407" s="304"/>
      <c r="E1407" s="304"/>
      <c r="F1407" s="304"/>
      <c r="G1407" s="267"/>
      <c r="H1407" s="267"/>
      <c r="I1407" s="267"/>
      <c r="J1407" s="267"/>
      <c r="K1407" s="264"/>
    </row>
    <row r="1408">
      <c r="A1408" s="264"/>
      <c r="B1408" s="303"/>
      <c r="C1408" s="303"/>
      <c r="D1408" s="304"/>
      <c r="E1408" s="304"/>
      <c r="F1408" s="304"/>
      <c r="G1408" s="267"/>
      <c r="H1408" s="267"/>
      <c r="I1408" s="267"/>
      <c r="J1408" s="267"/>
      <c r="K1408" s="264"/>
    </row>
    <row r="1409">
      <c r="A1409" s="264"/>
      <c r="B1409" s="303"/>
      <c r="C1409" s="303"/>
      <c r="D1409" s="304"/>
      <c r="E1409" s="304"/>
      <c r="F1409" s="304"/>
      <c r="G1409" s="267"/>
      <c r="H1409" s="267"/>
      <c r="I1409" s="267"/>
      <c r="J1409" s="267"/>
      <c r="K1409" s="264"/>
    </row>
    <row r="1410">
      <c r="A1410" s="264"/>
      <c r="B1410" s="303"/>
      <c r="C1410" s="303"/>
      <c r="D1410" s="304"/>
      <c r="E1410" s="304"/>
      <c r="F1410" s="304"/>
      <c r="G1410" s="267"/>
      <c r="H1410" s="267"/>
      <c r="I1410" s="267"/>
      <c r="J1410" s="267"/>
      <c r="K1410" s="264"/>
    </row>
    <row r="1411">
      <c r="A1411" s="264"/>
      <c r="B1411" s="303"/>
      <c r="C1411" s="303"/>
      <c r="D1411" s="304"/>
      <c r="E1411" s="304"/>
      <c r="F1411" s="304"/>
      <c r="G1411" s="267"/>
      <c r="H1411" s="267"/>
      <c r="I1411" s="267"/>
      <c r="J1411" s="267"/>
      <c r="K1411" s="264"/>
    </row>
    <row r="1412">
      <c r="A1412" s="264"/>
      <c r="B1412" s="303"/>
      <c r="C1412" s="303"/>
      <c r="D1412" s="304"/>
      <c r="E1412" s="304"/>
      <c r="F1412" s="304"/>
      <c r="G1412" s="267"/>
      <c r="H1412" s="267"/>
      <c r="I1412" s="267"/>
      <c r="J1412" s="267"/>
      <c r="K1412" s="264"/>
    </row>
    <row r="1413">
      <c r="A1413" s="264"/>
      <c r="B1413" s="303"/>
      <c r="C1413" s="303"/>
      <c r="D1413" s="304"/>
      <c r="E1413" s="304"/>
      <c r="F1413" s="304"/>
      <c r="G1413" s="267"/>
      <c r="H1413" s="267"/>
      <c r="I1413" s="267"/>
      <c r="J1413" s="267"/>
      <c r="K1413" s="264"/>
    </row>
    <row r="1414">
      <c r="A1414" s="264"/>
      <c r="B1414" s="303"/>
      <c r="C1414" s="303"/>
      <c r="D1414" s="304"/>
      <c r="E1414" s="304"/>
      <c r="F1414" s="304"/>
      <c r="G1414" s="267"/>
      <c r="H1414" s="267"/>
      <c r="I1414" s="267"/>
      <c r="J1414" s="267"/>
      <c r="K1414" s="264"/>
    </row>
    <row r="1415">
      <c r="A1415" s="264"/>
      <c r="B1415" s="303"/>
      <c r="C1415" s="303"/>
      <c r="D1415" s="304"/>
      <c r="E1415" s="304"/>
      <c r="F1415" s="304"/>
      <c r="G1415" s="267"/>
      <c r="H1415" s="267"/>
      <c r="I1415" s="267"/>
      <c r="J1415" s="267"/>
      <c r="K1415" s="264"/>
    </row>
    <row r="1416">
      <c r="A1416" s="264"/>
      <c r="B1416" s="303"/>
      <c r="C1416" s="303"/>
      <c r="D1416" s="304"/>
      <c r="E1416" s="304"/>
      <c r="F1416" s="304"/>
      <c r="G1416" s="267"/>
      <c r="H1416" s="267"/>
      <c r="I1416" s="267"/>
      <c r="J1416" s="267"/>
      <c r="K1416" s="264"/>
    </row>
    <row r="1417">
      <c r="A1417" s="264"/>
      <c r="B1417" s="303"/>
      <c r="C1417" s="303"/>
      <c r="D1417" s="304"/>
      <c r="E1417" s="304"/>
      <c r="F1417" s="304"/>
      <c r="G1417" s="267"/>
      <c r="H1417" s="267"/>
      <c r="I1417" s="267"/>
      <c r="J1417" s="267"/>
      <c r="K1417" s="264"/>
    </row>
    <row r="1418">
      <c r="A1418" s="264"/>
      <c r="B1418" s="303"/>
      <c r="C1418" s="303"/>
      <c r="D1418" s="304"/>
      <c r="E1418" s="304"/>
      <c r="F1418" s="304"/>
      <c r="G1418" s="267"/>
      <c r="H1418" s="267"/>
      <c r="I1418" s="267"/>
      <c r="J1418" s="267"/>
      <c r="K1418" s="264"/>
    </row>
    <row r="1419">
      <c r="A1419" s="264"/>
      <c r="B1419" s="303"/>
      <c r="C1419" s="303"/>
      <c r="D1419" s="304"/>
      <c r="E1419" s="304"/>
      <c r="F1419" s="304"/>
      <c r="G1419" s="267"/>
      <c r="H1419" s="267"/>
      <c r="I1419" s="267"/>
      <c r="J1419" s="267"/>
      <c r="K1419" s="264"/>
    </row>
    <row r="1420">
      <c r="A1420" s="264"/>
      <c r="B1420" s="303"/>
      <c r="C1420" s="303"/>
      <c r="D1420" s="304"/>
      <c r="E1420" s="304"/>
      <c r="F1420" s="304"/>
      <c r="G1420" s="267"/>
      <c r="H1420" s="267"/>
      <c r="I1420" s="267"/>
      <c r="J1420" s="267"/>
      <c r="K1420" s="264"/>
    </row>
    <row r="1421">
      <c r="A1421" s="264"/>
      <c r="B1421" s="303"/>
      <c r="C1421" s="303"/>
      <c r="D1421" s="304"/>
      <c r="E1421" s="304"/>
      <c r="F1421" s="304"/>
      <c r="G1421" s="267"/>
      <c r="H1421" s="267"/>
      <c r="I1421" s="267"/>
      <c r="J1421" s="267"/>
      <c r="K1421" s="264"/>
    </row>
    <row r="1422">
      <c r="A1422" s="264"/>
      <c r="B1422" s="303"/>
      <c r="C1422" s="303"/>
      <c r="D1422" s="304"/>
      <c r="E1422" s="304"/>
      <c r="F1422" s="304"/>
      <c r="G1422" s="267"/>
      <c r="H1422" s="267"/>
      <c r="I1422" s="267"/>
      <c r="J1422" s="267"/>
      <c r="K1422" s="264"/>
    </row>
    <row r="1423">
      <c r="A1423" s="264"/>
      <c r="B1423" s="303"/>
      <c r="C1423" s="303"/>
      <c r="D1423" s="304"/>
      <c r="E1423" s="304"/>
      <c r="F1423" s="304"/>
      <c r="G1423" s="267"/>
      <c r="H1423" s="267"/>
      <c r="I1423" s="267"/>
      <c r="J1423" s="267"/>
      <c r="K1423" s="264"/>
    </row>
    <row r="1424">
      <c r="A1424" s="264"/>
      <c r="B1424" s="303"/>
      <c r="C1424" s="303"/>
      <c r="D1424" s="304"/>
      <c r="E1424" s="304"/>
      <c r="F1424" s="304"/>
      <c r="G1424" s="267"/>
      <c r="H1424" s="267"/>
      <c r="I1424" s="267"/>
      <c r="J1424" s="267"/>
      <c r="K1424" s="264"/>
    </row>
    <row r="1425">
      <c r="A1425" s="264"/>
      <c r="B1425" s="303"/>
      <c r="C1425" s="303"/>
      <c r="D1425" s="304"/>
      <c r="E1425" s="304"/>
      <c r="F1425" s="304"/>
      <c r="G1425" s="267"/>
      <c r="H1425" s="267"/>
      <c r="I1425" s="267"/>
      <c r="J1425" s="267"/>
      <c r="K1425" s="264"/>
    </row>
    <row r="1426">
      <c r="A1426" s="264"/>
      <c r="B1426" s="303"/>
      <c r="C1426" s="303"/>
      <c r="D1426" s="304"/>
      <c r="E1426" s="304"/>
      <c r="F1426" s="304"/>
      <c r="G1426" s="267"/>
      <c r="H1426" s="267"/>
      <c r="I1426" s="267"/>
      <c r="J1426" s="267"/>
      <c r="K1426" s="264"/>
    </row>
    <row r="1427">
      <c r="A1427" s="264"/>
      <c r="B1427" s="303"/>
      <c r="C1427" s="303"/>
      <c r="D1427" s="304"/>
      <c r="E1427" s="304"/>
      <c r="F1427" s="304"/>
      <c r="G1427" s="267"/>
      <c r="H1427" s="267"/>
      <c r="I1427" s="267"/>
      <c r="J1427" s="267"/>
      <c r="K1427" s="264"/>
    </row>
    <row r="1428">
      <c r="A1428" s="264"/>
      <c r="B1428" s="303"/>
      <c r="C1428" s="303"/>
      <c r="D1428" s="304"/>
      <c r="E1428" s="304"/>
      <c r="F1428" s="304"/>
      <c r="G1428" s="267"/>
      <c r="H1428" s="267"/>
      <c r="I1428" s="267"/>
      <c r="J1428" s="267"/>
      <c r="K1428" s="264"/>
    </row>
    <row r="1429">
      <c r="A1429" s="264"/>
      <c r="B1429" s="303"/>
      <c r="C1429" s="303"/>
      <c r="D1429" s="304"/>
      <c r="E1429" s="304"/>
      <c r="F1429" s="304"/>
      <c r="G1429" s="267"/>
      <c r="H1429" s="267"/>
      <c r="I1429" s="267"/>
      <c r="J1429" s="267"/>
      <c r="K1429" s="264"/>
    </row>
    <row r="1430">
      <c r="A1430" s="264"/>
      <c r="B1430" s="303"/>
      <c r="C1430" s="303"/>
      <c r="D1430" s="304"/>
      <c r="E1430" s="304"/>
      <c r="F1430" s="304"/>
      <c r="G1430" s="267"/>
      <c r="H1430" s="267"/>
      <c r="I1430" s="267"/>
      <c r="J1430" s="267"/>
      <c r="K1430" s="264"/>
    </row>
    <row r="1431">
      <c r="A1431" s="264"/>
      <c r="B1431" s="303"/>
      <c r="C1431" s="303"/>
      <c r="D1431" s="304"/>
      <c r="E1431" s="304"/>
      <c r="F1431" s="304"/>
      <c r="G1431" s="267"/>
      <c r="H1431" s="267"/>
      <c r="I1431" s="267"/>
      <c r="J1431" s="267"/>
      <c r="K1431" s="264"/>
    </row>
    <row r="1432">
      <c r="A1432" s="264"/>
      <c r="B1432" s="303"/>
      <c r="C1432" s="303"/>
      <c r="D1432" s="304"/>
      <c r="E1432" s="304"/>
      <c r="F1432" s="304"/>
      <c r="G1432" s="267"/>
      <c r="H1432" s="267"/>
      <c r="I1432" s="267"/>
      <c r="J1432" s="267"/>
      <c r="K1432" s="264"/>
    </row>
    <row r="1433">
      <c r="A1433" s="264"/>
      <c r="B1433" s="303"/>
      <c r="C1433" s="303"/>
      <c r="D1433" s="304"/>
      <c r="E1433" s="304"/>
      <c r="F1433" s="304"/>
      <c r="G1433" s="267"/>
      <c r="H1433" s="267"/>
      <c r="I1433" s="267"/>
      <c r="J1433" s="267"/>
      <c r="K1433" s="264"/>
    </row>
    <row r="1434">
      <c r="A1434" s="264"/>
      <c r="B1434" s="303"/>
      <c r="C1434" s="303"/>
      <c r="D1434" s="304"/>
      <c r="E1434" s="304"/>
      <c r="F1434" s="304"/>
      <c r="G1434" s="267"/>
      <c r="H1434" s="267"/>
      <c r="I1434" s="267"/>
      <c r="J1434" s="267"/>
      <c r="K1434" s="264"/>
    </row>
    <row r="1435">
      <c r="A1435" s="264"/>
      <c r="B1435" s="303"/>
      <c r="C1435" s="303"/>
      <c r="D1435" s="304"/>
      <c r="E1435" s="304"/>
      <c r="F1435" s="304"/>
      <c r="G1435" s="267"/>
      <c r="H1435" s="267"/>
      <c r="I1435" s="267"/>
      <c r="J1435" s="267"/>
      <c r="K1435" s="264"/>
    </row>
    <row r="1436">
      <c r="A1436" s="264"/>
      <c r="B1436" s="303"/>
      <c r="C1436" s="303"/>
      <c r="D1436" s="304"/>
      <c r="E1436" s="304"/>
      <c r="F1436" s="304"/>
      <c r="G1436" s="267"/>
      <c r="H1436" s="267"/>
      <c r="I1436" s="267"/>
      <c r="J1436" s="267"/>
      <c r="K1436" s="264"/>
    </row>
    <row r="1437">
      <c r="A1437" s="264"/>
      <c r="B1437" s="303"/>
      <c r="C1437" s="303"/>
      <c r="D1437" s="304"/>
      <c r="E1437" s="304"/>
      <c r="F1437" s="304"/>
      <c r="G1437" s="267"/>
      <c r="H1437" s="267"/>
      <c r="I1437" s="267"/>
      <c r="J1437" s="267"/>
      <c r="K1437" s="264"/>
    </row>
    <row r="1438">
      <c r="A1438" s="264"/>
      <c r="B1438" s="303"/>
      <c r="C1438" s="303"/>
      <c r="D1438" s="304"/>
      <c r="E1438" s="304"/>
      <c r="F1438" s="304"/>
      <c r="G1438" s="267"/>
      <c r="H1438" s="267"/>
      <c r="I1438" s="267"/>
      <c r="J1438" s="267"/>
      <c r="K1438" s="264"/>
    </row>
    <row r="1439">
      <c r="A1439" s="264"/>
      <c r="B1439" s="303"/>
      <c r="C1439" s="303"/>
      <c r="D1439" s="304"/>
      <c r="E1439" s="304"/>
      <c r="F1439" s="304"/>
      <c r="G1439" s="267"/>
      <c r="H1439" s="267"/>
      <c r="I1439" s="267"/>
      <c r="J1439" s="267"/>
      <c r="K1439" s="264"/>
    </row>
    <row r="1440">
      <c r="A1440" s="264"/>
      <c r="B1440" s="303"/>
      <c r="C1440" s="303"/>
      <c r="D1440" s="304"/>
      <c r="E1440" s="304"/>
      <c r="F1440" s="304"/>
      <c r="G1440" s="267"/>
      <c r="H1440" s="267"/>
      <c r="I1440" s="267"/>
      <c r="J1440" s="267"/>
      <c r="K1440" s="264"/>
    </row>
    <row r="1441">
      <c r="A1441" s="264"/>
      <c r="B1441" s="303"/>
      <c r="C1441" s="303"/>
      <c r="D1441" s="304"/>
      <c r="E1441" s="304"/>
      <c r="F1441" s="304"/>
      <c r="G1441" s="267"/>
      <c r="H1441" s="267"/>
      <c r="I1441" s="267"/>
      <c r="J1441" s="267"/>
      <c r="K1441" s="264"/>
    </row>
    <row r="1442">
      <c r="A1442" s="264"/>
      <c r="B1442" s="303"/>
      <c r="C1442" s="303"/>
      <c r="D1442" s="304"/>
      <c r="E1442" s="304"/>
      <c r="F1442" s="304"/>
      <c r="G1442" s="267"/>
      <c r="H1442" s="267"/>
      <c r="I1442" s="267"/>
      <c r="J1442" s="267"/>
      <c r="K1442" s="264"/>
    </row>
    <row r="1443">
      <c r="A1443" s="264"/>
      <c r="B1443" s="303"/>
      <c r="C1443" s="303"/>
      <c r="D1443" s="304"/>
      <c r="E1443" s="304"/>
      <c r="F1443" s="304"/>
      <c r="G1443" s="267"/>
      <c r="H1443" s="267"/>
      <c r="I1443" s="267"/>
      <c r="J1443" s="267"/>
      <c r="K1443" s="264"/>
    </row>
    <row r="1444">
      <c r="A1444" s="264"/>
      <c r="B1444" s="303"/>
      <c r="C1444" s="303"/>
      <c r="D1444" s="304"/>
      <c r="E1444" s="304"/>
      <c r="F1444" s="304"/>
      <c r="G1444" s="267"/>
      <c r="H1444" s="267"/>
      <c r="I1444" s="267"/>
      <c r="J1444" s="267"/>
      <c r="K1444" s="264"/>
    </row>
    <row r="1445">
      <c r="A1445" s="264"/>
      <c r="B1445" s="303"/>
      <c r="C1445" s="303"/>
      <c r="D1445" s="304"/>
      <c r="E1445" s="304"/>
      <c r="F1445" s="304"/>
      <c r="G1445" s="267"/>
      <c r="H1445" s="267"/>
      <c r="I1445" s="267"/>
      <c r="J1445" s="267"/>
      <c r="K1445" s="264"/>
    </row>
    <row r="1446">
      <c r="A1446" s="264"/>
      <c r="B1446" s="303"/>
      <c r="C1446" s="303"/>
      <c r="D1446" s="304"/>
      <c r="E1446" s="304"/>
      <c r="F1446" s="304"/>
      <c r="G1446" s="267"/>
      <c r="H1446" s="267"/>
      <c r="I1446" s="267"/>
      <c r="J1446" s="267"/>
      <c r="K1446" s="264"/>
    </row>
    <row r="1447">
      <c r="A1447" s="264"/>
      <c r="B1447" s="303"/>
      <c r="C1447" s="303"/>
      <c r="D1447" s="304"/>
      <c r="E1447" s="304"/>
      <c r="F1447" s="304"/>
      <c r="G1447" s="267"/>
      <c r="H1447" s="267"/>
      <c r="I1447" s="267"/>
      <c r="J1447" s="267"/>
      <c r="K1447" s="264"/>
    </row>
    <row r="1448">
      <c r="A1448" s="264"/>
      <c r="B1448" s="303"/>
      <c r="C1448" s="303"/>
      <c r="D1448" s="304"/>
      <c r="E1448" s="304"/>
      <c r="F1448" s="304"/>
      <c r="G1448" s="267"/>
      <c r="H1448" s="267"/>
      <c r="I1448" s="267"/>
      <c r="J1448" s="267"/>
      <c r="K1448" s="264"/>
    </row>
    <row r="1449">
      <c r="A1449" s="264"/>
      <c r="B1449" s="303"/>
      <c r="C1449" s="303"/>
      <c r="D1449" s="304"/>
      <c r="E1449" s="304"/>
      <c r="F1449" s="304"/>
      <c r="G1449" s="267"/>
      <c r="H1449" s="267"/>
      <c r="I1449" s="267"/>
      <c r="J1449" s="267"/>
      <c r="K1449" s="264"/>
    </row>
    <row r="1450">
      <c r="A1450" s="264"/>
      <c r="B1450" s="303"/>
      <c r="C1450" s="303"/>
      <c r="D1450" s="304"/>
      <c r="E1450" s="304"/>
      <c r="F1450" s="304"/>
      <c r="G1450" s="267"/>
      <c r="H1450" s="267"/>
      <c r="I1450" s="267"/>
      <c r="J1450" s="267"/>
      <c r="K1450" s="264"/>
    </row>
    <row r="1451">
      <c r="A1451" s="264"/>
      <c r="B1451" s="303"/>
      <c r="C1451" s="303"/>
      <c r="D1451" s="304"/>
      <c r="E1451" s="304"/>
      <c r="F1451" s="304"/>
      <c r="G1451" s="267"/>
      <c r="H1451" s="267"/>
      <c r="I1451" s="267"/>
      <c r="J1451" s="267"/>
      <c r="K1451" s="264"/>
    </row>
    <row r="1452">
      <c r="A1452" s="264"/>
      <c r="B1452" s="303"/>
      <c r="C1452" s="303"/>
      <c r="D1452" s="304"/>
      <c r="E1452" s="304"/>
      <c r="F1452" s="304"/>
      <c r="G1452" s="267"/>
      <c r="H1452" s="267"/>
      <c r="I1452" s="267"/>
      <c r="J1452" s="267"/>
      <c r="K1452" s="264"/>
    </row>
    <row r="1453">
      <c r="A1453" s="264"/>
      <c r="B1453" s="303"/>
      <c r="C1453" s="303"/>
      <c r="D1453" s="304"/>
      <c r="E1453" s="304"/>
      <c r="F1453" s="304"/>
      <c r="G1453" s="267"/>
      <c r="H1453" s="267"/>
      <c r="I1453" s="267"/>
      <c r="J1453" s="267"/>
      <c r="K1453" s="264"/>
    </row>
    <row r="1454">
      <c r="A1454" s="264"/>
      <c r="B1454" s="303"/>
      <c r="C1454" s="303"/>
      <c r="D1454" s="304"/>
      <c r="E1454" s="304"/>
      <c r="F1454" s="304"/>
      <c r="G1454" s="267"/>
      <c r="H1454" s="267"/>
      <c r="I1454" s="267"/>
      <c r="J1454" s="267"/>
      <c r="K1454" s="264"/>
    </row>
    <row r="1455">
      <c r="A1455" s="264"/>
      <c r="B1455" s="303"/>
      <c r="C1455" s="303"/>
      <c r="D1455" s="304"/>
      <c r="E1455" s="304"/>
      <c r="F1455" s="304"/>
      <c r="G1455" s="267"/>
      <c r="H1455" s="267"/>
      <c r="I1455" s="267"/>
      <c r="J1455" s="267"/>
      <c r="K1455" s="264"/>
    </row>
    <row r="1456">
      <c r="A1456" s="264"/>
      <c r="B1456" s="303"/>
      <c r="C1456" s="303"/>
      <c r="D1456" s="304"/>
      <c r="E1456" s="304"/>
      <c r="F1456" s="304"/>
      <c r="G1456" s="267"/>
      <c r="H1456" s="267"/>
      <c r="I1456" s="267"/>
      <c r="J1456" s="267"/>
      <c r="K1456" s="264"/>
    </row>
    <row r="1457">
      <c r="A1457" s="264"/>
      <c r="B1457" s="303"/>
      <c r="C1457" s="303"/>
      <c r="D1457" s="304"/>
      <c r="E1457" s="304"/>
      <c r="F1457" s="304"/>
      <c r="G1457" s="267"/>
      <c r="H1457" s="267"/>
      <c r="I1457" s="267"/>
      <c r="J1457" s="267"/>
      <c r="K1457" s="264"/>
    </row>
    <row r="1458">
      <c r="A1458" s="264"/>
      <c r="B1458" s="303"/>
      <c r="C1458" s="303"/>
      <c r="D1458" s="304"/>
      <c r="E1458" s="304"/>
      <c r="F1458" s="304"/>
      <c r="G1458" s="267"/>
      <c r="H1458" s="267"/>
      <c r="I1458" s="267"/>
      <c r="J1458" s="267"/>
      <c r="K1458" s="264"/>
    </row>
    <row r="1459">
      <c r="A1459" s="264"/>
      <c r="B1459" s="303"/>
      <c r="C1459" s="303"/>
      <c r="D1459" s="304"/>
      <c r="E1459" s="304"/>
      <c r="F1459" s="304"/>
      <c r="G1459" s="267"/>
      <c r="H1459" s="267"/>
      <c r="I1459" s="267"/>
      <c r="J1459" s="267"/>
      <c r="K1459" s="264"/>
    </row>
    <row r="1460">
      <c r="A1460" s="264"/>
      <c r="B1460" s="303"/>
      <c r="C1460" s="303"/>
      <c r="D1460" s="304"/>
      <c r="E1460" s="304"/>
      <c r="F1460" s="304"/>
      <c r="G1460" s="267"/>
      <c r="H1460" s="267"/>
      <c r="I1460" s="267"/>
      <c r="J1460" s="267"/>
      <c r="K1460" s="264"/>
    </row>
    <row r="1461">
      <c r="A1461" s="264"/>
      <c r="B1461" s="303"/>
      <c r="C1461" s="303"/>
      <c r="D1461" s="304"/>
      <c r="E1461" s="304"/>
      <c r="F1461" s="304"/>
      <c r="G1461" s="267"/>
      <c r="H1461" s="267"/>
      <c r="I1461" s="267"/>
      <c r="J1461" s="267"/>
      <c r="K1461" s="264"/>
    </row>
    <row r="1462">
      <c r="A1462" s="264"/>
      <c r="B1462" s="303"/>
      <c r="C1462" s="303"/>
      <c r="D1462" s="304"/>
      <c r="E1462" s="304"/>
      <c r="F1462" s="304"/>
      <c r="G1462" s="267"/>
      <c r="H1462" s="267"/>
      <c r="I1462" s="267"/>
      <c r="J1462" s="267"/>
      <c r="K1462" s="264"/>
    </row>
    <row r="1463">
      <c r="A1463" s="264"/>
      <c r="B1463" s="303"/>
      <c r="C1463" s="303"/>
      <c r="D1463" s="304"/>
      <c r="E1463" s="304"/>
      <c r="F1463" s="304"/>
      <c r="G1463" s="267"/>
      <c r="H1463" s="267"/>
      <c r="I1463" s="267"/>
      <c r="J1463" s="267"/>
      <c r="K1463" s="264"/>
    </row>
    <row r="1464">
      <c r="A1464" s="264"/>
      <c r="B1464" s="303"/>
      <c r="C1464" s="303"/>
      <c r="D1464" s="304"/>
      <c r="E1464" s="304"/>
      <c r="F1464" s="304"/>
      <c r="G1464" s="267"/>
      <c r="H1464" s="267"/>
      <c r="I1464" s="267"/>
      <c r="J1464" s="267"/>
      <c r="K1464" s="264"/>
    </row>
    <row r="1465">
      <c r="A1465" s="264"/>
      <c r="B1465" s="303"/>
      <c r="C1465" s="303"/>
      <c r="D1465" s="304"/>
      <c r="E1465" s="304"/>
      <c r="F1465" s="304"/>
      <c r="G1465" s="267"/>
      <c r="H1465" s="267"/>
      <c r="I1465" s="267"/>
      <c r="J1465" s="267"/>
      <c r="K1465" s="264"/>
    </row>
    <row r="1466">
      <c r="A1466" s="264"/>
      <c r="B1466" s="303"/>
      <c r="C1466" s="303"/>
      <c r="D1466" s="304"/>
      <c r="E1466" s="304"/>
      <c r="F1466" s="304"/>
      <c r="G1466" s="267"/>
      <c r="H1466" s="267"/>
      <c r="I1466" s="267"/>
      <c r="J1466" s="267"/>
      <c r="K1466" s="264"/>
    </row>
    <row r="1467">
      <c r="A1467" s="264"/>
      <c r="B1467" s="303"/>
      <c r="C1467" s="303"/>
      <c r="D1467" s="304"/>
      <c r="E1467" s="304"/>
      <c r="F1467" s="304"/>
      <c r="G1467" s="267"/>
      <c r="H1467" s="267"/>
      <c r="I1467" s="267"/>
      <c r="J1467" s="267"/>
      <c r="K1467" s="264"/>
    </row>
    <row r="1468">
      <c r="A1468" s="264"/>
      <c r="B1468" s="303"/>
      <c r="C1468" s="303"/>
      <c r="D1468" s="304"/>
      <c r="E1468" s="304"/>
      <c r="F1468" s="304"/>
      <c r="G1468" s="267"/>
      <c r="H1468" s="267"/>
      <c r="I1468" s="267"/>
      <c r="J1468" s="267"/>
      <c r="K1468" s="264"/>
    </row>
    <row r="1469">
      <c r="A1469" s="264"/>
      <c r="B1469" s="303"/>
      <c r="C1469" s="303"/>
      <c r="D1469" s="304"/>
      <c r="E1469" s="304"/>
      <c r="F1469" s="304"/>
      <c r="G1469" s="267"/>
      <c r="H1469" s="267"/>
      <c r="I1469" s="267"/>
      <c r="J1469" s="267"/>
      <c r="K1469" s="264"/>
    </row>
    <row r="1470">
      <c r="A1470" s="264"/>
      <c r="B1470" s="303"/>
      <c r="C1470" s="303"/>
      <c r="D1470" s="304"/>
      <c r="E1470" s="304"/>
      <c r="F1470" s="304"/>
      <c r="G1470" s="267"/>
      <c r="H1470" s="267"/>
      <c r="I1470" s="267"/>
      <c r="J1470" s="267"/>
      <c r="K1470" s="264"/>
    </row>
    <row r="1471">
      <c r="A1471" s="264"/>
      <c r="B1471" s="303"/>
      <c r="C1471" s="303"/>
      <c r="D1471" s="304"/>
      <c r="E1471" s="304"/>
      <c r="F1471" s="304"/>
      <c r="G1471" s="267"/>
      <c r="H1471" s="267"/>
      <c r="I1471" s="267"/>
      <c r="J1471" s="267"/>
      <c r="K1471" s="264"/>
    </row>
    <row r="1472">
      <c r="A1472" s="264"/>
      <c r="B1472" s="303"/>
      <c r="C1472" s="303"/>
      <c r="D1472" s="304"/>
      <c r="E1472" s="304"/>
      <c r="F1472" s="304"/>
      <c r="G1472" s="267"/>
      <c r="H1472" s="267"/>
      <c r="I1472" s="267"/>
      <c r="J1472" s="267"/>
      <c r="K1472" s="264"/>
    </row>
    <row r="1473">
      <c r="A1473" s="264"/>
      <c r="B1473" s="303"/>
      <c r="C1473" s="303"/>
      <c r="D1473" s="304"/>
      <c r="E1473" s="304"/>
      <c r="F1473" s="304"/>
      <c r="G1473" s="267"/>
      <c r="H1473" s="267"/>
      <c r="I1473" s="267"/>
      <c r="J1473" s="267"/>
      <c r="K1473" s="264"/>
    </row>
    <row r="1474">
      <c r="A1474" s="264"/>
      <c r="B1474" s="303"/>
      <c r="C1474" s="303"/>
      <c r="D1474" s="304"/>
      <c r="E1474" s="304"/>
      <c r="F1474" s="304"/>
      <c r="G1474" s="267"/>
      <c r="H1474" s="267"/>
      <c r="I1474" s="267"/>
      <c r="J1474" s="267"/>
      <c r="K1474" s="264"/>
    </row>
    <row r="1475">
      <c r="A1475" s="264"/>
      <c r="B1475" s="303"/>
      <c r="C1475" s="303"/>
      <c r="D1475" s="304"/>
      <c r="E1475" s="304"/>
      <c r="F1475" s="304"/>
      <c r="G1475" s="267"/>
      <c r="H1475" s="267"/>
      <c r="I1475" s="267"/>
      <c r="J1475" s="267"/>
      <c r="K1475" s="264"/>
    </row>
    <row r="1476">
      <c r="A1476" s="264"/>
      <c r="B1476" s="303"/>
      <c r="C1476" s="303"/>
      <c r="D1476" s="304"/>
      <c r="E1476" s="304"/>
      <c r="F1476" s="304"/>
      <c r="G1476" s="267"/>
      <c r="H1476" s="267"/>
      <c r="I1476" s="267"/>
      <c r="J1476" s="267"/>
      <c r="K1476" s="264"/>
    </row>
    <row r="1477">
      <c r="A1477" s="264"/>
      <c r="B1477" s="303"/>
      <c r="C1477" s="303"/>
      <c r="D1477" s="304"/>
      <c r="E1477" s="304"/>
      <c r="F1477" s="304"/>
      <c r="G1477" s="267"/>
      <c r="H1477" s="267"/>
      <c r="I1477" s="267"/>
      <c r="J1477" s="267"/>
      <c r="K1477" s="264"/>
    </row>
    <row r="1478">
      <c r="A1478" s="264"/>
      <c r="B1478" s="303"/>
      <c r="C1478" s="303"/>
      <c r="D1478" s="304"/>
      <c r="E1478" s="304"/>
      <c r="F1478" s="304"/>
      <c r="G1478" s="267"/>
      <c r="H1478" s="267"/>
      <c r="I1478" s="267"/>
      <c r="J1478" s="267"/>
      <c r="K1478" s="264"/>
    </row>
    <row r="1479">
      <c r="A1479" s="264"/>
      <c r="B1479" s="303"/>
      <c r="C1479" s="303"/>
      <c r="D1479" s="304"/>
      <c r="E1479" s="304"/>
      <c r="F1479" s="304"/>
      <c r="G1479" s="267"/>
      <c r="H1479" s="267"/>
      <c r="I1479" s="267"/>
      <c r="J1479" s="267"/>
      <c r="K1479" s="264"/>
    </row>
    <row r="1480">
      <c r="A1480" s="264"/>
      <c r="B1480" s="303"/>
      <c r="C1480" s="303"/>
      <c r="D1480" s="304"/>
      <c r="E1480" s="304"/>
      <c r="F1480" s="304"/>
      <c r="G1480" s="267"/>
      <c r="H1480" s="267"/>
      <c r="I1480" s="267"/>
      <c r="J1480" s="267"/>
      <c r="K1480" s="264"/>
    </row>
    <row r="1481">
      <c r="A1481" s="264"/>
      <c r="B1481" s="303"/>
      <c r="C1481" s="303"/>
      <c r="D1481" s="304"/>
      <c r="E1481" s="304"/>
      <c r="F1481" s="304"/>
      <c r="G1481" s="267"/>
      <c r="H1481" s="267"/>
      <c r="I1481" s="267"/>
      <c r="J1481" s="267"/>
      <c r="K1481" s="264"/>
    </row>
    <row r="1482">
      <c r="A1482" s="264"/>
      <c r="B1482" s="303"/>
      <c r="C1482" s="303"/>
      <c r="D1482" s="304"/>
      <c r="E1482" s="304"/>
      <c r="F1482" s="304"/>
      <c r="G1482" s="267"/>
      <c r="H1482" s="267"/>
      <c r="I1482" s="267"/>
      <c r="J1482" s="267"/>
      <c r="K1482" s="264"/>
    </row>
    <row r="1483">
      <c r="A1483" s="264"/>
      <c r="B1483" s="303"/>
      <c r="C1483" s="303"/>
      <c r="D1483" s="304"/>
      <c r="E1483" s="304"/>
      <c r="F1483" s="304"/>
      <c r="G1483" s="267"/>
      <c r="H1483" s="267"/>
      <c r="I1483" s="267"/>
      <c r="J1483" s="267"/>
      <c r="K1483" s="264"/>
    </row>
    <row r="1484">
      <c r="A1484" s="264"/>
      <c r="B1484" s="303"/>
      <c r="C1484" s="303"/>
      <c r="D1484" s="304"/>
      <c r="E1484" s="304"/>
      <c r="F1484" s="304"/>
      <c r="G1484" s="267"/>
      <c r="H1484" s="267"/>
      <c r="I1484" s="267"/>
      <c r="J1484" s="267"/>
      <c r="K1484" s="264"/>
    </row>
    <row r="1485">
      <c r="A1485" s="264"/>
      <c r="B1485" s="303"/>
      <c r="C1485" s="303"/>
      <c r="D1485" s="304"/>
      <c r="E1485" s="304"/>
      <c r="F1485" s="304"/>
      <c r="G1485" s="267"/>
      <c r="H1485" s="267"/>
      <c r="I1485" s="267"/>
      <c r="J1485" s="267"/>
      <c r="K1485" s="264"/>
    </row>
    <row r="1486">
      <c r="A1486" s="264"/>
      <c r="B1486" s="303"/>
      <c r="C1486" s="303"/>
      <c r="D1486" s="304"/>
      <c r="E1486" s="304"/>
      <c r="F1486" s="304"/>
      <c r="G1486" s="267"/>
      <c r="H1486" s="267"/>
      <c r="I1486" s="267"/>
      <c r="J1486" s="267"/>
      <c r="K1486" s="264"/>
    </row>
    <row r="1487">
      <c r="A1487" s="264"/>
      <c r="B1487" s="303"/>
      <c r="C1487" s="303"/>
      <c r="D1487" s="304"/>
      <c r="E1487" s="304"/>
      <c r="F1487" s="304"/>
      <c r="G1487" s="267"/>
      <c r="H1487" s="267"/>
      <c r="I1487" s="267"/>
      <c r="J1487" s="267"/>
      <c r="K1487" s="264"/>
    </row>
    <row r="1488">
      <c r="A1488" s="264"/>
      <c r="B1488" s="303"/>
      <c r="C1488" s="303"/>
      <c r="D1488" s="304"/>
      <c r="E1488" s="304"/>
      <c r="F1488" s="304"/>
      <c r="G1488" s="267"/>
      <c r="H1488" s="267"/>
      <c r="I1488" s="267"/>
      <c r="J1488" s="267"/>
      <c r="K1488" s="264"/>
    </row>
    <row r="1489">
      <c r="A1489" s="264"/>
      <c r="B1489" s="303"/>
      <c r="C1489" s="303"/>
      <c r="D1489" s="304"/>
      <c r="E1489" s="304"/>
      <c r="F1489" s="304"/>
      <c r="G1489" s="267"/>
      <c r="H1489" s="267"/>
      <c r="I1489" s="267"/>
      <c r="J1489" s="267"/>
      <c r="K1489" s="264"/>
    </row>
    <row r="1490">
      <c r="A1490" s="264"/>
      <c r="B1490" s="303"/>
      <c r="C1490" s="303"/>
      <c r="D1490" s="304"/>
      <c r="E1490" s="304"/>
      <c r="F1490" s="304"/>
      <c r="G1490" s="267"/>
      <c r="H1490" s="267"/>
      <c r="I1490" s="267"/>
      <c r="J1490" s="267"/>
      <c r="K1490" s="264"/>
    </row>
    <row r="1491">
      <c r="A1491" s="264"/>
      <c r="B1491" s="303"/>
      <c r="C1491" s="303"/>
      <c r="D1491" s="304"/>
      <c r="E1491" s="304"/>
      <c r="F1491" s="304"/>
      <c r="G1491" s="267"/>
      <c r="H1491" s="267"/>
      <c r="I1491" s="267"/>
      <c r="J1491" s="267"/>
      <c r="K1491" s="264"/>
    </row>
    <row r="1492">
      <c r="A1492" s="264"/>
      <c r="B1492" s="303"/>
      <c r="C1492" s="303"/>
      <c r="D1492" s="304"/>
      <c r="E1492" s="304"/>
      <c r="F1492" s="304"/>
      <c r="G1492" s="267"/>
      <c r="H1492" s="267"/>
      <c r="I1492" s="267"/>
      <c r="J1492" s="267"/>
      <c r="K1492" s="264"/>
    </row>
    <row r="1493">
      <c r="A1493" s="264"/>
      <c r="B1493" s="303"/>
      <c r="C1493" s="303"/>
      <c r="D1493" s="304"/>
      <c r="E1493" s="304"/>
      <c r="F1493" s="304"/>
      <c r="G1493" s="267"/>
      <c r="H1493" s="267"/>
      <c r="I1493" s="267"/>
      <c r="J1493" s="267"/>
      <c r="K1493" s="264"/>
    </row>
    <row r="1494">
      <c r="A1494" s="264"/>
      <c r="B1494" s="303"/>
      <c r="C1494" s="303"/>
      <c r="D1494" s="304"/>
      <c r="E1494" s="304"/>
      <c r="F1494" s="304"/>
      <c r="G1494" s="267"/>
      <c r="H1494" s="267"/>
      <c r="I1494" s="267"/>
      <c r="J1494" s="267"/>
      <c r="K1494" s="264"/>
    </row>
    <row r="1495">
      <c r="A1495" s="264"/>
      <c r="B1495" s="303"/>
      <c r="C1495" s="303"/>
      <c r="D1495" s="304"/>
      <c r="E1495" s="304"/>
      <c r="F1495" s="304"/>
      <c r="G1495" s="267"/>
      <c r="H1495" s="267"/>
      <c r="I1495" s="267"/>
      <c r="J1495" s="267"/>
      <c r="K1495" s="264"/>
    </row>
    <row r="1496">
      <c r="A1496" s="264"/>
      <c r="B1496" s="303"/>
      <c r="C1496" s="303"/>
      <c r="D1496" s="304"/>
      <c r="E1496" s="304"/>
      <c r="F1496" s="304"/>
      <c r="G1496" s="267"/>
      <c r="H1496" s="267"/>
      <c r="I1496" s="267"/>
      <c r="J1496" s="267"/>
      <c r="K1496" s="264"/>
    </row>
    <row r="1497">
      <c r="A1497" s="264"/>
      <c r="B1497" s="303"/>
      <c r="C1497" s="303"/>
      <c r="D1497" s="304"/>
      <c r="E1497" s="304"/>
      <c r="F1497" s="304"/>
      <c r="G1497" s="267"/>
      <c r="H1497" s="267"/>
      <c r="I1497" s="267"/>
      <c r="J1497" s="267"/>
      <c r="K1497" s="264"/>
    </row>
    <row r="1498">
      <c r="A1498" s="264"/>
      <c r="B1498" s="303"/>
      <c r="C1498" s="303"/>
      <c r="D1498" s="304"/>
      <c r="E1498" s="304"/>
      <c r="F1498" s="304"/>
      <c r="G1498" s="267"/>
      <c r="H1498" s="267"/>
      <c r="I1498" s="267"/>
      <c r="J1498" s="267"/>
      <c r="K1498" s="264"/>
    </row>
    <row r="1499">
      <c r="A1499" s="264"/>
      <c r="B1499" s="303"/>
      <c r="C1499" s="303"/>
      <c r="D1499" s="304"/>
      <c r="E1499" s="304"/>
      <c r="F1499" s="304"/>
      <c r="G1499" s="267"/>
      <c r="H1499" s="267"/>
      <c r="I1499" s="267"/>
      <c r="J1499" s="267"/>
      <c r="K1499" s="264"/>
    </row>
    <row r="1500">
      <c r="A1500" s="264"/>
      <c r="B1500" s="303"/>
      <c r="C1500" s="303"/>
      <c r="D1500" s="304"/>
      <c r="E1500" s="304"/>
      <c r="F1500" s="304"/>
      <c r="G1500" s="267"/>
      <c r="H1500" s="267"/>
      <c r="I1500" s="267"/>
      <c r="J1500" s="267"/>
      <c r="K1500" s="264"/>
    </row>
    <row r="1501">
      <c r="A1501" s="264"/>
      <c r="B1501" s="303"/>
      <c r="C1501" s="303"/>
      <c r="D1501" s="304"/>
      <c r="E1501" s="304"/>
      <c r="F1501" s="304"/>
      <c r="G1501" s="267"/>
      <c r="H1501" s="267"/>
      <c r="I1501" s="267"/>
      <c r="J1501" s="267"/>
      <c r="K1501" s="264"/>
    </row>
    <row r="1502">
      <c r="A1502" s="264"/>
      <c r="B1502" s="303"/>
      <c r="C1502" s="303"/>
      <c r="D1502" s="304"/>
      <c r="E1502" s="304"/>
      <c r="F1502" s="304"/>
      <c r="G1502" s="267"/>
      <c r="H1502" s="267"/>
      <c r="I1502" s="267"/>
      <c r="J1502" s="267"/>
      <c r="K1502" s="264"/>
    </row>
    <row r="1503">
      <c r="A1503" s="264"/>
      <c r="B1503" s="303"/>
      <c r="C1503" s="303"/>
      <c r="D1503" s="304"/>
      <c r="E1503" s="304"/>
      <c r="F1503" s="304"/>
      <c r="G1503" s="267"/>
      <c r="H1503" s="267"/>
      <c r="I1503" s="267"/>
      <c r="J1503" s="267"/>
      <c r="K1503" s="264"/>
    </row>
    <row r="1504">
      <c r="A1504" s="264"/>
      <c r="B1504" s="303"/>
      <c r="C1504" s="303"/>
      <c r="D1504" s="304"/>
      <c r="E1504" s="304"/>
      <c r="F1504" s="304"/>
      <c r="G1504" s="267"/>
      <c r="H1504" s="267"/>
      <c r="I1504" s="267"/>
      <c r="J1504" s="267"/>
      <c r="K1504" s="264"/>
    </row>
    <row r="1505">
      <c r="A1505" s="264"/>
      <c r="B1505" s="303"/>
      <c r="C1505" s="303"/>
      <c r="D1505" s="304"/>
      <c r="E1505" s="304"/>
      <c r="F1505" s="304"/>
      <c r="G1505" s="267"/>
      <c r="H1505" s="267"/>
      <c r="I1505" s="267"/>
      <c r="J1505" s="267"/>
      <c r="K1505" s="264"/>
    </row>
    <row r="1506">
      <c r="A1506" s="264"/>
      <c r="B1506" s="303"/>
      <c r="C1506" s="303"/>
      <c r="D1506" s="304"/>
      <c r="E1506" s="304"/>
      <c r="F1506" s="304"/>
      <c r="G1506" s="267"/>
      <c r="H1506" s="267"/>
      <c r="I1506" s="267"/>
      <c r="J1506" s="267"/>
      <c r="K1506" s="264"/>
    </row>
    <row r="1507">
      <c r="A1507" s="264"/>
      <c r="B1507" s="303"/>
      <c r="C1507" s="303"/>
      <c r="D1507" s="304"/>
      <c r="E1507" s="304"/>
      <c r="F1507" s="304"/>
      <c r="G1507" s="267"/>
      <c r="H1507" s="267"/>
      <c r="I1507" s="267"/>
      <c r="J1507" s="267"/>
      <c r="K1507" s="264"/>
    </row>
    <row r="1508">
      <c r="A1508" s="264"/>
      <c r="B1508" s="303"/>
      <c r="C1508" s="303"/>
      <c r="D1508" s="304"/>
      <c r="E1508" s="304"/>
      <c r="F1508" s="304"/>
      <c r="G1508" s="267"/>
      <c r="H1508" s="267"/>
      <c r="I1508" s="267"/>
      <c r="J1508" s="267"/>
      <c r="K1508" s="264"/>
    </row>
    <row r="1509">
      <c r="A1509" s="264"/>
      <c r="B1509" s="303"/>
      <c r="C1509" s="303"/>
      <c r="D1509" s="304"/>
      <c r="E1509" s="304"/>
      <c r="F1509" s="304"/>
      <c r="G1509" s="267"/>
      <c r="H1509" s="267"/>
      <c r="I1509" s="267"/>
      <c r="J1509" s="267"/>
      <c r="K1509" s="264"/>
    </row>
    <row r="1510">
      <c r="A1510" s="264"/>
      <c r="B1510" s="303"/>
      <c r="C1510" s="303"/>
      <c r="D1510" s="304"/>
      <c r="E1510" s="304"/>
      <c r="F1510" s="304"/>
      <c r="G1510" s="267"/>
      <c r="H1510" s="267"/>
      <c r="I1510" s="267"/>
      <c r="J1510" s="267"/>
      <c r="K1510" s="264"/>
    </row>
    <row r="1511">
      <c r="A1511" s="264"/>
      <c r="B1511" s="303"/>
      <c r="C1511" s="303"/>
      <c r="D1511" s="304"/>
      <c r="E1511" s="304"/>
      <c r="F1511" s="304"/>
      <c r="G1511" s="267"/>
      <c r="H1511" s="267"/>
      <c r="I1511" s="267"/>
      <c r="J1511" s="267"/>
      <c r="K1511" s="264"/>
    </row>
    <row r="1512">
      <c r="A1512" s="264"/>
      <c r="B1512" s="303"/>
      <c r="C1512" s="303"/>
      <c r="D1512" s="304"/>
      <c r="E1512" s="304"/>
      <c r="F1512" s="304"/>
      <c r="G1512" s="267"/>
      <c r="H1512" s="267"/>
      <c r="I1512" s="267"/>
      <c r="J1512" s="267"/>
      <c r="K1512" s="264"/>
    </row>
    <row r="1513">
      <c r="A1513" s="264"/>
      <c r="B1513" s="303"/>
      <c r="C1513" s="303"/>
      <c r="D1513" s="304"/>
      <c r="E1513" s="304"/>
      <c r="F1513" s="304"/>
      <c r="G1513" s="267"/>
      <c r="H1513" s="267"/>
      <c r="I1513" s="267"/>
      <c r="J1513" s="267"/>
      <c r="K1513" s="264"/>
    </row>
    <row r="1514">
      <c r="A1514" s="264"/>
      <c r="B1514" s="303"/>
      <c r="C1514" s="303"/>
      <c r="D1514" s="304"/>
      <c r="E1514" s="304"/>
      <c r="F1514" s="304"/>
      <c r="G1514" s="267"/>
      <c r="H1514" s="267"/>
      <c r="I1514" s="267"/>
      <c r="J1514" s="267"/>
      <c r="K1514" s="264"/>
    </row>
    <row r="1515">
      <c r="A1515" s="264"/>
      <c r="B1515" s="303"/>
      <c r="C1515" s="303"/>
      <c r="D1515" s="304"/>
      <c r="E1515" s="304"/>
      <c r="F1515" s="304"/>
      <c r="G1515" s="267"/>
      <c r="H1515" s="267"/>
      <c r="I1515" s="267"/>
      <c r="J1515" s="267"/>
      <c r="K1515" s="264"/>
    </row>
    <row r="1516">
      <c r="A1516" s="264"/>
      <c r="B1516" s="303"/>
      <c r="C1516" s="303"/>
      <c r="D1516" s="304"/>
      <c r="E1516" s="304"/>
      <c r="F1516" s="304"/>
      <c r="G1516" s="267"/>
      <c r="H1516" s="267"/>
      <c r="I1516" s="267"/>
      <c r="J1516" s="267"/>
      <c r="K1516" s="264"/>
    </row>
    <row r="1517">
      <c r="A1517" s="264"/>
      <c r="B1517" s="303"/>
      <c r="C1517" s="303"/>
      <c r="D1517" s="304"/>
      <c r="E1517" s="304"/>
      <c r="F1517" s="304"/>
      <c r="G1517" s="267"/>
      <c r="H1517" s="267"/>
      <c r="I1517" s="267"/>
      <c r="J1517" s="267"/>
      <c r="K1517" s="264"/>
    </row>
    <row r="1518">
      <c r="A1518" s="264"/>
      <c r="B1518" s="303"/>
      <c r="C1518" s="303"/>
      <c r="D1518" s="304"/>
      <c r="E1518" s="304"/>
      <c r="F1518" s="304"/>
      <c r="G1518" s="267"/>
      <c r="H1518" s="267"/>
      <c r="I1518" s="267"/>
      <c r="J1518" s="267"/>
      <c r="K1518" s="264"/>
    </row>
    <row r="1519">
      <c r="A1519" s="264"/>
      <c r="B1519" s="303"/>
      <c r="C1519" s="303"/>
      <c r="D1519" s="304"/>
      <c r="E1519" s="304"/>
      <c r="F1519" s="304"/>
      <c r="G1519" s="267"/>
      <c r="H1519" s="267"/>
      <c r="I1519" s="267"/>
      <c r="J1519" s="267"/>
      <c r="K1519" s="264"/>
    </row>
    <row r="1520">
      <c r="A1520" s="264"/>
      <c r="B1520" s="303"/>
      <c r="C1520" s="303"/>
      <c r="D1520" s="304"/>
      <c r="E1520" s="304"/>
      <c r="F1520" s="304"/>
      <c r="G1520" s="267"/>
      <c r="H1520" s="267"/>
      <c r="I1520" s="267"/>
      <c r="J1520" s="267"/>
      <c r="K1520" s="264"/>
    </row>
    <row r="1521">
      <c r="A1521" s="264"/>
      <c r="B1521" s="303"/>
      <c r="C1521" s="303"/>
      <c r="D1521" s="304"/>
      <c r="E1521" s="304"/>
      <c r="F1521" s="304"/>
      <c r="G1521" s="267"/>
      <c r="H1521" s="267"/>
      <c r="I1521" s="267"/>
      <c r="J1521" s="267"/>
      <c r="K1521" s="264"/>
    </row>
    <row r="1522">
      <c r="A1522" s="264"/>
      <c r="B1522" s="303"/>
      <c r="C1522" s="303"/>
      <c r="D1522" s="304"/>
      <c r="E1522" s="304"/>
      <c r="F1522" s="304"/>
      <c r="G1522" s="267"/>
      <c r="H1522" s="267"/>
      <c r="I1522" s="267"/>
      <c r="J1522" s="267"/>
      <c r="K1522" s="264"/>
    </row>
    <row r="1523">
      <c r="A1523" s="264"/>
      <c r="B1523" s="303"/>
      <c r="C1523" s="303"/>
      <c r="D1523" s="304"/>
      <c r="E1523" s="304"/>
      <c r="F1523" s="304"/>
      <c r="G1523" s="267"/>
      <c r="H1523" s="267"/>
      <c r="I1523" s="267"/>
      <c r="J1523" s="267"/>
      <c r="K1523" s="264"/>
    </row>
    <row r="1524">
      <c r="A1524" s="264"/>
      <c r="B1524" s="303"/>
      <c r="C1524" s="303"/>
      <c r="D1524" s="304"/>
      <c r="E1524" s="304"/>
      <c r="F1524" s="304"/>
      <c r="G1524" s="267"/>
      <c r="H1524" s="267"/>
      <c r="I1524" s="267"/>
      <c r="J1524" s="267"/>
      <c r="K1524" s="264"/>
    </row>
    <row r="1525">
      <c r="A1525" s="264"/>
      <c r="B1525" s="303"/>
      <c r="C1525" s="303"/>
      <c r="D1525" s="304"/>
      <c r="E1525" s="304"/>
      <c r="F1525" s="304"/>
      <c r="G1525" s="267"/>
      <c r="H1525" s="267"/>
      <c r="I1525" s="267"/>
      <c r="J1525" s="267"/>
      <c r="K1525" s="264"/>
    </row>
    <row r="1526">
      <c r="A1526" s="264"/>
      <c r="B1526" s="303"/>
      <c r="C1526" s="303"/>
      <c r="D1526" s="304"/>
      <c r="E1526" s="304"/>
      <c r="F1526" s="304"/>
      <c r="G1526" s="267"/>
      <c r="H1526" s="267"/>
      <c r="I1526" s="267"/>
      <c r="J1526" s="267"/>
      <c r="K1526" s="264"/>
    </row>
    <row r="1527">
      <c r="A1527" s="264"/>
      <c r="B1527" s="303"/>
      <c r="C1527" s="303"/>
      <c r="D1527" s="304"/>
      <c r="E1527" s="304"/>
      <c r="F1527" s="304"/>
      <c r="G1527" s="267"/>
      <c r="H1527" s="267"/>
      <c r="I1527" s="267"/>
      <c r="J1527" s="267"/>
      <c r="K1527" s="264"/>
    </row>
    <row r="1528">
      <c r="A1528" s="264"/>
      <c r="B1528" s="303"/>
      <c r="C1528" s="303"/>
      <c r="D1528" s="304"/>
      <c r="E1528" s="304"/>
      <c r="F1528" s="304"/>
      <c r="G1528" s="267"/>
      <c r="H1528" s="267"/>
      <c r="I1528" s="267"/>
      <c r="J1528" s="267"/>
      <c r="K1528" s="264"/>
    </row>
    <row r="1529">
      <c r="A1529" s="264"/>
      <c r="B1529" s="303"/>
      <c r="C1529" s="303"/>
      <c r="D1529" s="304"/>
      <c r="E1529" s="304"/>
      <c r="F1529" s="304"/>
      <c r="G1529" s="267"/>
      <c r="H1529" s="267"/>
      <c r="I1529" s="267"/>
      <c r="J1529" s="267"/>
      <c r="K1529" s="264"/>
    </row>
    <row r="1530">
      <c r="A1530" s="264"/>
      <c r="B1530" s="303"/>
      <c r="C1530" s="303"/>
      <c r="D1530" s="304"/>
      <c r="E1530" s="304"/>
      <c r="F1530" s="304"/>
      <c r="G1530" s="267"/>
      <c r="H1530" s="267"/>
      <c r="I1530" s="267"/>
      <c r="J1530" s="267"/>
      <c r="K1530" s="264"/>
    </row>
    <row r="1531">
      <c r="A1531" s="264"/>
      <c r="B1531" s="303"/>
      <c r="C1531" s="303"/>
      <c r="D1531" s="304"/>
      <c r="E1531" s="304"/>
      <c r="F1531" s="304"/>
      <c r="G1531" s="267"/>
      <c r="H1531" s="267"/>
      <c r="I1531" s="267"/>
      <c r="J1531" s="267"/>
      <c r="K1531" s="264"/>
    </row>
    <row r="1532">
      <c r="A1532" s="264"/>
      <c r="B1532" s="303"/>
      <c r="C1532" s="303"/>
      <c r="D1532" s="304"/>
      <c r="E1532" s="304"/>
      <c r="F1532" s="304"/>
      <c r="G1532" s="267"/>
      <c r="H1532" s="267"/>
      <c r="I1532" s="267"/>
      <c r="J1532" s="267"/>
      <c r="K1532" s="264"/>
    </row>
    <row r="1533">
      <c r="A1533" s="264"/>
      <c r="B1533" s="303"/>
      <c r="C1533" s="303"/>
      <c r="D1533" s="304"/>
      <c r="E1533" s="304"/>
      <c r="F1533" s="304"/>
      <c r="G1533" s="267"/>
      <c r="H1533" s="267"/>
      <c r="I1533" s="267"/>
      <c r="J1533" s="267"/>
      <c r="K1533" s="264"/>
    </row>
    <row r="1534">
      <c r="A1534" s="264"/>
      <c r="B1534" s="303"/>
      <c r="C1534" s="303"/>
      <c r="D1534" s="304"/>
      <c r="E1534" s="304"/>
      <c r="F1534" s="304"/>
      <c r="G1534" s="267"/>
      <c r="H1534" s="267"/>
      <c r="I1534" s="267"/>
      <c r="J1534" s="267"/>
      <c r="K1534" s="264"/>
    </row>
    <row r="1535">
      <c r="A1535" s="264"/>
      <c r="B1535" s="303"/>
      <c r="C1535" s="303"/>
      <c r="D1535" s="304"/>
      <c r="E1535" s="304"/>
      <c r="F1535" s="304"/>
      <c r="G1535" s="267"/>
      <c r="H1535" s="267"/>
      <c r="I1535" s="267"/>
      <c r="J1535" s="267"/>
      <c r="K1535" s="264"/>
    </row>
    <row r="1536">
      <c r="A1536" s="264"/>
      <c r="B1536" s="303"/>
      <c r="C1536" s="303"/>
      <c r="D1536" s="304"/>
      <c r="E1536" s="304"/>
      <c r="F1536" s="304"/>
      <c r="G1536" s="267"/>
      <c r="H1536" s="267"/>
      <c r="I1536" s="267"/>
      <c r="J1536" s="267"/>
      <c r="K1536" s="264"/>
    </row>
    <row r="1537">
      <c r="A1537" s="264"/>
      <c r="B1537" s="303"/>
      <c r="C1537" s="303"/>
      <c r="D1537" s="304"/>
      <c r="E1537" s="304"/>
      <c r="F1537" s="304"/>
      <c r="G1537" s="267"/>
      <c r="H1537" s="267"/>
      <c r="I1537" s="267"/>
      <c r="J1537" s="267"/>
      <c r="K1537" s="264"/>
    </row>
  </sheetData>
  <mergeCells count="82">
    <mergeCell ref="A593:Q593"/>
    <mergeCell ref="A602:Q602"/>
    <mergeCell ref="A613:Q613"/>
    <mergeCell ref="A624:Q624"/>
    <mergeCell ref="A634:Q634"/>
    <mergeCell ref="A644:Q644"/>
    <mergeCell ref="A657:Q657"/>
    <mergeCell ref="A666:Q666"/>
    <mergeCell ref="A676:Q676"/>
    <mergeCell ref="A687:Q687"/>
    <mergeCell ref="A697:Q697"/>
    <mergeCell ref="A709:Q709"/>
    <mergeCell ref="A711:Q711"/>
    <mergeCell ref="A719:Q719"/>
    <mergeCell ref="A786:Q786"/>
    <mergeCell ref="A794:Q794"/>
    <mergeCell ref="A805:Q805"/>
    <mergeCell ref="A814:Q814"/>
    <mergeCell ref="A815:Q815"/>
    <mergeCell ref="A827:Q827"/>
    <mergeCell ref="A835:Q835"/>
    <mergeCell ref="A906:L906"/>
    <mergeCell ref="A916:L916"/>
    <mergeCell ref="A926:L926"/>
    <mergeCell ref="A945:Q945"/>
    <mergeCell ref="A956:Q956"/>
    <mergeCell ref="A836:Q836"/>
    <mergeCell ref="A846:Q846"/>
    <mergeCell ref="A856:Q856"/>
    <mergeCell ref="A866:L866"/>
    <mergeCell ref="A878:Q878"/>
    <mergeCell ref="A886:L886"/>
    <mergeCell ref="A896:L896"/>
    <mergeCell ref="A2:Q2"/>
    <mergeCell ref="A35:Q35"/>
    <mergeCell ref="A62:Q62"/>
    <mergeCell ref="A89:Q89"/>
    <mergeCell ref="A117:Q117"/>
    <mergeCell ref="A143:Q143"/>
    <mergeCell ref="A169:Q169"/>
    <mergeCell ref="A199:Q199"/>
    <mergeCell ref="A224:Q224"/>
    <mergeCell ref="A251:Q251"/>
    <mergeCell ref="A277:Q277"/>
    <mergeCell ref="A285:Q285"/>
    <mergeCell ref="A295:Q295"/>
    <mergeCell ref="A305:Q305"/>
    <mergeCell ref="A315:Q315"/>
    <mergeCell ref="A326:Q326"/>
    <mergeCell ref="A334:Q334"/>
    <mergeCell ref="A335:Q335"/>
    <mergeCell ref="A346:Q346"/>
    <mergeCell ref="A356:Q356"/>
    <mergeCell ref="A366:Q366"/>
    <mergeCell ref="A377:Q377"/>
    <mergeCell ref="A386:Q386"/>
    <mergeCell ref="A397:Q397"/>
    <mergeCell ref="A408:Q408"/>
    <mergeCell ref="A419:Q419"/>
    <mergeCell ref="A430:Q430"/>
    <mergeCell ref="A439:Q439"/>
    <mergeCell ref="A450:Q450"/>
    <mergeCell ref="A460:Q460"/>
    <mergeCell ref="A470:Q470"/>
    <mergeCell ref="A482:Q482"/>
    <mergeCell ref="A491:Q491"/>
    <mergeCell ref="A501:Q501"/>
    <mergeCell ref="A511:Q511"/>
    <mergeCell ref="A521:Q521"/>
    <mergeCell ref="A531:Q531"/>
    <mergeCell ref="A542:Q542"/>
    <mergeCell ref="A550:Q550"/>
    <mergeCell ref="A560:Q560"/>
    <mergeCell ref="A571:Q571"/>
    <mergeCell ref="A582:Q582"/>
    <mergeCell ref="A729:Q729"/>
    <mergeCell ref="A730:Q730"/>
    <mergeCell ref="A742:Q742"/>
    <mergeCell ref="A753:Q753"/>
    <mergeCell ref="A763:Q763"/>
    <mergeCell ref="A773:Q773"/>
    <mergeCell ref="A784:Q78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6.43"/>
    <col customWidth="1" min="3" max="3" width="13.71"/>
    <col customWidth="1" min="7" max="7" width="16.57"/>
    <col customWidth="1" min="8" max="9" width="16.43"/>
    <col customWidth="1" min="11" max="11" width="16.71"/>
    <col customWidth="1" min="12" max="13" width="20.71"/>
    <col customWidth="1" min="14" max="16" width="18.57"/>
    <col customWidth="1" min="17" max="17" width="20.71"/>
  </cols>
  <sheetData>
    <row r="1" hidden="1">
      <c r="A1" s="1" t="s">
        <v>0</v>
      </c>
      <c r="B1" s="2" t="s">
        <v>1</v>
      </c>
      <c r="C1" s="3" t="s">
        <v>2</v>
      </c>
      <c r="D1" s="3" t="s">
        <v>3</v>
      </c>
      <c r="E1" s="3"/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/>
      <c r="L1" s="4"/>
      <c r="M1" s="4"/>
      <c r="N1" s="4"/>
      <c r="O1" s="4"/>
      <c r="P1" s="4"/>
      <c r="Q1" s="1" t="s">
        <v>0</v>
      </c>
      <c r="R1" s="2" t="s">
        <v>1</v>
      </c>
      <c r="S1" s="3" t="s">
        <v>2</v>
      </c>
      <c r="T1" s="3" t="s">
        <v>3</v>
      </c>
      <c r="U1" s="3" t="s">
        <v>4</v>
      </c>
      <c r="V1" s="3" t="s">
        <v>9</v>
      </c>
      <c r="W1" s="3" t="s">
        <v>5</v>
      </c>
      <c r="X1" s="3" t="s">
        <v>6</v>
      </c>
      <c r="Y1" s="1" t="s">
        <v>10</v>
      </c>
      <c r="Z1" s="4" t="s">
        <v>7</v>
      </c>
      <c r="AA1" s="4" t="s">
        <v>8</v>
      </c>
      <c r="AB1" s="5" t="s">
        <v>11</v>
      </c>
    </row>
    <row r="2" hidden="1">
      <c r="A2" s="6" t="s">
        <v>12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 hidden="1">
      <c r="A3" s="9">
        <v>43918.0</v>
      </c>
      <c r="B3" s="10">
        <v>8500.0</v>
      </c>
      <c r="C3" s="10">
        <v>7250.0</v>
      </c>
      <c r="D3" s="10">
        <v>6050.0</v>
      </c>
      <c r="E3" s="10"/>
      <c r="F3" s="10">
        <v>6050.0</v>
      </c>
      <c r="G3" s="10">
        <v>5800.0</v>
      </c>
      <c r="H3" s="10">
        <v>5800.0</v>
      </c>
      <c r="I3" s="11">
        <v>0.0</v>
      </c>
      <c r="J3" s="12"/>
      <c r="K3" s="12"/>
      <c r="L3" s="12"/>
      <c r="M3" s="12"/>
      <c r="N3" s="12"/>
      <c r="O3" s="12"/>
      <c r="P3" s="12"/>
      <c r="Q3" s="13">
        <f>SUM(B3:J3)</f>
        <v>39450</v>
      </c>
    </row>
    <row r="4" hidden="1">
      <c r="A4" s="14">
        <v>44108.0</v>
      </c>
      <c r="B4" s="10">
        <v>8500.0</v>
      </c>
      <c r="C4" s="10">
        <v>7250.0</v>
      </c>
      <c r="D4" s="10">
        <v>6050.0</v>
      </c>
      <c r="E4" s="10"/>
      <c r="F4" s="10">
        <v>6050.0</v>
      </c>
      <c r="G4" s="10">
        <v>5800.0</v>
      </c>
      <c r="H4" s="10">
        <v>5800.0</v>
      </c>
      <c r="I4" s="11">
        <v>0.0</v>
      </c>
      <c r="J4" s="12"/>
      <c r="K4" s="12"/>
      <c r="L4" s="12"/>
      <c r="M4" s="12"/>
      <c r="N4" s="12"/>
      <c r="O4" s="12"/>
      <c r="P4" s="12"/>
      <c r="Q4" s="13">
        <f t="shared" ref="Q4:Q7" si="1">SUM(B4:I4)</f>
        <v>39450</v>
      </c>
    </row>
    <row r="5" hidden="1">
      <c r="A5" s="15" t="s">
        <v>13</v>
      </c>
      <c r="B5" s="10">
        <v>8500.0</v>
      </c>
      <c r="C5" s="10">
        <v>7250.0</v>
      </c>
      <c r="D5" s="10">
        <v>6050.0</v>
      </c>
      <c r="E5" s="10"/>
      <c r="F5" s="10">
        <v>6050.0</v>
      </c>
      <c r="G5" s="10">
        <v>5800.0</v>
      </c>
      <c r="H5" s="10">
        <v>5800.0</v>
      </c>
      <c r="I5" s="11">
        <v>0.0</v>
      </c>
      <c r="J5" s="12"/>
      <c r="K5" s="12"/>
      <c r="L5" s="12"/>
      <c r="M5" s="12"/>
      <c r="N5" s="12"/>
      <c r="O5" s="12"/>
      <c r="P5" s="12"/>
      <c r="Q5" s="13">
        <f t="shared" si="1"/>
        <v>39450</v>
      </c>
    </row>
    <row r="6" hidden="1">
      <c r="A6" s="15" t="s">
        <v>14</v>
      </c>
      <c r="B6" s="16">
        <v>8500.0</v>
      </c>
      <c r="C6" s="16">
        <v>7250.0</v>
      </c>
      <c r="D6" s="16">
        <v>6050.0</v>
      </c>
      <c r="E6" s="16"/>
      <c r="F6" s="16">
        <v>6050.0</v>
      </c>
      <c r="G6" s="16">
        <v>5800.0</v>
      </c>
      <c r="H6" s="16">
        <v>5800.0</v>
      </c>
      <c r="I6" s="17">
        <v>0.0</v>
      </c>
      <c r="J6" s="18"/>
      <c r="K6" s="18"/>
      <c r="L6" s="18"/>
      <c r="M6" s="18"/>
      <c r="N6" s="18"/>
      <c r="O6" s="18"/>
      <c r="P6" s="18"/>
      <c r="Q6" s="19">
        <f t="shared" si="1"/>
        <v>39450</v>
      </c>
    </row>
    <row r="7" hidden="1">
      <c r="A7" s="15" t="s">
        <v>14</v>
      </c>
      <c r="B7" s="16">
        <v>8500.0</v>
      </c>
      <c r="C7" s="16">
        <v>7250.0</v>
      </c>
      <c r="D7" s="16">
        <v>6050.0</v>
      </c>
      <c r="E7" s="16"/>
      <c r="F7" s="16">
        <v>6050.0</v>
      </c>
      <c r="G7" s="16">
        <v>5800.0</v>
      </c>
      <c r="H7" s="16">
        <v>5800.0</v>
      </c>
      <c r="I7" s="17">
        <v>0.0</v>
      </c>
      <c r="J7" s="18"/>
      <c r="K7" s="18"/>
      <c r="L7" s="18"/>
      <c r="M7" s="18"/>
      <c r="N7" s="18"/>
      <c r="O7" s="18"/>
      <c r="P7" s="18"/>
      <c r="Q7" s="19">
        <f t="shared" si="1"/>
        <v>39450</v>
      </c>
    </row>
    <row r="8" hidden="1">
      <c r="A8" s="20" t="s">
        <v>15</v>
      </c>
      <c r="B8" s="21">
        <f t="shared" ref="B8:D8" si="2">SUM(B3:B6)</f>
        <v>34000</v>
      </c>
      <c r="C8" s="21">
        <f t="shared" si="2"/>
        <v>29000</v>
      </c>
      <c r="D8" s="21">
        <f t="shared" si="2"/>
        <v>24200</v>
      </c>
      <c r="E8" s="21"/>
      <c r="F8" s="21">
        <f t="shared" ref="F8:I8" si="3">SUM(F3:F6)</f>
        <v>24200</v>
      </c>
      <c r="G8" s="21">
        <f t="shared" si="3"/>
        <v>23200</v>
      </c>
      <c r="H8" s="21">
        <f t="shared" si="3"/>
        <v>23200</v>
      </c>
      <c r="I8" s="21">
        <f t="shared" si="3"/>
        <v>0</v>
      </c>
      <c r="J8" s="21"/>
      <c r="K8" s="21"/>
      <c r="L8" s="21"/>
      <c r="M8" s="21"/>
      <c r="N8" s="21"/>
      <c r="O8" s="21"/>
      <c r="P8" s="21"/>
      <c r="Q8" s="22">
        <f>SUM(Q3:Q6)</f>
        <v>157800</v>
      </c>
    </row>
    <row r="9" hidden="1">
      <c r="A9" s="23" t="s">
        <v>16</v>
      </c>
      <c r="B9" s="24">
        <v>10475.0</v>
      </c>
      <c r="C9" s="24">
        <v>9463.0</v>
      </c>
      <c r="D9" s="24">
        <v>9075.0</v>
      </c>
      <c r="E9" s="24"/>
      <c r="F9" s="24">
        <v>9075.0</v>
      </c>
      <c r="G9" s="24">
        <v>10410.0</v>
      </c>
      <c r="H9" s="24">
        <v>10410.0</v>
      </c>
      <c r="I9" s="24"/>
      <c r="J9" s="24"/>
      <c r="K9" s="25"/>
      <c r="L9" s="25"/>
      <c r="M9" s="25"/>
      <c r="N9" s="25"/>
      <c r="O9" s="25"/>
      <c r="P9" s="25"/>
      <c r="Q9" s="26">
        <f t="shared" ref="Q9:Q12" si="6">SUM(B9:J9)</f>
        <v>58908</v>
      </c>
    </row>
    <row r="10" hidden="1">
      <c r="A10" s="27" t="s">
        <v>17</v>
      </c>
      <c r="B10" s="28">
        <f t="shared" ref="B10:D10" si="4">B8-(B9)</f>
        <v>23525</v>
      </c>
      <c r="C10" s="28">
        <f t="shared" si="4"/>
        <v>19537</v>
      </c>
      <c r="D10" s="28">
        <f t="shared" si="4"/>
        <v>15125</v>
      </c>
      <c r="E10" s="28"/>
      <c r="F10" s="28">
        <f t="shared" ref="F10:I10" si="5">F8-(F9)</f>
        <v>15125</v>
      </c>
      <c r="G10" s="28">
        <f t="shared" si="5"/>
        <v>12790</v>
      </c>
      <c r="H10" s="28">
        <f t="shared" si="5"/>
        <v>12790</v>
      </c>
      <c r="I10" s="28">
        <f t="shared" si="5"/>
        <v>0</v>
      </c>
      <c r="J10" s="28"/>
      <c r="K10" s="29"/>
      <c r="L10" s="29"/>
      <c r="M10" s="29"/>
      <c r="N10" s="29"/>
      <c r="O10" s="29"/>
      <c r="P10" s="29"/>
      <c r="Q10" s="30">
        <f t="shared" si="6"/>
        <v>98892</v>
      </c>
    </row>
    <row r="11" hidden="1">
      <c r="A11" s="23" t="s">
        <v>18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25"/>
      <c r="M11" s="25"/>
      <c r="N11" s="25"/>
      <c r="O11" s="25"/>
      <c r="P11" s="25"/>
      <c r="Q11" s="26">
        <f t="shared" si="6"/>
        <v>0</v>
      </c>
    </row>
    <row r="12" hidden="1">
      <c r="A12" s="9">
        <v>43918.0</v>
      </c>
      <c r="B12" s="10">
        <f t="shared" ref="B12:D12" si="7">B10/3</f>
        <v>7841.666667</v>
      </c>
      <c r="C12" s="10">
        <f t="shared" si="7"/>
        <v>6512.333333</v>
      </c>
      <c r="D12" s="10">
        <f t="shared" si="7"/>
        <v>5041.666667</v>
      </c>
      <c r="E12" s="10"/>
      <c r="F12" s="10">
        <v>7050.0</v>
      </c>
      <c r="G12" s="10">
        <f t="shared" ref="G12:H12" si="8">G10/3</f>
        <v>4263.333333</v>
      </c>
      <c r="H12" s="10">
        <f t="shared" si="8"/>
        <v>4263.333333</v>
      </c>
      <c r="I12" s="11">
        <v>0.0</v>
      </c>
      <c r="J12" s="12"/>
      <c r="K12" s="12"/>
      <c r="L12" s="12"/>
      <c r="M12" s="12"/>
      <c r="N12" s="12"/>
      <c r="O12" s="12"/>
      <c r="P12" s="12"/>
      <c r="Q12" s="13">
        <f t="shared" si="6"/>
        <v>34972.33333</v>
      </c>
    </row>
    <row r="13" hidden="1">
      <c r="A13" s="14">
        <v>44108.0</v>
      </c>
      <c r="B13" s="10">
        <f>B8/4+650</f>
        <v>9150</v>
      </c>
      <c r="C13" s="10">
        <f>C8/4+700</f>
        <v>7950</v>
      </c>
      <c r="D13" s="10">
        <f>D8/4+1000</f>
        <v>7050</v>
      </c>
      <c r="E13" s="10"/>
      <c r="F13" s="10">
        <f>F8/4+1000</f>
        <v>7050</v>
      </c>
      <c r="G13" s="31">
        <f t="shared" ref="G13:H13" si="9">G8/4+1500</f>
        <v>7300</v>
      </c>
      <c r="H13" s="31">
        <f t="shared" si="9"/>
        <v>7300</v>
      </c>
      <c r="I13" s="11">
        <v>0.0</v>
      </c>
      <c r="J13" s="12"/>
      <c r="K13" s="12"/>
      <c r="L13" s="12"/>
      <c r="M13" s="12"/>
      <c r="N13" s="12"/>
      <c r="O13" s="12"/>
      <c r="P13" s="12"/>
      <c r="Q13" s="13">
        <f t="shared" ref="Q13:Q15" si="12">SUM(B13:I13)</f>
        <v>45800</v>
      </c>
    </row>
    <row r="14" hidden="1">
      <c r="A14" s="15" t="s">
        <v>13</v>
      </c>
      <c r="B14" s="10">
        <f t="shared" ref="B14:D14" si="10">B8/4</f>
        <v>8500</v>
      </c>
      <c r="C14" s="10">
        <f t="shared" si="10"/>
        <v>7250</v>
      </c>
      <c r="D14" s="10">
        <f t="shared" si="10"/>
        <v>6050</v>
      </c>
      <c r="E14" s="10"/>
      <c r="F14" s="10">
        <f>F8/4+1000</f>
        <v>7050</v>
      </c>
      <c r="G14" s="10">
        <f t="shared" ref="G14:H14" si="11">G8/4</f>
        <v>5800</v>
      </c>
      <c r="H14" s="10">
        <f t="shared" si="11"/>
        <v>5800</v>
      </c>
      <c r="I14" s="11">
        <v>0.0</v>
      </c>
      <c r="J14" s="12"/>
      <c r="K14" s="12"/>
      <c r="L14" s="12"/>
      <c r="M14" s="12"/>
      <c r="N14" s="12"/>
      <c r="O14" s="12"/>
      <c r="P14" s="12"/>
      <c r="Q14" s="13">
        <f t="shared" si="12"/>
        <v>40450</v>
      </c>
    </row>
    <row r="15" hidden="1">
      <c r="A15" s="15" t="s">
        <v>14</v>
      </c>
      <c r="B15" s="16">
        <f t="shared" ref="B15:D15" si="13">B8/4</f>
        <v>8500</v>
      </c>
      <c r="C15" s="16">
        <f t="shared" si="13"/>
        <v>7250</v>
      </c>
      <c r="D15" s="16">
        <f t="shared" si="13"/>
        <v>6050</v>
      </c>
      <c r="E15" s="16"/>
      <c r="F15" s="16">
        <f t="shared" ref="F15:G15" si="14">F8/4</f>
        <v>6050</v>
      </c>
      <c r="G15" s="16">
        <f t="shared" si="14"/>
        <v>5800</v>
      </c>
      <c r="H15" s="16">
        <f>H8/4+2900</f>
        <v>8700</v>
      </c>
      <c r="I15" s="17">
        <v>0.0</v>
      </c>
      <c r="J15" s="18"/>
      <c r="K15" s="18"/>
      <c r="L15" s="18"/>
      <c r="M15" s="18"/>
      <c r="N15" s="18"/>
      <c r="O15" s="18"/>
      <c r="P15" s="18"/>
      <c r="Q15" s="19">
        <f t="shared" si="12"/>
        <v>42350</v>
      </c>
    </row>
    <row r="16" hidden="1">
      <c r="A16" s="32" t="s">
        <v>19</v>
      </c>
      <c r="B16" s="16">
        <v>8500.0</v>
      </c>
      <c r="C16" s="33">
        <v>7250.0</v>
      </c>
      <c r="D16" s="33">
        <v>6050.0</v>
      </c>
      <c r="E16" s="33"/>
      <c r="F16" s="33">
        <v>6050.0</v>
      </c>
      <c r="G16" s="33">
        <v>5800.0</v>
      </c>
      <c r="H16" s="33">
        <v>8700.0</v>
      </c>
      <c r="I16" s="34"/>
      <c r="J16" s="35"/>
      <c r="K16" s="35"/>
      <c r="L16" s="35"/>
      <c r="M16" s="35"/>
      <c r="N16" s="35"/>
      <c r="O16" s="35"/>
      <c r="P16" s="35"/>
      <c r="Q16" s="35"/>
    </row>
    <row r="17" hidden="1">
      <c r="A17" s="27" t="s">
        <v>20</v>
      </c>
      <c r="B17" s="28"/>
      <c r="C17" s="28"/>
      <c r="D17" s="28"/>
      <c r="E17" s="28"/>
      <c r="F17" s="28"/>
      <c r="G17" s="36" t="s">
        <v>21</v>
      </c>
      <c r="H17" s="36" t="s">
        <v>21</v>
      </c>
      <c r="I17" s="37"/>
      <c r="J17" s="37"/>
      <c r="K17" s="37"/>
      <c r="L17" s="37"/>
      <c r="M17" s="37"/>
      <c r="N17" s="37"/>
      <c r="O17" s="37"/>
      <c r="P17" s="37"/>
      <c r="Q17" s="37"/>
    </row>
    <row r="18" hidden="1">
      <c r="A18" s="37"/>
      <c r="B18" s="38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</row>
    <row r="19" hidden="1">
      <c r="A19" s="39" t="s">
        <v>22</v>
      </c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hidden="1">
      <c r="A20" s="42">
        <v>43918.0</v>
      </c>
      <c r="B20" s="43"/>
      <c r="C20" s="44"/>
      <c r="D20" s="44"/>
      <c r="E20" s="45"/>
      <c r="F20" s="45"/>
      <c r="G20" s="44"/>
      <c r="H20" s="45"/>
      <c r="I20" s="44"/>
      <c r="J20" s="44"/>
      <c r="K20" s="44"/>
      <c r="L20" s="44"/>
      <c r="M20" s="44"/>
      <c r="N20" s="44"/>
      <c r="O20" s="44"/>
      <c r="P20" s="44"/>
      <c r="Q20" s="44"/>
    </row>
    <row r="21" hidden="1">
      <c r="A21" s="42">
        <v>44108.0</v>
      </c>
      <c r="B21" s="46"/>
      <c r="C21" s="45"/>
      <c r="D21" s="45"/>
      <c r="E21" s="45"/>
      <c r="F21" s="45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</row>
    <row r="22" hidden="1">
      <c r="A22" s="39" t="s">
        <v>13</v>
      </c>
      <c r="B22" s="43"/>
      <c r="C22" s="44"/>
      <c r="D22" s="44"/>
      <c r="E22" s="45"/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</row>
    <row r="23" hidden="1">
      <c r="A23" s="39" t="s">
        <v>14</v>
      </c>
      <c r="B23" s="46"/>
      <c r="C23" s="45"/>
      <c r="D23" s="44"/>
      <c r="E23" s="45"/>
      <c r="F23" s="45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</row>
    <row r="24" hidden="1">
      <c r="A24" s="39" t="s">
        <v>19</v>
      </c>
      <c r="B24" s="46"/>
      <c r="C24" s="44"/>
      <c r="D24" s="44"/>
      <c r="E24" s="45"/>
      <c r="F24" s="45">
        <v>1720.0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</row>
    <row r="25" hidden="1">
      <c r="A25" s="37"/>
      <c r="B25" s="38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</row>
    <row r="26" hidden="1">
      <c r="A26" s="47" t="s">
        <v>23</v>
      </c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7" t="s">
        <v>24</v>
      </c>
    </row>
    <row r="27" hidden="1">
      <c r="A27" s="50">
        <v>43918.0</v>
      </c>
      <c r="B27" s="51">
        <f t="shared" ref="B27:D27" si="15">B12-B20</f>
        <v>7841.666667</v>
      </c>
      <c r="C27" s="52">
        <f t="shared" si="15"/>
        <v>6512.333333</v>
      </c>
      <c r="D27" s="52">
        <f t="shared" si="15"/>
        <v>5041.666667</v>
      </c>
      <c r="E27" s="52"/>
      <c r="F27" s="52"/>
      <c r="G27" s="52">
        <f t="shared" ref="G27:H27" si="16">G12-G20</f>
        <v>4263.333333</v>
      </c>
      <c r="H27" s="52">
        <f t="shared" si="16"/>
        <v>4263.333333</v>
      </c>
      <c r="I27" s="52"/>
      <c r="J27" s="52"/>
      <c r="K27" s="52"/>
      <c r="L27" s="52"/>
      <c r="M27" s="52"/>
      <c r="N27" s="52"/>
      <c r="O27" s="52"/>
      <c r="P27" s="52"/>
      <c r="Q27" s="53">
        <f t="shared" ref="Q27:Q29" si="19">SUM(B27:J27)</f>
        <v>27922.33333</v>
      </c>
    </row>
    <row r="28" hidden="1">
      <c r="A28" s="50">
        <v>44108.0</v>
      </c>
      <c r="B28" s="51">
        <f>B13-B20-B21</f>
        <v>9150</v>
      </c>
      <c r="C28" s="52">
        <f t="shared" ref="C28:D28" si="17">C13-C21-C20</f>
        <v>7950</v>
      </c>
      <c r="D28" s="52">
        <f t="shared" si="17"/>
        <v>7050</v>
      </c>
      <c r="E28" s="52"/>
      <c r="F28" s="52">
        <f t="shared" ref="F28:H28" si="18">F13-F21-F20</f>
        <v>7050</v>
      </c>
      <c r="G28" s="52">
        <f t="shared" si="18"/>
        <v>7300</v>
      </c>
      <c r="H28" s="52">
        <f t="shared" si="18"/>
        <v>7300</v>
      </c>
      <c r="I28" s="52"/>
      <c r="J28" s="52"/>
      <c r="K28" s="52"/>
      <c r="L28" s="52"/>
      <c r="M28" s="52"/>
      <c r="N28" s="52"/>
      <c r="O28" s="52"/>
      <c r="P28" s="52"/>
      <c r="Q28" s="53">
        <f t="shared" si="19"/>
        <v>45800</v>
      </c>
    </row>
    <row r="29" hidden="1">
      <c r="A29" s="47" t="s">
        <v>13</v>
      </c>
      <c r="B29" s="51">
        <f t="shared" ref="B29:D29" si="20">B14-B22</f>
        <v>8500</v>
      </c>
      <c r="C29" s="52">
        <f t="shared" si="20"/>
        <v>7250</v>
      </c>
      <c r="D29" s="52">
        <f t="shared" si="20"/>
        <v>6050</v>
      </c>
      <c r="E29" s="52"/>
      <c r="F29" s="52">
        <f t="shared" ref="F29:H29" si="21">F14-F22</f>
        <v>7050</v>
      </c>
      <c r="G29" s="52">
        <f t="shared" si="21"/>
        <v>5800</v>
      </c>
      <c r="H29" s="52">
        <f t="shared" si="21"/>
        <v>5800</v>
      </c>
      <c r="I29" s="52"/>
      <c r="J29" s="52"/>
      <c r="K29" s="52"/>
      <c r="L29" s="52"/>
      <c r="M29" s="52"/>
      <c r="N29" s="52"/>
      <c r="O29" s="52"/>
      <c r="P29" s="52"/>
      <c r="Q29" s="53">
        <f t="shared" si="19"/>
        <v>40450</v>
      </c>
    </row>
    <row r="30" hidden="1">
      <c r="A30" s="47" t="s">
        <v>25</v>
      </c>
      <c r="B30" s="51">
        <f t="shared" ref="B30:D30" si="22">B15-B23</f>
        <v>8500</v>
      </c>
      <c r="C30" s="52">
        <f t="shared" si="22"/>
        <v>7250</v>
      </c>
      <c r="D30" s="52">
        <f t="shared" si="22"/>
        <v>6050</v>
      </c>
      <c r="E30" s="52"/>
      <c r="F30" s="52">
        <f>F16</f>
        <v>6050</v>
      </c>
      <c r="G30" s="52">
        <f t="shared" ref="G30:H30" si="23">G15-G23</f>
        <v>5800</v>
      </c>
      <c r="H30" s="52">
        <f t="shared" si="23"/>
        <v>8700</v>
      </c>
      <c r="I30" s="52"/>
      <c r="J30" s="52"/>
      <c r="K30" s="52"/>
      <c r="L30" s="52"/>
      <c r="M30" s="52"/>
      <c r="N30" s="52"/>
      <c r="O30" s="52"/>
      <c r="P30" s="52"/>
      <c r="Q30" s="53">
        <f>SUM(B30:H30)</f>
        <v>42350</v>
      </c>
    </row>
    <row r="31" hidden="1">
      <c r="A31" s="47" t="s">
        <v>19</v>
      </c>
      <c r="B31" s="54">
        <v>8500.0</v>
      </c>
      <c r="C31" s="52">
        <f t="shared" ref="C31:D31" si="24">C16-C24</f>
        <v>7250</v>
      </c>
      <c r="D31" s="52">
        <f t="shared" si="24"/>
        <v>6050</v>
      </c>
      <c r="E31" s="52"/>
      <c r="F31" s="52">
        <f t="shared" ref="F31:H31" si="25">F16-F24</f>
        <v>4330</v>
      </c>
      <c r="G31" s="52">
        <f t="shared" si="25"/>
        <v>5800</v>
      </c>
      <c r="H31" s="52">
        <f t="shared" si="25"/>
        <v>8700</v>
      </c>
      <c r="I31" s="52"/>
      <c r="J31" s="52"/>
      <c r="K31" s="52"/>
      <c r="L31" s="52"/>
      <c r="M31" s="52"/>
      <c r="N31" s="52"/>
      <c r="O31" s="52"/>
      <c r="P31" s="52"/>
      <c r="Q31" s="52"/>
    </row>
    <row r="32" hidden="1"/>
    <row r="33" hidden="1"/>
    <row r="34" hidden="1">
      <c r="A34" s="1" t="s">
        <v>0</v>
      </c>
      <c r="B34" s="2" t="s">
        <v>1</v>
      </c>
      <c r="C34" s="3" t="s">
        <v>2</v>
      </c>
      <c r="D34" s="3" t="s">
        <v>3</v>
      </c>
      <c r="E34" s="3"/>
      <c r="F34" s="3" t="s">
        <v>4</v>
      </c>
      <c r="G34" s="3" t="s">
        <v>5</v>
      </c>
      <c r="H34" s="3" t="s">
        <v>6</v>
      </c>
      <c r="I34" s="4" t="s">
        <v>7</v>
      </c>
      <c r="J34" s="4" t="s">
        <v>8</v>
      </c>
      <c r="K34" s="4"/>
      <c r="L34" s="4"/>
      <c r="M34" s="4"/>
      <c r="N34" s="4"/>
      <c r="O34" s="4"/>
      <c r="P34" s="4"/>
      <c r="Q34" s="1" t="s">
        <v>0</v>
      </c>
    </row>
    <row r="35" hidden="1">
      <c r="A35" s="6" t="s">
        <v>26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8"/>
    </row>
    <row r="36" hidden="1">
      <c r="A36" s="55" t="s">
        <v>27</v>
      </c>
      <c r="B36" s="10">
        <v>8500.0</v>
      </c>
      <c r="C36" s="10">
        <v>7250.0</v>
      </c>
      <c r="D36" s="56">
        <v>6050.0</v>
      </c>
      <c r="E36" s="10"/>
      <c r="F36" s="10">
        <v>6050.0</v>
      </c>
      <c r="G36" s="10">
        <f>5800+2900</f>
        <v>8700</v>
      </c>
      <c r="H36" s="56">
        <v>6050.0</v>
      </c>
      <c r="I36" s="11">
        <v>0.0</v>
      </c>
      <c r="J36" s="12"/>
      <c r="K36" s="12"/>
      <c r="L36" s="12"/>
      <c r="M36" s="12"/>
      <c r="N36" s="12"/>
      <c r="O36" s="12"/>
      <c r="P36" s="12"/>
      <c r="Q36" s="13">
        <f>SUM(B36:J36)</f>
        <v>42600</v>
      </c>
    </row>
    <row r="37" hidden="1">
      <c r="A37" s="15" t="s">
        <v>28</v>
      </c>
      <c r="B37" s="10">
        <v>8500.0</v>
      </c>
      <c r="C37" s="10">
        <v>7250.0</v>
      </c>
      <c r="D37" s="56">
        <v>6050.0</v>
      </c>
      <c r="E37" s="10"/>
      <c r="F37" s="10">
        <v>6050.0</v>
      </c>
      <c r="G37" s="10">
        <v>6050.0</v>
      </c>
      <c r="H37" s="10">
        <v>6050.0</v>
      </c>
      <c r="I37" s="11">
        <v>0.0</v>
      </c>
      <c r="J37" s="12"/>
      <c r="K37" s="12"/>
      <c r="L37" s="12"/>
      <c r="M37" s="12"/>
      <c r="N37" s="12"/>
      <c r="O37" s="12"/>
      <c r="P37" s="12"/>
      <c r="Q37" s="13">
        <f t="shared" ref="Q37:Q40" si="26">SUM(B37:I37)</f>
        <v>39950</v>
      </c>
    </row>
    <row r="38" hidden="1">
      <c r="A38" s="15" t="s">
        <v>29</v>
      </c>
      <c r="B38" s="10">
        <v>8500.0</v>
      </c>
      <c r="C38" s="10">
        <v>7250.0</v>
      </c>
      <c r="D38" s="10">
        <v>6050.0</v>
      </c>
      <c r="E38" s="10"/>
      <c r="F38" s="10">
        <v>6050.0</v>
      </c>
      <c r="G38" s="10">
        <v>6050.0</v>
      </c>
      <c r="H38" s="10">
        <v>6050.0</v>
      </c>
      <c r="I38" s="11">
        <v>0.0</v>
      </c>
      <c r="J38" s="12"/>
      <c r="K38" s="12"/>
      <c r="L38" s="12"/>
      <c r="M38" s="12"/>
      <c r="N38" s="12"/>
      <c r="O38" s="12"/>
      <c r="P38" s="12"/>
      <c r="Q38" s="13">
        <f t="shared" si="26"/>
        <v>39950</v>
      </c>
    </row>
    <row r="39" hidden="1">
      <c r="A39" s="15" t="s">
        <v>30</v>
      </c>
      <c r="B39" s="16">
        <v>8500.0</v>
      </c>
      <c r="C39" s="16">
        <v>7250.0</v>
      </c>
      <c r="D39" s="16">
        <v>6050.0</v>
      </c>
      <c r="E39" s="16"/>
      <c r="F39" s="16">
        <v>6050.0</v>
      </c>
      <c r="G39" s="16">
        <v>6050.0</v>
      </c>
      <c r="H39" s="16">
        <v>6050.0</v>
      </c>
      <c r="I39" s="17">
        <v>0.0</v>
      </c>
      <c r="J39" s="18"/>
      <c r="K39" s="18"/>
      <c r="L39" s="18"/>
      <c r="M39" s="18"/>
      <c r="N39" s="18"/>
      <c r="O39" s="18"/>
      <c r="P39" s="18"/>
      <c r="Q39" s="19">
        <f t="shared" si="26"/>
        <v>39950</v>
      </c>
    </row>
    <row r="40" hidden="1">
      <c r="A40" s="15"/>
      <c r="B40" s="16"/>
      <c r="C40" s="16"/>
      <c r="D40" s="16"/>
      <c r="E40" s="16"/>
      <c r="F40" s="16"/>
      <c r="G40" s="16"/>
      <c r="H40" s="16"/>
      <c r="I40" s="17">
        <v>0.0</v>
      </c>
      <c r="J40" s="18"/>
      <c r="K40" s="18"/>
      <c r="L40" s="18"/>
      <c r="M40" s="18"/>
      <c r="N40" s="18"/>
      <c r="O40" s="18"/>
      <c r="P40" s="18"/>
      <c r="Q40" s="19">
        <f t="shared" si="26"/>
        <v>0</v>
      </c>
    </row>
    <row r="41" hidden="1">
      <c r="A41" s="20" t="s">
        <v>15</v>
      </c>
      <c r="B41" s="21">
        <f t="shared" ref="B41:D41" si="27">SUM(B36:B39)</f>
        <v>34000</v>
      </c>
      <c r="C41" s="21">
        <f t="shared" si="27"/>
        <v>29000</v>
      </c>
      <c r="D41" s="21">
        <f t="shared" si="27"/>
        <v>24200</v>
      </c>
      <c r="E41" s="21"/>
      <c r="F41" s="21">
        <f t="shared" ref="F41:I41" si="28">SUM(F36:F39)</f>
        <v>24200</v>
      </c>
      <c r="G41" s="21">
        <f t="shared" si="28"/>
        <v>26850</v>
      </c>
      <c r="H41" s="21">
        <f t="shared" si="28"/>
        <v>24200</v>
      </c>
      <c r="I41" s="21">
        <f t="shared" si="28"/>
        <v>0</v>
      </c>
      <c r="J41" s="20" t="s">
        <v>15</v>
      </c>
      <c r="K41" s="20"/>
      <c r="L41" s="20"/>
      <c r="M41" s="20"/>
      <c r="N41" s="20"/>
      <c r="O41" s="20"/>
      <c r="P41" s="20"/>
      <c r="Q41" s="21">
        <f t="shared" ref="Q41:X41" si="29">SUM(Q36:Q39)</f>
        <v>162450</v>
      </c>
      <c r="R41" s="21">
        <f t="shared" si="29"/>
        <v>0</v>
      </c>
      <c r="S41" s="21">
        <f t="shared" si="29"/>
        <v>0</v>
      </c>
      <c r="T41" s="21">
        <f t="shared" si="29"/>
        <v>0</v>
      </c>
      <c r="U41" s="21">
        <f t="shared" si="29"/>
        <v>0</v>
      </c>
      <c r="V41" s="21">
        <f t="shared" si="29"/>
        <v>0</v>
      </c>
      <c r="W41" s="21">
        <f t="shared" si="29"/>
        <v>0</v>
      </c>
      <c r="X41" s="21">
        <f t="shared" si="29"/>
        <v>0</v>
      </c>
    </row>
    <row r="42" hidden="1">
      <c r="A42" s="23" t="s">
        <v>16</v>
      </c>
      <c r="B42" s="24">
        <v>12000.0</v>
      </c>
      <c r="C42" s="24">
        <v>10800.0</v>
      </c>
      <c r="D42" s="24">
        <v>10300.0</v>
      </c>
      <c r="E42" s="24"/>
      <c r="F42" s="24">
        <v>10500.0</v>
      </c>
      <c r="G42" s="24">
        <v>12000.0</v>
      </c>
      <c r="H42" s="24">
        <v>12000.0</v>
      </c>
      <c r="I42" s="24"/>
      <c r="J42" s="21"/>
      <c r="K42" s="21"/>
      <c r="L42" s="21"/>
      <c r="M42" s="21"/>
      <c r="N42" s="21"/>
      <c r="O42" s="21"/>
      <c r="P42" s="21"/>
      <c r="Q42" s="22">
        <f>SUM(Q36:Q39)</f>
        <v>162450</v>
      </c>
    </row>
    <row r="43" hidden="1">
      <c r="A43" s="57" t="s">
        <v>17</v>
      </c>
      <c r="B43" s="58">
        <f t="shared" ref="B43:D43" si="30">B41-(B42)</f>
        <v>22000</v>
      </c>
      <c r="C43" s="58">
        <f t="shared" si="30"/>
        <v>18200</v>
      </c>
      <c r="D43" s="58">
        <f t="shared" si="30"/>
        <v>13900</v>
      </c>
      <c r="E43" s="58"/>
      <c r="F43" s="58">
        <f t="shared" ref="F43:H43" si="31">F41-(F42)</f>
        <v>13700</v>
      </c>
      <c r="G43" s="58">
        <f t="shared" si="31"/>
        <v>14850</v>
      </c>
      <c r="H43" s="58">
        <f t="shared" si="31"/>
        <v>12200</v>
      </c>
      <c r="I43" s="58">
        <f>I40-(I42)</f>
        <v>0</v>
      </c>
      <c r="J43" s="25"/>
      <c r="K43" s="25"/>
      <c r="L43" s="25"/>
      <c r="M43" s="25"/>
      <c r="N43" s="25"/>
      <c r="O43" s="25"/>
      <c r="P43" s="25"/>
      <c r="Q43" s="26">
        <f t="shared" ref="Q43:Q45" si="32">SUM(B43:J43)</f>
        <v>94850</v>
      </c>
    </row>
    <row r="44" hidden="1">
      <c r="A44" s="27"/>
      <c r="B44" s="28"/>
      <c r="C44" s="28"/>
      <c r="D44" s="28"/>
      <c r="E44" s="28"/>
      <c r="F44" s="28"/>
      <c r="G44" s="28"/>
      <c r="H44" s="28"/>
      <c r="I44" s="28"/>
      <c r="J44" s="28"/>
      <c r="K44" s="29"/>
      <c r="L44" s="29"/>
      <c r="M44" s="29"/>
      <c r="N44" s="29"/>
      <c r="O44" s="29"/>
      <c r="P44" s="29"/>
      <c r="Q44" s="30">
        <f t="shared" si="32"/>
        <v>0</v>
      </c>
    </row>
    <row r="45" hidden="1">
      <c r="A45" s="23"/>
      <c r="B45" s="24"/>
      <c r="C45" s="24"/>
      <c r="D45" s="24"/>
      <c r="E45" s="24"/>
      <c r="F45" s="24"/>
      <c r="G45" s="24"/>
      <c r="H45" s="24"/>
      <c r="I45" s="24"/>
      <c r="J45" s="24"/>
      <c r="K45" s="25"/>
      <c r="L45" s="25"/>
      <c r="M45" s="25"/>
      <c r="N45" s="25"/>
      <c r="O45" s="25"/>
      <c r="P45" s="25"/>
      <c r="Q45" s="26">
        <f t="shared" si="32"/>
        <v>0</v>
      </c>
    </row>
    <row r="46" hidden="1">
      <c r="A46" s="37"/>
      <c r="B46" s="38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</row>
    <row r="47" hidden="1">
      <c r="A47" s="39" t="s">
        <v>22</v>
      </c>
      <c r="B47" s="40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</row>
    <row r="48" hidden="1">
      <c r="A48" s="59" t="s">
        <v>27</v>
      </c>
      <c r="B48" s="43"/>
      <c r="C48" s="44"/>
      <c r="D48" s="44"/>
      <c r="E48" s="45"/>
      <c r="F48" s="45">
        <v>200.0</v>
      </c>
      <c r="G48" s="44"/>
      <c r="H48" s="45"/>
      <c r="I48" s="44"/>
      <c r="J48" s="44"/>
      <c r="K48" s="44"/>
      <c r="L48" s="44"/>
      <c r="M48" s="44"/>
      <c r="N48" s="44"/>
      <c r="O48" s="44"/>
      <c r="P48" s="44"/>
      <c r="Q48" s="44"/>
    </row>
    <row r="49" hidden="1">
      <c r="A49" s="60" t="s">
        <v>28</v>
      </c>
      <c r="B49" s="46"/>
      <c r="C49" s="45"/>
      <c r="D49" s="45"/>
      <c r="E49" s="45"/>
      <c r="F49" s="45"/>
      <c r="G49" s="45">
        <v>1000.0</v>
      </c>
      <c r="H49" s="44"/>
      <c r="I49" s="44"/>
      <c r="J49" s="44"/>
      <c r="K49" s="44"/>
      <c r="L49" s="44"/>
      <c r="M49" s="44"/>
      <c r="N49" s="44"/>
      <c r="O49" s="44"/>
      <c r="P49" s="44"/>
      <c r="Q49" s="44"/>
    </row>
    <row r="50" hidden="1">
      <c r="A50" s="60" t="s">
        <v>29</v>
      </c>
      <c r="B50" s="43"/>
      <c r="C50" s="44"/>
      <c r="D50" s="44"/>
      <c r="E50" s="45"/>
      <c r="F50" s="45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</row>
    <row r="51" hidden="1">
      <c r="A51" s="60" t="s">
        <v>30</v>
      </c>
      <c r="B51" s="46"/>
      <c r="C51" s="45"/>
      <c r="D51" s="44"/>
      <c r="E51" s="45"/>
      <c r="F51" s="45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</row>
    <row r="52" hidden="1">
      <c r="A52" s="39"/>
      <c r="B52" s="46"/>
      <c r="C52" s="44"/>
      <c r="D52" s="44"/>
      <c r="E52" s="45"/>
      <c r="F52" s="45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</row>
    <row r="53" hidden="1">
      <c r="A53" s="37"/>
      <c r="B53" s="38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</row>
    <row r="54" hidden="1">
      <c r="A54" s="47" t="s">
        <v>23</v>
      </c>
      <c r="B54" s="48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7" t="s">
        <v>24</v>
      </c>
    </row>
    <row r="55" hidden="1">
      <c r="A55" s="61" t="s">
        <v>27</v>
      </c>
      <c r="B55" s="51">
        <f>B36-B49</f>
        <v>8500</v>
      </c>
      <c r="C55" s="52">
        <f>C36-C48</f>
        <v>7250</v>
      </c>
      <c r="D55" s="62"/>
      <c r="E55" s="52"/>
      <c r="F55" s="52">
        <f t="shared" ref="F55:G55" si="33">F36-F48</f>
        <v>5850</v>
      </c>
      <c r="G55" s="52">
        <f t="shared" si="33"/>
        <v>8700</v>
      </c>
      <c r="H55" s="62">
        <v>5800.0</v>
      </c>
      <c r="I55" s="52"/>
      <c r="J55" s="52"/>
      <c r="K55" s="52"/>
      <c r="L55" s="52"/>
      <c r="M55" s="52"/>
      <c r="N55" s="52"/>
      <c r="O55" s="52"/>
      <c r="P55" s="52"/>
      <c r="Q55" s="53">
        <f t="shared" ref="Q55:Q57" si="34">SUM(B55:J55)</f>
        <v>36100</v>
      </c>
    </row>
    <row r="56" hidden="1">
      <c r="A56" s="63" t="s">
        <v>28</v>
      </c>
      <c r="B56" s="51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3">
        <f t="shared" si="34"/>
        <v>0</v>
      </c>
    </row>
    <row r="57" hidden="1">
      <c r="A57" s="63" t="s">
        <v>29</v>
      </c>
      <c r="B57" s="51">
        <f>(B43-B55)/2</f>
        <v>6750</v>
      </c>
      <c r="C57" s="52"/>
      <c r="D57" s="52">
        <f>(D41-12100-D42)</f>
        <v>1800</v>
      </c>
      <c r="E57" s="52"/>
      <c r="F57" s="52">
        <f>(F43-F55-200)/2</f>
        <v>3825</v>
      </c>
      <c r="G57" s="52">
        <f>(11700-5800)/2-G49</f>
        <v>1950</v>
      </c>
      <c r="H57" s="52">
        <f>(H43-H55)/2</f>
        <v>3200</v>
      </c>
      <c r="I57" s="52"/>
      <c r="J57" s="52"/>
      <c r="K57" s="52"/>
      <c r="L57" s="52"/>
      <c r="M57" s="52"/>
      <c r="N57" s="52"/>
      <c r="O57" s="52"/>
      <c r="P57" s="52"/>
      <c r="Q57" s="53">
        <f t="shared" si="34"/>
        <v>17525</v>
      </c>
    </row>
    <row r="58" hidden="1">
      <c r="A58" s="63" t="s">
        <v>30</v>
      </c>
      <c r="B58" s="51">
        <f>(B43-B55)/2</f>
        <v>6750</v>
      </c>
      <c r="C58" s="52"/>
      <c r="D58" s="52"/>
      <c r="E58" s="52"/>
      <c r="F58" s="52">
        <f>(F43-F55-200)/2</f>
        <v>3825</v>
      </c>
      <c r="G58" s="52">
        <f>(12200-5800)/2</f>
        <v>3200</v>
      </c>
      <c r="H58" s="52">
        <f>(H43-H55)/2</f>
        <v>3200</v>
      </c>
      <c r="I58" s="52"/>
      <c r="J58" s="52"/>
      <c r="K58" s="52"/>
      <c r="L58" s="52"/>
      <c r="M58" s="52"/>
      <c r="N58" s="52"/>
      <c r="O58" s="52"/>
      <c r="P58" s="52"/>
      <c r="Q58" s="53">
        <f>SUM(B58:H58)</f>
        <v>16975</v>
      </c>
    </row>
    <row r="59" hidden="1">
      <c r="A59" s="47"/>
      <c r="B59" s="54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</row>
    <row r="60" hidden="1"/>
    <row r="61" hidden="1">
      <c r="A61" s="1" t="s">
        <v>0</v>
      </c>
      <c r="B61" s="2" t="s">
        <v>1</v>
      </c>
      <c r="C61" s="3" t="s">
        <v>2</v>
      </c>
      <c r="D61" s="3" t="s">
        <v>3</v>
      </c>
      <c r="E61" s="3"/>
      <c r="F61" s="3" t="s">
        <v>4</v>
      </c>
      <c r="G61" s="3" t="s">
        <v>5</v>
      </c>
      <c r="H61" s="3" t="s">
        <v>6</v>
      </c>
      <c r="I61" s="4" t="s">
        <v>7</v>
      </c>
      <c r="J61" s="4" t="s">
        <v>8</v>
      </c>
      <c r="K61" s="4"/>
      <c r="L61" s="4"/>
      <c r="M61" s="4"/>
      <c r="N61" s="4"/>
      <c r="O61" s="4"/>
      <c r="P61" s="4"/>
      <c r="Q61" s="1" t="s">
        <v>0</v>
      </c>
    </row>
    <row r="62" hidden="1">
      <c r="A62" s="6" t="s">
        <v>31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8"/>
    </row>
    <row r="63" hidden="1">
      <c r="A63" s="55" t="s">
        <v>32</v>
      </c>
      <c r="B63" s="10">
        <v>9500.0</v>
      </c>
      <c r="C63" s="10">
        <v>7750.0</v>
      </c>
      <c r="D63" s="10">
        <v>7500.0</v>
      </c>
      <c r="E63" s="10"/>
      <c r="F63" s="10">
        <v>7500.0</v>
      </c>
      <c r="G63" s="10">
        <v>7000.0</v>
      </c>
      <c r="H63" s="10">
        <v>7000.0</v>
      </c>
      <c r="I63" s="11">
        <v>0.0</v>
      </c>
      <c r="J63" s="12"/>
      <c r="K63" s="12"/>
      <c r="L63" s="12"/>
      <c r="M63" s="12"/>
      <c r="N63" s="12"/>
      <c r="O63" s="12"/>
      <c r="P63" s="12"/>
      <c r="Q63" s="13">
        <f>SUM(B63:J63)</f>
        <v>46250</v>
      </c>
    </row>
    <row r="64" hidden="1">
      <c r="A64" s="15">
        <v>70.0</v>
      </c>
      <c r="B64" s="10">
        <v>9500.0</v>
      </c>
      <c r="C64" s="10">
        <v>7750.0</v>
      </c>
      <c r="D64" s="10">
        <v>7500.0</v>
      </c>
      <c r="E64" s="10"/>
      <c r="F64" s="10">
        <v>7500.0</v>
      </c>
      <c r="G64" s="10">
        <v>7000.0</v>
      </c>
      <c r="H64" s="10">
        <v>7000.0</v>
      </c>
      <c r="I64" s="11">
        <v>0.0</v>
      </c>
      <c r="J64" s="12"/>
      <c r="K64" s="12"/>
      <c r="L64" s="12"/>
      <c r="M64" s="12"/>
      <c r="N64" s="12"/>
      <c r="O64" s="12"/>
      <c r="P64" s="12"/>
      <c r="Q64" s="13">
        <f t="shared" ref="Q64:Q67" si="35">SUM(B64:I64)</f>
        <v>46250</v>
      </c>
    </row>
    <row r="65" hidden="1">
      <c r="A65" s="15" t="s">
        <v>29</v>
      </c>
      <c r="B65" s="10">
        <v>9500.0</v>
      </c>
      <c r="C65" s="10">
        <v>7750.0</v>
      </c>
      <c r="D65" s="10">
        <v>7500.0</v>
      </c>
      <c r="E65" s="10"/>
      <c r="F65" s="10">
        <v>7500.0</v>
      </c>
      <c r="G65" s="10">
        <v>7000.0</v>
      </c>
      <c r="H65" s="10">
        <v>7000.0</v>
      </c>
      <c r="I65" s="11">
        <v>0.0</v>
      </c>
      <c r="J65" s="12"/>
      <c r="K65" s="12"/>
      <c r="L65" s="12"/>
      <c r="M65" s="12"/>
      <c r="N65" s="12"/>
      <c r="O65" s="12"/>
      <c r="P65" s="12"/>
      <c r="Q65" s="13">
        <f t="shared" si="35"/>
        <v>46250</v>
      </c>
    </row>
    <row r="66" hidden="1">
      <c r="A66" s="15" t="s">
        <v>30</v>
      </c>
      <c r="B66" s="16">
        <v>9500.0</v>
      </c>
      <c r="C66" s="16">
        <v>7750.0</v>
      </c>
      <c r="D66" s="16">
        <v>7500.0</v>
      </c>
      <c r="E66" s="16"/>
      <c r="F66" s="16">
        <v>7500.0</v>
      </c>
      <c r="G66" s="16">
        <v>7000.0</v>
      </c>
      <c r="H66" s="16">
        <v>7000.0</v>
      </c>
      <c r="I66" s="17">
        <v>0.0</v>
      </c>
      <c r="J66" s="18"/>
      <c r="K66" s="18"/>
      <c r="L66" s="18"/>
      <c r="M66" s="18"/>
      <c r="N66" s="18"/>
      <c r="O66" s="18"/>
      <c r="P66" s="18"/>
      <c r="Q66" s="19">
        <f t="shared" si="35"/>
        <v>46250</v>
      </c>
    </row>
    <row r="67" hidden="1">
      <c r="A67" s="15"/>
      <c r="B67" s="16"/>
      <c r="C67" s="16"/>
      <c r="D67" s="16"/>
      <c r="E67" s="16"/>
      <c r="F67" s="16"/>
      <c r="G67" s="16"/>
      <c r="H67" s="16"/>
      <c r="I67" s="17">
        <v>0.0</v>
      </c>
      <c r="J67" s="18"/>
      <c r="K67" s="18"/>
      <c r="L67" s="18"/>
      <c r="M67" s="18"/>
      <c r="N67" s="18"/>
      <c r="O67" s="18"/>
      <c r="P67" s="18"/>
      <c r="Q67" s="19">
        <f t="shared" si="35"/>
        <v>0</v>
      </c>
    </row>
    <row r="68" hidden="1">
      <c r="A68" s="20" t="s">
        <v>15</v>
      </c>
      <c r="B68" s="21">
        <f t="shared" ref="B68:D68" si="36">SUM(B63:B66)</f>
        <v>38000</v>
      </c>
      <c r="C68" s="21">
        <f t="shared" si="36"/>
        <v>31000</v>
      </c>
      <c r="D68" s="21">
        <f t="shared" si="36"/>
        <v>30000</v>
      </c>
      <c r="E68" s="21"/>
      <c r="F68" s="21">
        <f t="shared" ref="F68:I68" si="37">SUM(F63:F66)</f>
        <v>30000</v>
      </c>
      <c r="G68" s="21">
        <f t="shared" si="37"/>
        <v>28000</v>
      </c>
      <c r="H68" s="21">
        <f t="shared" si="37"/>
        <v>28000</v>
      </c>
      <c r="I68" s="21">
        <f t="shared" si="37"/>
        <v>0</v>
      </c>
      <c r="J68" s="20" t="s">
        <v>15</v>
      </c>
      <c r="K68" s="20"/>
      <c r="L68" s="20"/>
      <c r="M68" s="20"/>
      <c r="N68" s="20"/>
      <c r="O68" s="20"/>
      <c r="P68" s="20"/>
      <c r="Q68" s="21">
        <f>SUM(Q63:Q66)</f>
        <v>185000</v>
      </c>
    </row>
    <row r="69" hidden="1">
      <c r="A69" s="23" t="s">
        <v>16</v>
      </c>
      <c r="B69" s="24">
        <v>10800.0</v>
      </c>
      <c r="C69" s="24">
        <v>9770.0</v>
      </c>
      <c r="D69" s="24">
        <v>9400.0</v>
      </c>
      <c r="E69" s="24"/>
      <c r="F69" s="24">
        <v>9400.0</v>
      </c>
      <c r="G69" s="24">
        <v>10800.0</v>
      </c>
      <c r="H69" s="24">
        <v>10800.0</v>
      </c>
      <c r="I69" s="24"/>
      <c r="J69" s="21"/>
      <c r="K69" s="21"/>
      <c r="L69" s="21"/>
      <c r="M69" s="21"/>
      <c r="N69" s="21"/>
      <c r="O69" s="21"/>
      <c r="P69" s="21"/>
      <c r="Q69" s="22"/>
    </row>
    <row r="70" hidden="1">
      <c r="A70" s="57" t="s">
        <v>17</v>
      </c>
      <c r="B70" s="58">
        <f t="shared" ref="B70:D70" si="38">B68-(B69)</f>
        <v>27200</v>
      </c>
      <c r="C70" s="58">
        <f t="shared" si="38"/>
        <v>21230</v>
      </c>
      <c r="D70" s="58">
        <f t="shared" si="38"/>
        <v>20600</v>
      </c>
      <c r="E70" s="58"/>
      <c r="F70" s="58">
        <f t="shared" ref="F70:H70" si="39">F68-(F69)</f>
        <v>20600</v>
      </c>
      <c r="G70" s="58">
        <f t="shared" si="39"/>
        <v>17200</v>
      </c>
      <c r="H70" s="58">
        <f t="shared" si="39"/>
        <v>17200</v>
      </c>
      <c r="I70" s="58">
        <f>I67-(I69)</f>
        <v>0</v>
      </c>
      <c r="J70" s="25"/>
      <c r="K70" s="25"/>
      <c r="L70" s="25"/>
      <c r="M70" s="25"/>
      <c r="N70" s="25"/>
      <c r="O70" s="25"/>
      <c r="P70" s="25"/>
      <c r="Q70" s="26">
        <f t="shared" ref="Q70:Q72" si="40">SUM(B70:J70)</f>
        <v>124030</v>
      </c>
    </row>
    <row r="71" hidden="1">
      <c r="A71" s="27" t="s">
        <v>33</v>
      </c>
      <c r="B71" s="28"/>
      <c r="C71" s="28">
        <v>1000.0</v>
      </c>
      <c r="D71" s="28">
        <v>1000.0</v>
      </c>
      <c r="E71" s="28"/>
      <c r="F71" s="28">
        <v>1000.0</v>
      </c>
      <c r="G71" s="28">
        <v>1000.0</v>
      </c>
      <c r="H71" s="28">
        <v>1000.0</v>
      </c>
      <c r="I71" s="28"/>
      <c r="J71" s="28"/>
      <c r="K71" s="29"/>
      <c r="L71" s="29"/>
      <c r="M71" s="29"/>
      <c r="N71" s="29"/>
      <c r="O71" s="29"/>
      <c r="P71" s="29"/>
      <c r="Q71" s="30">
        <f t="shared" si="40"/>
        <v>5000</v>
      </c>
    </row>
    <row r="72" hidden="1">
      <c r="A72" s="23"/>
      <c r="B72" s="24"/>
      <c r="C72" s="24"/>
      <c r="D72" s="24"/>
      <c r="E72" s="24"/>
      <c r="F72" s="24"/>
      <c r="G72" s="24"/>
      <c r="H72" s="24"/>
      <c r="I72" s="24"/>
      <c r="J72" s="24"/>
      <c r="K72" s="25"/>
      <c r="L72" s="25"/>
      <c r="M72" s="25"/>
      <c r="N72" s="25"/>
      <c r="O72" s="25"/>
      <c r="P72" s="25"/>
      <c r="Q72" s="26">
        <f t="shared" si="40"/>
        <v>0</v>
      </c>
    </row>
    <row r="73" hidden="1">
      <c r="A73" s="37"/>
      <c r="B73" s="38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</row>
    <row r="74" hidden="1">
      <c r="A74" s="39" t="s">
        <v>22</v>
      </c>
      <c r="B74" s="40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</row>
    <row r="75" hidden="1">
      <c r="A75" s="59" t="s">
        <v>32</v>
      </c>
      <c r="B75" s="43">
        <v>2000.0</v>
      </c>
      <c r="C75" s="44"/>
      <c r="D75" s="44"/>
      <c r="E75" s="45"/>
      <c r="F75" s="45"/>
      <c r="G75" s="44"/>
      <c r="H75" s="45"/>
      <c r="I75" s="44"/>
      <c r="J75" s="44"/>
      <c r="K75" s="44"/>
      <c r="L75" s="44"/>
      <c r="M75" s="44"/>
      <c r="N75" s="44"/>
      <c r="O75" s="44"/>
      <c r="P75" s="44"/>
      <c r="Q75" s="44"/>
    </row>
    <row r="76" hidden="1">
      <c r="A76" s="60" t="s">
        <v>28</v>
      </c>
      <c r="B76" s="46"/>
      <c r="C76" s="45"/>
      <c r="D76" s="45"/>
      <c r="E76" s="45"/>
      <c r="F76" s="45"/>
      <c r="G76" s="45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7" hidden="1">
      <c r="A77" s="60" t="s">
        <v>29</v>
      </c>
      <c r="B77" s="43"/>
      <c r="C77" s="44"/>
      <c r="D77" s="44"/>
      <c r="E77" s="45"/>
      <c r="F77" s="45">
        <f>1150+200</f>
        <v>1350</v>
      </c>
      <c r="G77" s="44">
        <f>3230</f>
        <v>3230</v>
      </c>
      <c r="H77" s="44"/>
      <c r="I77" s="44"/>
      <c r="J77" s="44"/>
      <c r="K77" s="44"/>
      <c r="L77" s="44"/>
      <c r="M77" s="44"/>
      <c r="N77" s="44"/>
      <c r="O77" s="44"/>
      <c r="P77" s="44"/>
      <c r="Q77" s="44"/>
    </row>
    <row r="78" hidden="1">
      <c r="A78" s="60" t="s">
        <v>30</v>
      </c>
      <c r="B78" s="46"/>
      <c r="C78" s="45"/>
      <c r="D78" s="44"/>
      <c r="E78" s="45"/>
      <c r="F78" s="45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</row>
    <row r="79" hidden="1">
      <c r="A79" s="39"/>
      <c r="B79" s="46"/>
      <c r="C79" s="44"/>
      <c r="D79" s="44"/>
      <c r="E79" s="45"/>
      <c r="F79" s="45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</row>
    <row r="80" hidden="1">
      <c r="A80" s="37"/>
      <c r="B80" s="38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</row>
    <row r="81" hidden="1">
      <c r="A81" s="47" t="s">
        <v>23</v>
      </c>
      <c r="B81" s="48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7" t="s">
        <v>24</v>
      </c>
    </row>
    <row r="82" hidden="1">
      <c r="A82" s="61" t="s">
        <v>32</v>
      </c>
      <c r="B82" s="51">
        <f t="shared" ref="B82:D82" si="41">(B70/3)-B75</f>
        <v>7066.666667</v>
      </c>
      <c r="C82" s="52">
        <f t="shared" si="41"/>
        <v>7076.666667</v>
      </c>
      <c r="D82" s="62">
        <f t="shared" si="41"/>
        <v>6866.666667</v>
      </c>
      <c r="E82" s="52"/>
      <c r="F82" s="52">
        <f t="shared" ref="F82:H82" si="42">(F70/3)-F75</f>
        <v>6866.666667</v>
      </c>
      <c r="G82" s="52">
        <f t="shared" si="42"/>
        <v>5733.333333</v>
      </c>
      <c r="H82" s="62">
        <f t="shared" si="42"/>
        <v>5733.333333</v>
      </c>
      <c r="I82" s="52"/>
      <c r="J82" s="52"/>
      <c r="K82" s="52"/>
      <c r="L82" s="52"/>
      <c r="M82" s="52"/>
      <c r="N82" s="52"/>
      <c r="O82" s="52"/>
      <c r="P82" s="52"/>
      <c r="Q82" s="52">
        <f>SUM(C82:J82)</f>
        <v>32276.66667</v>
      </c>
    </row>
    <row r="83" hidden="1">
      <c r="A83" s="63" t="s">
        <v>28</v>
      </c>
      <c r="B83" s="51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3">
        <f t="shared" ref="Q83:Q84" si="44">SUM(B83:J83)</f>
        <v>0</v>
      </c>
    </row>
    <row r="84" hidden="1">
      <c r="A84" s="63" t="s">
        <v>29</v>
      </c>
      <c r="B84" s="51">
        <f t="shared" ref="B84:D84" si="43">B70/3</f>
        <v>9066.666667</v>
      </c>
      <c r="C84" s="52">
        <f t="shared" si="43"/>
        <v>7076.666667</v>
      </c>
      <c r="D84" s="52">
        <f t="shared" si="43"/>
        <v>6866.666667</v>
      </c>
      <c r="E84" s="52"/>
      <c r="F84" s="52">
        <f>(F70/3)-F77</f>
        <v>5516.666667</v>
      </c>
      <c r="G84" s="52">
        <f>(G70/3)+G77</f>
        <v>8963.333333</v>
      </c>
      <c r="H84" s="52">
        <f>H70/3</f>
        <v>5733.333333</v>
      </c>
      <c r="I84" s="52"/>
      <c r="J84" s="52"/>
      <c r="K84" s="52"/>
      <c r="L84" s="52"/>
      <c r="M84" s="52"/>
      <c r="N84" s="52"/>
      <c r="O84" s="52"/>
      <c r="P84" s="52"/>
      <c r="Q84" s="53">
        <f t="shared" si="44"/>
        <v>43223.33333</v>
      </c>
    </row>
    <row r="85" hidden="1">
      <c r="A85" s="63" t="s">
        <v>30</v>
      </c>
      <c r="B85" s="51">
        <f t="shared" ref="B85:D85" si="45">B70/3</f>
        <v>9066.666667</v>
      </c>
      <c r="C85" s="52">
        <f t="shared" si="45"/>
        <v>7076.666667</v>
      </c>
      <c r="D85" s="52">
        <f t="shared" si="45"/>
        <v>6866.666667</v>
      </c>
      <c r="E85" s="52"/>
      <c r="F85" s="52">
        <f t="shared" ref="F85:H85" si="46">F70/3</f>
        <v>6866.666667</v>
      </c>
      <c r="G85" s="52">
        <f t="shared" si="46"/>
        <v>5733.333333</v>
      </c>
      <c r="H85" s="52">
        <f t="shared" si="46"/>
        <v>5733.333333</v>
      </c>
      <c r="I85" s="52"/>
      <c r="J85" s="52"/>
      <c r="K85" s="52"/>
      <c r="L85" s="52"/>
      <c r="M85" s="52"/>
      <c r="N85" s="52"/>
      <c r="O85" s="52"/>
      <c r="P85" s="52"/>
      <c r="Q85" s="53">
        <f>SUM(B85:H85)</f>
        <v>41343.33333</v>
      </c>
    </row>
    <row r="86" hidden="1">
      <c r="A86" s="47"/>
      <c r="B86" s="54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</row>
    <row r="87" hidden="1"/>
    <row r="88" hidden="1">
      <c r="A88" s="1" t="s">
        <v>0</v>
      </c>
      <c r="B88" s="2" t="s">
        <v>1</v>
      </c>
      <c r="C88" s="3" t="s">
        <v>2</v>
      </c>
      <c r="D88" s="3" t="s">
        <v>3</v>
      </c>
      <c r="E88" s="3"/>
      <c r="F88" s="3" t="s">
        <v>4</v>
      </c>
      <c r="G88" s="3" t="s">
        <v>5</v>
      </c>
      <c r="H88" s="3" t="s">
        <v>6</v>
      </c>
      <c r="I88" s="4" t="s">
        <v>34</v>
      </c>
      <c r="J88" s="4"/>
      <c r="K88" s="4"/>
      <c r="L88" s="4"/>
      <c r="M88" s="4"/>
      <c r="N88" s="4"/>
      <c r="O88" s="4"/>
      <c r="P88" s="4"/>
      <c r="Q88" s="1" t="s">
        <v>0</v>
      </c>
    </row>
    <row r="89" hidden="1">
      <c r="A89" s="6" t="s">
        <v>35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8"/>
    </row>
    <row r="90" hidden="1">
      <c r="A90" s="55" t="s">
        <v>36</v>
      </c>
      <c r="B90" s="10">
        <v>9500.0</v>
      </c>
      <c r="C90" s="10">
        <v>7750.0</v>
      </c>
      <c r="D90" s="10">
        <v>7500.0</v>
      </c>
      <c r="E90" s="10"/>
      <c r="F90" s="10">
        <v>7500.0</v>
      </c>
      <c r="G90" s="10">
        <v>7000.0</v>
      </c>
      <c r="H90" s="10">
        <v>7000.0</v>
      </c>
      <c r="I90" s="11">
        <v>0.0</v>
      </c>
      <c r="J90" s="12"/>
      <c r="K90" s="12"/>
      <c r="L90" s="12"/>
      <c r="M90" s="12"/>
      <c r="N90" s="12"/>
      <c r="O90" s="12"/>
      <c r="P90" s="12"/>
      <c r="Q90" s="13">
        <f>SUM(B90:J90)</f>
        <v>46250</v>
      </c>
    </row>
    <row r="91" hidden="1">
      <c r="A91" s="14">
        <v>44474.0</v>
      </c>
      <c r="B91" s="10">
        <v>9500.0</v>
      </c>
      <c r="C91" s="10">
        <v>7750.0</v>
      </c>
      <c r="D91" s="10">
        <v>7500.0</v>
      </c>
      <c r="E91" s="10"/>
      <c r="F91" s="10">
        <v>7500.0</v>
      </c>
      <c r="G91" s="10">
        <v>7000.0</v>
      </c>
      <c r="H91" s="10">
        <v>7000.0</v>
      </c>
      <c r="I91" s="11">
        <v>0.0</v>
      </c>
      <c r="J91" s="12"/>
      <c r="K91" s="12"/>
      <c r="L91" s="12"/>
      <c r="M91" s="12"/>
      <c r="N91" s="12"/>
      <c r="O91" s="12"/>
      <c r="P91" s="12"/>
      <c r="Q91" s="13">
        <f t="shared" ref="Q91:Q94" si="47">SUM(B91:I91)</f>
        <v>46250</v>
      </c>
    </row>
    <row r="92" hidden="1">
      <c r="A92" s="15" t="s">
        <v>37</v>
      </c>
      <c r="B92" s="10">
        <v>9500.0</v>
      </c>
      <c r="C92" s="10">
        <v>7750.0</v>
      </c>
      <c r="D92" s="10">
        <v>7500.0</v>
      </c>
      <c r="E92" s="10"/>
      <c r="F92" s="10">
        <v>7500.0</v>
      </c>
      <c r="G92" s="10">
        <v>7000.0</v>
      </c>
      <c r="H92" s="10">
        <v>7000.0</v>
      </c>
      <c r="I92" s="11">
        <v>0.0</v>
      </c>
      <c r="J92" s="12"/>
      <c r="K92" s="12"/>
      <c r="L92" s="12"/>
      <c r="M92" s="12"/>
      <c r="N92" s="12"/>
      <c r="O92" s="12"/>
      <c r="P92" s="12"/>
      <c r="Q92" s="13">
        <f t="shared" si="47"/>
        <v>46250</v>
      </c>
    </row>
    <row r="93" hidden="1">
      <c r="A93" s="15" t="s">
        <v>38</v>
      </c>
      <c r="B93" s="16">
        <v>9500.0</v>
      </c>
      <c r="C93" s="16">
        <v>7750.0</v>
      </c>
      <c r="D93" s="16">
        <v>7500.0</v>
      </c>
      <c r="E93" s="16"/>
      <c r="F93" s="16">
        <v>7500.0</v>
      </c>
      <c r="G93" s="16">
        <v>7000.0</v>
      </c>
      <c r="H93" s="16">
        <v>7000.0</v>
      </c>
      <c r="I93" s="17">
        <v>0.0</v>
      </c>
      <c r="J93" s="18"/>
      <c r="K93" s="18"/>
      <c r="L93" s="18"/>
      <c r="M93" s="18"/>
      <c r="N93" s="18"/>
      <c r="O93" s="18"/>
      <c r="P93" s="18"/>
      <c r="Q93" s="19">
        <f t="shared" si="47"/>
        <v>46250</v>
      </c>
    </row>
    <row r="94" hidden="1">
      <c r="A94" s="15" t="s">
        <v>39</v>
      </c>
      <c r="B94" s="16"/>
      <c r="C94" s="16"/>
      <c r="D94" s="16"/>
      <c r="E94" s="16"/>
      <c r="F94" s="16"/>
      <c r="G94" s="16"/>
      <c r="H94" s="16"/>
      <c r="I94" s="17">
        <v>0.0</v>
      </c>
      <c r="J94" s="18"/>
      <c r="K94" s="18"/>
      <c r="L94" s="18"/>
      <c r="M94" s="18"/>
      <c r="N94" s="18"/>
      <c r="O94" s="18"/>
      <c r="P94" s="18"/>
      <c r="Q94" s="19">
        <f t="shared" si="47"/>
        <v>0</v>
      </c>
    </row>
    <row r="95" hidden="1">
      <c r="A95" s="20" t="s">
        <v>15</v>
      </c>
      <c r="B95" s="21">
        <f t="shared" ref="B95:D95" si="48">SUM(B90:B93)</f>
        <v>38000</v>
      </c>
      <c r="C95" s="21">
        <f t="shared" si="48"/>
        <v>31000</v>
      </c>
      <c r="D95" s="21">
        <f t="shared" si="48"/>
        <v>30000</v>
      </c>
      <c r="E95" s="21"/>
      <c r="F95" s="21">
        <f t="shared" ref="F95:I95" si="49">SUM(F90:F93)</f>
        <v>30000</v>
      </c>
      <c r="G95" s="21">
        <f t="shared" si="49"/>
        <v>28000</v>
      </c>
      <c r="H95" s="21">
        <f t="shared" si="49"/>
        <v>28000</v>
      </c>
      <c r="I95" s="21">
        <f t="shared" si="49"/>
        <v>0</v>
      </c>
      <c r="J95" s="20" t="s">
        <v>15</v>
      </c>
      <c r="K95" s="20"/>
      <c r="L95" s="20"/>
      <c r="M95" s="20"/>
      <c r="N95" s="20"/>
      <c r="O95" s="20"/>
      <c r="P95" s="20"/>
      <c r="Q95" s="21">
        <f>SUM(Q90:Q93)</f>
        <v>185000</v>
      </c>
    </row>
    <row r="96" hidden="1">
      <c r="A96" s="23" t="s">
        <v>16</v>
      </c>
      <c r="B96" s="24">
        <v>10800.0</v>
      </c>
      <c r="C96" s="24">
        <v>9770.0</v>
      </c>
      <c r="D96" s="24">
        <v>9400.0</v>
      </c>
      <c r="E96" s="24"/>
      <c r="F96" s="24">
        <v>9400.0</v>
      </c>
      <c r="G96" s="24">
        <v>10800.0</v>
      </c>
      <c r="H96" s="24">
        <v>10800.0</v>
      </c>
      <c r="I96" s="24"/>
      <c r="J96" s="21"/>
      <c r="K96" s="21"/>
      <c r="L96" s="21"/>
      <c r="M96" s="21"/>
      <c r="N96" s="21"/>
      <c r="O96" s="21"/>
      <c r="P96" s="21"/>
      <c r="Q96" s="22"/>
    </row>
    <row r="97" hidden="1">
      <c r="A97" s="57" t="s">
        <v>17</v>
      </c>
      <c r="B97" s="58">
        <f t="shared" ref="B97:D97" si="50">B95-(B96)</f>
        <v>27200</v>
      </c>
      <c r="C97" s="58">
        <f t="shared" si="50"/>
        <v>21230</v>
      </c>
      <c r="D97" s="58">
        <f t="shared" si="50"/>
        <v>20600</v>
      </c>
      <c r="E97" s="58"/>
      <c r="F97" s="58">
        <f t="shared" ref="F97:H97" si="51">F95-(F96)</f>
        <v>20600</v>
      </c>
      <c r="G97" s="58">
        <f t="shared" si="51"/>
        <v>17200</v>
      </c>
      <c r="H97" s="58">
        <f t="shared" si="51"/>
        <v>17200</v>
      </c>
      <c r="I97" s="58">
        <f>I94-(I96)</f>
        <v>0</v>
      </c>
      <c r="J97" s="25"/>
      <c r="K97" s="25"/>
      <c r="L97" s="25"/>
      <c r="M97" s="25"/>
      <c r="N97" s="25"/>
      <c r="O97" s="25"/>
      <c r="P97" s="25"/>
      <c r="Q97" s="26">
        <f t="shared" ref="Q97:Q100" si="52">SUM(B97:J97)</f>
        <v>124030</v>
      </c>
    </row>
    <row r="98" hidden="1">
      <c r="A98" s="27" t="s">
        <v>40</v>
      </c>
      <c r="B98" s="28"/>
      <c r="C98" s="28">
        <v>600.0</v>
      </c>
      <c r="D98" s="28">
        <v>1800.0</v>
      </c>
      <c r="E98" s="28"/>
      <c r="F98" s="28">
        <v>1000.0</v>
      </c>
      <c r="G98" s="28"/>
      <c r="H98" s="28">
        <f>600*6</f>
        <v>3600</v>
      </c>
      <c r="I98" s="28"/>
      <c r="J98" s="28"/>
      <c r="K98" s="29"/>
      <c r="L98" s="29"/>
      <c r="M98" s="29"/>
      <c r="N98" s="29"/>
      <c r="O98" s="29"/>
      <c r="P98" s="29"/>
      <c r="Q98" s="30">
        <f t="shared" si="52"/>
        <v>7000</v>
      </c>
    </row>
    <row r="99" hidden="1">
      <c r="A99" s="23" t="s">
        <v>41</v>
      </c>
      <c r="B99" s="24"/>
      <c r="C99" s="24">
        <v>1000.0</v>
      </c>
      <c r="D99" s="24">
        <v>1000.0</v>
      </c>
      <c r="E99" s="24"/>
      <c r="F99" s="24">
        <v>1000.0</v>
      </c>
      <c r="G99" s="24">
        <v>1000.0</v>
      </c>
      <c r="H99" s="24">
        <v>1000.0</v>
      </c>
      <c r="I99" s="24"/>
      <c r="J99" s="24"/>
      <c r="K99" s="25"/>
      <c r="L99" s="25"/>
      <c r="M99" s="25"/>
      <c r="N99" s="25"/>
      <c r="O99" s="25"/>
      <c r="P99" s="25"/>
      <c r="Q99" s="26">
        <f t="shared" si="52"/>
        <v>5000</v>
      </c>
    </row>
    <row r="100" hidden="1">
      <c r="A100" s="23" t="s">
        <v>42</v>
      </c>
      <c r="B100" s="24">
        <v>1000.0</v>
      </c>
      <c r="C100" s="24">
        <v>1000.0</v>
      </c>
      <c r="D100" s="24">
        <v>1000.0</v>
      </c>
      <c r="E100" s="24"/>
      <c r="F100" s="24">
        <v>1000.0</v>
      </c>
      <c r="G100" s="24">
        <v>1000.0</v>
      </c>
      <c r="H100" s="24">
        <v>1000.0</v>
      </c>
      <c r="I100" s="24">
        <v>1000.0</v>
      </c>
      <c r="J100" s="24"/>
      <c r="K100" s="25"/>
      <c r="L100" s="25"/>
      <c r="M100" s="25"/>
      <c r="N100" s="25"/>
      <c r="O100" s="25"/>
      <c r="P100" s="25"/>
      <c r="Q100" s="26">
        <f t="shared" si="52"/>
        <v>7000</v>
      </c>
    </row>
    <row r="101" hidden="1">
      <c r="A101" s="39" t="s">
        <v>22</v>
      </c>
      <c r="B101" s="40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</row>
    <row r="102" hidden="1">
      <c r="A102" s="59" t="s">
        <v>36</v>
      </c>
      <c r="B102" s="43"/>
      <c r="C102" s="44"/>
      <c r="D102" s="44"/>
      <c r="E102" s="45"/>
      <c r="F102" s="45"/>
      <c r="G102" s="44"/>
      <c r="H102" s="45"/>
      <c r="I102" s="44"/>
      <c r="J102" s="44"/>
      <c r="K102" s="44"/>
      <c r="L102" s="44"/>
      <c r="M102" s="44"/>
      <c r="N102" s="44"/>
      <c r="O102" s="44"/>
      <c r="P102" s="44"/>
      <c r="Q102" s="44"/>
    </row>
    <row r="103" hidden="1">
      <c r="A103" s="64">
        <v>44474.0</v>
      </c>
      <c r="B103" s="46"/>
      <c r="C103" s="45"/>
      <c r="D103" s="45"/>
      <c r="E103" s="45"/>
      <c r="F103" s="45">
        <v>500.0</v>
      </c>
      <c r="G103" s="45"/>
      <c r="H103" s="44"/>
      <c r="I103" s="44"/>
      <c r="J103" s="44"/>
      <c r="K103" s="44"/>
      <c r="L103" s="44"/>
      <c r="M103" s="44"/>
      <c r="N103" s="44"/>
      <c r="O103" s="44"/>
      <c r="P103" s="44"/>
      <c r="Q103" s="44"/>
    </row>
    <row r="104" hidden="1">
      <c r="A104" s="60" t="s">
        <v>37</v>
      </c>
      <c r="B104" s="43"/>
      <c r="C104" s="45">
        <v>1000.0</v>
      </c>
      <c r="D104" s="44"/>
      <c r="E104" s="45"/>
      <c r="F104" s="45">
        <v>300.0</v>
      </c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</row>
    <row r="105" hidden="1">
      <c r="A105" s="60" t="s">
        <v>38</v>
      </c>
      <c r="B105" s="46"/>
      <c r="C105" s="45"/>
      <c r="D105" s="44"/>
      <c r="E105" s="45"/>
      <c r="F105" s="45">
        <v>300.0</v>
      </c>
      <c r="G105" s="44"/>
      <c r="H105" s="45">
        <v>340.0</v>
      </c>
      <c r="I105" s="44"/>
      <c r="J105" s="44"/>
      <c r="K105" s="44"/>
      <c r="L105" s="44"/>
      <c r="M105" s="44"/>
      <c r="N105" s="44"/>
      <c r="O105" s="44"/>
      <c r="P105" s="44"/>
      <c r="Q105" s="44"/>
    </row>
    <row r="106" hidden="1">
      <c r="A106" s="64">
        <v>44222.0</v>
      </c>
      <c r="B106" s="46"/>
      <c r="C106" s="44"/>
      <c r="D106" s="44"/>
      <c r="E106" s="45"/>
      <c r="F106" s="45"/>
      <c r="G106" s="44"/>
      <c r="H106" s="45"/>
      <c r="I106" s="44"/>
      <c r="J106" s="44"/>
      <c r="K106" s="44"/>
      <c r="L106" s="44"/>
      <c r="M106" s="44"/>
      <c r="N106" s="44"/>
      <c r="O106" s="44"/>
      <c r="P106" s="44"/>
      <c r="Q106" s="44"/>
    </row>
    <row r="107" hidden="1">
      <c r="A107" s="37"/>
      <c r="B107" s="38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</row>
    <row r="108" hidden="1">
      <c r="A108" s="47" t="s">
        <v>23</v>
      </c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7" t="s">
        <v>24</v>
      </c>
    </row>
    <row r="109" hidden="1">
      <c r="A109" s="61" t="s">
        <v>36</v>
      </c>
      <c r="B109" s="51">
        <f>(B97/3)-B102</f>
        <v>9066.666667</v>
      </c>
      <c r="C109" s="52">
        <f t="shared" ref="C109:D109" si="53">(C97/3)-C102+C99</f>
        <v>8076.666667</v>
      </c>
      <c r="D109" s="62">
        <f t="shared" si="53"/>
        <v>7866.666667</v>
      </c>
      <c r="E109" s="52"/>
      <c r="F109" s="52">
        <f>(F97/3)-F102+F98+F99</f>
        <v>8866.666667</v>
      </c>
      <c r="G109" s="52">
        <f t="shared" ref="G109:H109" si="54">(G97/3)-G102+G99</f>
        <v>6733.333333</v>
      </c>
      <c r="H109" s="62">
        <f t="shared" si="54"/>
        <v>6733.333333</v>
      </c>
      <c r="I109" s="52"/>
      <c r="J109" s="52"/>
      <c r="K109" s="52"/>
      <c r="L109" s="52"/>
      <c r="M109" s="52"/>
      <c r="N109" s="52"/>
      <c r="O109" s="52"/>
      <c r="P109" s="52"/>
      <c r="Q109" s="53">
        <f t="shared" ref="Q109:Q111" si="56">SUM(B109:J109)</f>
        <v>47343.33333</v>
      </c>
    </row>
    <row r="110" hidden="1">
      <c r="A110" s="65">
        <v>44474.0</v>
      </c>
      <c r="B110" s="51">
        <f t="shared" ref="B110:C110" si="55">B97/3</f>
        <v>9066.666667</v>
      </c>
      <c r="C110" s="52">
        <f t="shared" si="55"/>
        <v>7076.666667</v>
      </c>
      <c r="D110" s="52">
        <f>D97/3+D98</f>
        <v>8666.666667</v>
      </c>
      <c r="E110" s="52"/>
      <c r="F110" s="52">
        <f>(F97/3)-F103</f>
        <v>6366.666667</v>
      </c>
      <c r="G110" s="52">
        <f>(G97/3)+G104</f>
        <v>5733.333333</v>
      </c>
      <c r="H110" s="52">
        <f>H97/3</f>
        <v>5733.333333</v>
      </c>
      <c r="I110" s="52"/>
      <c r="J110" s="52"/>
      <c r="K110" s="52"/>
      <c r="L110" s="52"/>
      <c r="M110" s="52"/>
      <c r="N110" s="52"/>
      <c r="O110" s="52"/>
      <c r="P110" s="52"/>
      <c r="Q110" s="53">
        <f t="shared" si="56"/>
        <v>42643.33333</v>
      </c>
    </row>
    <row r="111" hidden="1">
      <c r="A111" s="63" t="s">
        <v>37</v>
      </c>
      <c r="B111" s="66">
        <f>(B95-B109-B110)/2</f>
        <v>9933.333333</v>
      </c>
      <c r="C111" s="67">
        <f>(C95-7076-7076)/2-C104</f>
        <v>7424</v>
      </c>
      <c r="D111" s="67">
        <f>(D95-6866-6866)/2</f>
        <v>8134</v>
      </c>
      <c r="E111" s="67"/>
      <c r="F111" s="67">
        <f>(F95-6866-6866)/2-F104</f>
        <v>7834</v>
      </c>
      <c r="G111" s="67">
        <f t="shared" ref="G111:H111" si="57">(G95-5733-5733)/2</f>
        <v>8267</v>
      </c>
      <c r="H111" s="67">
        <f t="shared" si="57"/>
        <v>8267</v>
      </c>
      <c r="I111" s="52"/>
      <c r="J111" s="52"/>
      <c r="K111" s="52"/>
      <c r="L111" s="52"/>
      <c r="M111" s="52"/>
      <c r="N111" s="52"/>
      <c r="O111" s="52"/>
      <c r="P111" s="52"/>
      <c r="Q111" s="53">
        <f t="shared" si="56"/>
        <v>49859.33333</v>
      </c>
    </row>
    <row r="112" hidden="1">
      <c r="A112" s="63" t="s">
        <v>38</v>
      </c>
      <c r="B112" s="68">
        <f>B111-B105</f>
        <v>9933.333333</v>
      </c>
      <c r="C112" s="62">
        <f>8424-C105</f>
        <v>8424</v>
      </c>
      <c r="D112" s="52">
        <f>8134-D105</f>
        <v>8134</v>
      </c>
      <c r="E112" s="52"/>
      <c r="F112" s="52">
        <f>8134-F105</f>
        <v>7834</v>
      </c>
      <c r="G112" s="52">
        <f t="shared" ref="G112:H112" si="58">8267-G105</f>
        <v>8267</v>
      </c>
      <c r="H112" s="52">
        <f t="shared" si="58"/>
        <v>7927</v>
      </c>
      <c r="I112" s="52"/>
      <c r="J112" s="52"/>
      <c r="K112" s="52"/>
      <c r="L112" s="52"/>
      <c r="M112" s="52"/>
      <c r="N112" s="52"/>
      <c r="O112" s="52"/>
      <c r="P112" s="52"/>
      <c r="Q112" s="53">
        <f>SUM(B112:H112)</f>
        <v>50519.33333</v>
      </c>
    </row>
    <row r="113" hidden="1">
      <c r="A113" s="65">
        <v>44222.0</v>
      </c>
      <c r="B113" s="54">
        <f>B93+B100</f>
        <v>10500</v>
      </c>
      <c r="C113" s="52">
        <f>C93+C100+C98</f>
        <v>9350</v>
      </c>
      <c r="D113" s="52">
        <f>D93+D100</f>
        <v>8500</v>
      </c>
      <c r="E113" s="52"/>
      <c r="F113" s="52">
        <f>F93</f>
        <v>7500</v>
      </c>
      <c r="G113" s="62" t="s">
        <v>43</v>
      </c>
      <c r="H113" s="52">
        <f>H93+H98+H100</f>
        <v>11600</v>
      </c>
      <c r="I113" s="52">
        <f>(1000*4)+I100</f>
        <v>5000</v>
      </c>
      <c r="J113" s="52"/>
      <c r="K113" s="52"/>
      <c r="L113" s="52"/>
      <c r="M113" s="52"/>
      <c r="N113" s="52"/>
      <c r="O113" s="52"/>
      <c r="P113" s="52"/>
      <c r="Q113" s="53">
        <f>SUM(B113:J113)</f>
        <v>52450</v>
      </c>
    </row>
    <row r="114" hidden="1"/>
    <row r="115" hidden="1"/>
    <row r="116" hidden="1">
      <c r="A116" s="1" t="s">
        <v>0</v>
      </c>
      <c r="B116" s="2" t="s">
        <v>1</v>
      </c>
      <c r="C116" s="3" t="s">
        <v>2</v>
      </c>
      <c r="D116" s="3" t="s">
        <v>3</v>
      </c>
      <c r="E116" s="3"/>
      <c r="F116" s="3" t="s">
        <v>4</v>
      </c>
      <c r="G116" s="3" t="s">
        <v>34</v>
      </c>
      <c r="H116" s="3" t="s">
        <v>6</v>
      </c>
      <c r="I116" s="4"/>
      <c r="J116" s="4"/>
      <c r="K116" s="4"/>
      <c r="L116" s="4"/>
      <c r="M116" s="4"/>
      <c r="N116" s="4"/>
      <c r="O116" s="4"/>
      <c r="P116" s="4"/>
      <c r="Q116" s="1" t="s">
        <v>0</v>
      </c>
    </row>
    <row r="117" hidden="1">
      <c r="A117" s="6" t="s">
        <v>44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8"/>
    </row>
    <row r="118" hidden="1">
      <c r="A118" s="55" t="s">
        <v>45</v>
      </c>
      <c r="B118" s="10">
        <v>9500.0</v>
      </c>
      <c r="C118" s="10">
        <v>7750.0</v>
      </c>
      <c r="D118" s="10">
        <v>7500.0</v>
      </c>
      <c r="E118" s="10"/>
      <c r="F118" s="10">
        <v>7500.0</v>
      </c>
      <c r="G118" s="10">
        <v>7000.0</v>
      </c>
      <c r="H118" s="10">
        <v>7000.0</v>
      </c>
      <c r="I118" s="11">
        <v>0.0</v>
      </c>
      <c r="J118" s="12"/>
      <c r="K118" s="12"/>
      <c r="L118" s="12"/>
      <c r="M118" s="12"/>
      <c r="N118" s="12"/>
      <c r="O118" s="12"/>
      <c r="P118" s="12"/>
      <c r="Q118" s="13">
        <f>SUM(B118:J118)</f>
        <v>46250</v>
      </c>
    </row>
    <row r="119" hidden="1">
      <c r="A119" s="15" t="s">
        <v>46</v>
      </c>
      <c r="B119" s="10">
        <v>9500.0</v>
      </c>
      <c r="C119" s="10">
        <v>7750.0</v>
      </c>
      <c r="D119" s="10">
        <v>7500.0</v>
      </c>
      <c r="E119" s="10"/>
      <c r="F119" s="10">
        <v>7500.0</v>
      </c>
      <c r="G119" s="10">
        <v>7000.0</v>
      </c>
      <c r="H119" s="10">
        <v>7000.0</v>
      </c>
      <c r="I119" s="11">
        <v>0.0</v>
      </c>
      <c r="J119" s="12"/>
      <c r="K119" s="12"/>
      <c r="L119" s="12"/>
      <c r="M119" s="12"/>
      <c r="N119" s="12"/>
      <c r="O119" s="12"/>
      <c r="P119" s="12"/>
      <c r="Q119" s="13">
        <f t="shared" ref="Q119:Q122" si="59">SUM(B119:I119)</f>
        <v>46250</v>
      </c>
    </row>
    <row r="120" hidden="1">
      <c r="A120" s="15" t="s">
        <v>47</v>
      </c>
      <c r="B120" s="10">
        <v>9500.0</v>
      </c>
      <c r="C120" s="10">
        <v>7750.0</v>
      </c>
      <c r="D120" s="10">
        <v>7500.0</v>
      </c>
      <c r="E120" s="10"/>
      <c r="F120" s="10">
        <v>7500.0</v>
      </c>
      <c r="G120" s="10">
        <v>7000.0</v>
      </c>
      <c r="H120" s="10">
        <v>7000.0</v>
      </c>
      <c r="I120" s="11">
        <v>0.0</v>
      </c>
      <c r="J120" s="12"/>
      <c r="K120" s="12"/>
      <c r="L120" s="12"/>
      <c r="M120" s="12"/>
      <c r="N120" s="12"/>
      <c r="O120" s="12"/>
      <c r="P120" s="12"/>
      <c r="Q120" s="13">
        <f t="shared" si="59"/>
        <v>46250</v>
      </c>
    </row>
    <row r="121" hidden="1">
      <c r="A121" s="15" t="s">
        <v>48</v>
      </c>
      <c r="B121" s="16">
        <v>9500.0</v>
      </c>
      <c r="C121" s="16">
        <v>7750.0</v>
      </c>
      <c r="D121" s="16">
        <v>7500.0</v>
      </c>
      <c r="E121" s="16"/>
      <c r="F121" s="16">
        <v>7500.0</v>
      </c>
      <c r="G121" s="16">
        <v>7000.0</v>
      </c>
      <c r="H121" s="16">
        <v>7000.0</v>
      </c>
      <c r="I121" s="17">
        <v>0.0</v>
      </c>
      <c r="J121" s="18"/>
      <c r="K121" s="18"/>
      <c r="L121" s="18"/>
      <c r="M121" s="18"/>
      <c r="N121" s="18"/>
      <c r="O121" s="18"/>
      <c r="P121" s="18"/>
      <c r="Q121" s="19">
        <f t="shared" si="59"/>
        <v>46250</v>
      </c>
    </row>
    <row r="122" hidden="1">
      <c r="A122" s="15"/>
      <c r="B122" s="16"/>
      <c r="C122" s="16"/>
      <c r="D122" s="16"/>
      <c r="E122" s="16"/>
      <c r="F122" s="16"/>
      <c r="G122" s="16"/>
      <c r="H122" s="16"/>
      <c r="I122" s="17">
        <v>0.0</v>
      </c>
      <c r="J122" s="18"/>
      <c r="K122" s="18"/>
      <c r="L122" s="18"/>
      <c r="M122" s="18"/>
      <c r="N122" s="18"/>
      <c r="O122" s="18"/>
      <c r="P122" s="18"/>
      <c r="Q122" s="19">
        <f t="shared" si="59"/>
        <v>0</v>
      </c>
    </row>
    <row r="123" hidden="1">
      <c r="A123" s="20" t="s">
        <v>15</v>
      </c>
      <c r="B123" s="21">
        <v>48800.0</v>
      </c>
      <c r="C123" s="21">
        <f t="shared" ref="C123:D123" si="60">SUM(C118:C121)</f>
        <v>31000</v>
      </c>
      <c r="D123" s="21">
        <f t="shared" si="60"/>
        <v>30000</v>
      </c>
      <c r="E123" s="21"/>
      <c r="F123" s="21">
        <f t="shared" ref="F123:I123" si="61">SUM(F118:F121)</f>
        <v>30000</v>
      </c>
      <c r="G123" s="21">
        <f t="shared" si="61"/>
        <v>28000</v>
      </c>
      <c r="H123" s="21">
        <f t="shared" si="61"/>
        <v>28000</v>
      </c>
      <c r="I123" s="21">
        <f t="shared" si="61"/>
        <v>0</v>
      </c>
      <c r="J123" s="20" t="s">
        <v>15</v>
      </c>
      <c r="K123" s="20"/>
      <c r="L123" s="20"/>
      <c r="M123" s="20"/>
      <c r="N123" s="20"/>
      <c r="O123" s="20"/>
      <c r="P123" s="20"/>
      <c r="Q123" s="21">
        <f>SUM(Q118:Q121)</f>
        <v>185000</v>
      </c>
    </row>
    <row r="124" hidden="1">
      <c r="A124" s="23" t="s">
        <v>16</v>
      </c>
      <c r="B124" s="24">
        <v>10800.0</v>
      </c>
      <c r="C124" s="24">
        <v>9770.0</v>
      </c>
      <c r="D124" s="24">
        <v>9400.0</v>
      </c>
      <c r="E124" s="24"/>
      <c r="F124" s="24">
        <v>9400.0</v>
      </c>
      <c r="G124" s="24">
        <v>10800.0</v>
      </c>
      <c r="H124" s="24">
        <v>10800.0</v>
      </c>
      <c r="I124" s="24"/>
      <c r="J124" s="21"/>
      <c r="K124" s="21"/>
      <c r="L124" s="21"/>
      <c r="M124" s="21"/>
      <c r="N124" s="21"/>
      <c r="O124" s="21"/>
      <c r="P124" s="21"/>
      <c r="Q124" s="22"/>
    </row>
    <row r="125" hidden="1">
      <c r="A125" s="57" t="s">
        <v>17</v>
      </c>
      <c r="B125" s="58">
        <f t="shared" ref="B125:D125" si="62">B123-(B124)</f>
        <v>38000</v>
      </c>
      <c r="C125" s="58">
        <f t="shared" si="62"/>
        <v>21230</v>
      </c>
      <c r="D125" s="58">
        <f t="shared" si="62"/>
        <v>20600</v>
      </c>
      <c r="E125" s="58"/>
      <c r="F125" s="58">
        <f>F123-(F124)</f>
        <v>20600</v>
      </c>
      <c r="G125" s="58"/>
      <c r="H125" s="58">
        <f>H123-(H124)</f>
        <v>17200</v>
      </c>
      <c r="I125" s="58">
        <f>I122-(I124)</f>
        <v>0</v>
      </c>
      <c r="J125" s="25"/>
      <c r="K125" s="25"/>
      <c r="L125" s="25"/>
      <c r="M125" s="25"/>
      <c r="N125" s="25"/>
      <c r="O125" s="25"/>
      <c r="P125" s="25"/>
      <c r="Q125" s="26">
        <f t="shared" ref="Q125:Q128" si="63">SUM(B125:J125)</f>
        <v>117630</v>
      </c>
    </row>
    <row r="126" hidden="1">
      <c r="A126" s="27" t="s">
        <v>40</v>
      </c>
      <c r="B126" s="28"/>
      <c r="C126" s="28"/>
      <c r="D126" s="28"/>
      <c r="E126" s="28"/>
      <c r="F126" s="28"/>
      <c r="G126" s="28"/>
      <c r="H126" s="28"/>
      <c r="I126" s="28"/>
      <c r="J126" s="28"/>
      <c r="K126" s="29"/>
      <c r="L126" s="29"/>
      <c r="M126" s="29"/>
      <c r="N126" s="29"/>
      <c r="O126" s="29"/>
      <c r="P126" s="29"/>
      <c r="Q126" s="30">
        <f t="shared" si="63"/>
        <v>0</v>
      </c>
    </row>
    <row r="127" hidden="1">
      <c r="A127" s="23" t="s">
        <v>49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5"/>
      <c r="L127" s="25"/>
      <c r="M127" s="25"/>
      <c r="N127" s="25"/>
      <c r="O127" s="25"/>
      <c r="P127" s="25"/>
      <c r="Q127" s="26">
        <f t="shared" si="63"/>
        <v>0</v>
      </c>
    </row>
    <row r="128" hidden="1">
      <c r="A128" s="23"/>
      <c r="B128" s="24"/>
      <c r="C128" s="24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6">
        <f t="shared" si="63"/>
        <v>0</v>
      </c>
    </row>
    <row r="129" hidden="1">
      <c r="A129" s="39" t="s">
        <v>22</v>
      </c>
      <c r="B129" s="40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</row>
    <row r="130" hidden="1">
      <c r="A130" s="59" t="s">
        <v>45</v>
      </c>
      <c r="B130" s="43"/>
      <c r="C130" s="44"/>
      <c r="D130" s="44"/>
      <c r="E130" s="45"/>
      <c r="F130" s="45"/>
      <c r="G130" s="44"/>
      <c r="H130" s="45"/>
      <c r="I130" s="44"/>
      <c r="J130" s="44"/>
      <c r="K130" s="44"/>
      <c r="L130" s="44"/>
      <c r="M130" s="44"/>
      <c r="N130" s="44"/>
      <c r="O130" s="44"/>
      <c r="P130" s="44"/>
      <c r="Q130" s="44"/>
    </row>
    <row r="131" hidden="1">
      <c r="A131" s="60" t="s">
        <v>46</v>
      </c>
      <c r="B131" s="46"/>
      <c r="C131" s="45"/>
      <c r="D131" s="45"/>
      <c r="E131" s="45"/>
      <c r="F131" s="45"/>
      <c r="G131" s="45"/>
      <c r="H131" s="44"/>
      <c r="I131" s="44"/>
      <c r="J131" s="44"/>
      <c r="K131" s="44"/>
      <c r="L131" s="44"/>
      <c r="M131" s="44"/>
      <c r="N131" s="44"/>
      <c r="O131" s="44"/>
      <c r="P131" s="44"/>
      <c r="Q131" s="44"/>
    </row>
    <row r="132" hidden="1">
      <c r="A132" s="60" t="s">
        <v>47</v>
      </c>
      <c r="B132" s="43"/>
      <c r="C132" s="45"/>
      <c r="D132" s="44"/>
      <c r="E132" s="45"/>
      <c r="F132" s="45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</row>
    <row r="133" hidden="1">
      <c r="A133" s="60" t="s">
        <v>48</v>
      </c>
      <c r="B133" s="46"/>
      <c r="C133" s="45"/>
      <c r="D133" s="44"/>
      <c r="E133" s="45"/>
      <c r="F133" s="45"/>
      <c r="G133" s="44"/>
      <c r="H133" s="45"/>
      <c r="I133" s="44"/>
      <c r="J133" s="44"/>
      <c r="K133" s="44"/>
      <c r="L133" s="44"/>
      <c r="M133" s="44"/>
      <c r="N133" s="44"/>
      <c r="O133" s="44"/>
      <c r="P133" s="44"/>
      <c r="Q133" s="44"/>
    </row>
    <row r="134" hidden="1">
      <c r="A134" s="47" t="s">
        <v>23</v>
      </c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7" t="s">
        <v>24</v>
      </c>
    </row>
    <row r="135" hidden="1">
      <c r="A135" s="61" t="s">
        <v>45</v>
      </c>
      <c r="B135" s="54">
        <v>9500.0</v>
      </c>
      <c r="C135" s="52"/>
      <c r="D135" s="62"/>
      <c r="E135" s="52"/>
      <c r="F135" s="52"/>
      <c r="G135" s="52"/>
      <c r="H135" s="62"/>
      <c r="I135" s="52"/>
      <c r="J135" s="52"/>
      <c r="K135" s="52"/>
      <c r="L135" s="52"/>
      <c r="M135" s="52"/>
      <c r="N135" s="52"/>
      <c r="O135" s="52"/>
      <c r="P135" s="52"/>
      <c r="Q135" s="53">
        <f t="shared" ref="Q135:Q137" si="64">SUM(B135:J135)</f>
        <v>9500</v>
      </c>
    </row>
    <row r="136" hidden="1">
      <c r="A136" s="63" t="s">
        <v>46</v>
      </c>
      <c r="B136" s="51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3">
        <f t="shared" si="64"/>
        <v>0</v>
      </c>
    </row>
    <row r="137" hidden="1">
      <c r="A137" s="63" t="s">
        <v>47</v>
      </c>
      <c r="B137" s="67">
        <f>(B125-B118)/2</f>
        <v>14250</v>
      </c>
      <c r="C137" s="67">
        <f t="shared" ref="C137:D137" si="65">(C125-C118)/2+1000</f>
        <v>7740</v>
      </c>
      <c r="D137" s="67">
        <f t="shared" si="65"/>
        <v>7550</v>
      </c>
      <c r="E137" s="67"/>
      <c r="F137" s="67">
        <f>(F125-F119)/2+1000</f>
        <v>7550</v>
      </c>
      <c r="G137" s="67">
        <f>G119</f>
        <v>7000</v>
      </c>
      <c r="H137" s="67">
        <f>(H125-H118)/2+2900</f>
        <v>8000</v>
      </c>
      <c r="I137" s="52"/>
      <c r="J137" s="52"/>
      <c r="K137" s="52"/>
      <c r="L137" s="52"/>
      <c r="M137" s="52"/>
      <c r="N137" s="52"/>
      <c r="O137" s="52"/>
      <c r="P137" s="52"/>
      <c r="Q137" s="52">
        <f t="shared" si="64"/>
        <v>52090</v>
      </c>
    </row>
    <row r="138" hidden="1">
      <c r="A138" s="63" t="s">
        <v>48</v>
      </c>
      <c r="B138" s="69">
        <v>14250.0</v>
      </c>
      <c r="C138" s="62">
        <v>7740.0</v>
      </c>
      <c r="D138" s="62">
        <v>7550.0</v>
      </c>
      <c r="E138" s="62"/>
      <c r="F138" s="62">
        <v>7550.0</v>
      </c>
      <c r="G138" s="62">
        <v>7000.0</v>
      </c>
      <c r="H138" s="62">
        <v>8000.0</v>
      </c>
      <c r="I138" s="52"/>
      <c r="J138" s="52"/>
      <c r="K138" s="52"/>
      <c r="L138" s="52"/>
      <c r="M138" s="52"/>
      <c r="N138" s="52"/>
      <c r="O138" s="52"/>
      <c r="P138" s="52"/>
      <c r="Q138" s="52">
        <f>SUM(B138:H138)</f>
        <v>52090</v>
      </c>
    </row>
    <row r="139" hidden="1">
      <c r="A139" s="65"/>
      <c r="B139" s="54"/>
      <c r="C139" s="52"/>
      <c r="D139" s="52"/>
      <c r="E139" s="52"/>
      <c r="F139" s="52"/>
      <c r="G139" s="62"/>
      <c r="H139" s="52"/>
      <c r="I139" s="52"/>
      <c r="J139" s="52"/>
      <c r="K139" s="52"/>
      <c r="L139" s="52"/>
      <c r="M139" s="52"/>
      <c r="N139" s="52"/>
      <c r="O139" s="52"/>
      <c r="P139" s="52"/>
      <c r="Q139" s="53">
        <f>SUM(B139:J139)</f>
        <v>0</v>
      </c>
    </row>
    <row r="140" hidden="1"/>
    <row r="141" hidden="1"/>
    <row r="142" hidden="1">
      <c r="A142" s="1" t="s">
        <v>0</v>
      </c>
      <c r="B142" s="2" t="s">
        <v>1</v>
      </c>
      <c r="C142" s="3" t="s">
        <v>2</v>
      </c>
      <c r="D142" s="3" t="s">
        <v>3</v>
      </c>
      <c r="E142" s="3"/>
      <c r="F142" s="3" t="s">
        <v>4</v>
      </c>
      <c r="G142" s="3" t="s">
        <v>34</v>
      </c>
      <c r="H142" s="3" t="s">
        <v>6</v>
      </c>
      <c r="I142" s="4" t="s">
        <v>50</v>
      </c>
      <c r="J142" s="4" t="s">
        <v>51</v>
      </c>
      <c r="K142" s="4"/>
      <c r="L142" s="4"/>
      <c r="M142" s="4"/>
      <c r="N142" s="4"/>
      <c r="O142" s="4"/>
      <c r="P142" s="4"/>
      <c r="Q142" s="1" t="s">
        <v>0</v>
      </c>
    </row>
    <row r="143" hidden="1">
      <c r="A143" s="6" t="s">
        <v>52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8"/>
    </row>
    <row r="144" hidden="1">
      <c r="A144" s="55" t="s">
        <v>53</v>
      </c>
      <c r="B144" s="10">
        <v>9500.0</v>
      </c>
      <c r="C144" s="10">
        <f t="shared" ref="C144:D144" si="66">C151/4</f>
        <v>6144.25</v>
      </c>
      <c r="D144" s="10">
        <f t="shared" si="66"/>
        <v>6000</v>
      </c>
      <c r="E144" s="10"/>
      <c r="F144" s="10">
        <f>F151/4</f>
        <v>6000</v>
      </c>
      <c r="G144" s="10">
        <v>7000.0</v>
      </c>
      <c r="H144" s="10">
        <f>H151/4</f>
        <v>5085</v>
      </c>
      <c r="I144" s="11"/>
      <c r="J144" s="12"/>
      <c r="K144" s="12"/>
      <c r="L144" s="12"/>
      <c r="M144" s="12"/>
      <c r="N144" s="12"/>
      <c r="O144" s="12"/>
      <c r="P144" s="12"/>
      <c r="Q144" s="13">
        <f>SUM(B144:J144)</f>
        <v>39729.25</v>
      </c>
    </row>
    <row r="145" hidden="1">
      <c r="A145" s="15" t="s">
        <v>54</v>
      </c>
      <c r="B145" s="10">
        <v>9500.0</v>
      </c>
      <c r="C145" s="10">
        <f t="shared" ref="C145:D145" si="67">C151/4</f>
        <v>6144.25</v>
      </c>
      <c r="D145" s="10">
        <f t="shared" si="67"/>
        <v>6000</v>
      </c>
      <c r="E145" s="10"/>
      <c r="F145" s="10">
        <f>F151/4</f>
        <v>6000</v>
      </c>
      <c r="G145" s="10">
        <v>7000.0</v>
      </c>
      <c r="H145" s="10">
        <f>H151/4</f>
        <v>5085</v>
      </c>
      <c r="I145" s="11">
        <v>0.0</v>
      </c>
      <c r="J145" s="12"/>
      <c r="K145" s="12"/>
      <c r="L145" s="12"/>
      <c r="M145" s="12"/>
      <c r="N145" s="12"/>
      <c r="O145" s="12"/>
      <c r="P145" s="12"/>
      <c r="Q145" s="13">
        <f t="shared" ref="Q145:Q148" si="69">SUM(B145:I145)</f>
        <v>39729.25</v>
      </c>
    </row>
    <row r="146" hidden="1">
      <c r="A146" s="15" t="s">
        <v>55</v>
      </c>
      <c r="B146" s="10">
        <v>9500.0</v>
      </c>
      <c r="C146" s="10">
        <f t="shared" ref="C146:D146" si="68">C151/4</f>
        <v>6144.25</v>
      </c>
      <c r="D146" s="10">
        <f t="shared" si="68"/>
        <v>6000</v>
      </c>
      <c r="E146" s="10"/>
      <c r="F146" s="10">
        <f>F151/4</f>
        <v>6000</v>
      </c>
      <c r="G146" s="10">
        <v>7000.0</v>
      </c>
      <c r="H146" s="10">
        <f>H151/4</f>
        <v>5085</v>
      </c>
      <c r="I146" s="11">
        <v>0.0</v>
      </c>
      <c r="J146" s="12"/>
      <c r="K146" s="12"/>
      <c r="L146" s="12"/>
      <c r="M146" s="12"/>
      <c r="N146" s="12"/>
      <c r="O146" s="12"/>
      <c r="P146" s="12"/>
      <c r="Q146" s="13">
        <f t="shared" si="69"/>
        <v>39729.25</v>
      </c>
    </row>
    <row r="147" hidden="1">
      <c r="A147" s="15" t="s">
        <v>56</v>
      </c>
      <c r="B147" s="16">
        <v>9500.0</v>
      </c>
      <c r="C147" s="16">
        <f t="shared" ref="C147:D147" si="70">C151/4</f>
        <v>6144.25</v>
      </c>
      <c r="D147" s="16">
        <f t="shared" si="70"/>
        <v>6000</v>
      </c>
      <c r="E147" s="16"/>
      <c r="F147" s="16">
        <f>F151/4</f>
        <v>6000</v>
      </c>
      <c r="G147" s="16">
        <v>7000.0</v>
      </c>
      <c r="H147" s="16">
        <f>H151/4</f>
        <v>5085</v>
      </c>
      <c r="I147" s="17">
        <v>0.0</v>
      </c>
      <c r="J147" s="18"/>
      <c r="K147" s="18"/>
      <c r="L147" s="18"/>
      <c r="M147" s="18"/>
      <c r="N147" s="18"/>
      <c r="O147" s="18"/>
      <c r="P147" s="18"/>
      <c r="Q147" s="19">
        <f t="shared" si="69"/>
        <v>39729.25</v>
      </c>
    </row>
    <row r="148" hidden="1">
      <c r="A148" s="15"/>
      <c r="B148" s="16"/>
      <c r="C148" s="16"/>
      <c r="D148" s="16"/>
      <c r="E148" s="16"/>
      <c r="F148" s="16"/>
      <c r="G148" s="16"/>
      <c r="H148" s="16"/>
      <c r="I148" s="17">
        <v>0.0</v>
      </c>
      <c r="J148" s="18"/>
      <c r="K148" s="18"/>
      <c r="L148" s="18"/>
      <c r="M148" s="18"/>
      <c r="N148" s="18"/>
      <c r="O148" s="18"/>
      <c r="P148" s="18"/>
      <c r="Q148" s="19">
        <f t="shared" si="69"/>
        <v>0</v>
      </c>
    </row>
    <row r="149" hidden="1">
      <c r="A149" s="20" t="s">
        <v>15</v>
      </c>
      <c r="B149" s="21">
        <v>48800.0</v>
      </c>
      <c r="C149" s="21">
        <v>35000.0</v>
      </c>
      <c r="D149" s="21">
        <v>34000.0</v>
      </c>
      <c r="E149" s="21"/>
      <c r="F149" s="21">
        <v>34000.0</v>
      </c>
      <c r="G149" s="21">
        <f>SUM(G144:G147)</f>
        <v>28000</v>
      </c>
      <c r="H149" s="21">
        <v>32000.0</v>
      </c>
      <c r="I149" s="21">
        <f>SUM(I144:I147)</f>
        <v>0</v>
      </c>
      <c r="J149" s="20" t="s">
        <v>15</v>
      </c>
      <c r="K149" s="20"/>
      <c r="L149" s="20"/>
      <c r="M149" s="20"/>
      <c r="N149" s="20"/>
      <c r="O149" s="20"/>
      <c r="P149" s="20"/>
      <c r="Q149" s="21">
        <f>SUM(Q144:Q147)</f>
        <v>158917</v>
      </c>
    </row>
    <row r="150" hidden="1">
      <c r="A150" s="23" t="s">
        <v>16</v>
      </c>
      <c r="B150" s="24">
        <v>11660.0</v>
      </c>
      <c r="C150" s="24">
        <v>10423.0</v>
      </c>
      <c r="D150" s="24">
        <v>10000.0</v>
      </c>
      <c r="E150" s="24"/>
      <c r="F150" s="24">
        <v>10000.0</v>
      </c>
      <c r="G150" s="24"/>
      <c r="H150" s="24">
        <v>11660.0</v>
      </c>
      <c r="I150" s="24"/>
      <c r="J150" s="21"/>
      <c r="K150" s="21"/>
      <c r="L150" s="21"/>
      <c r="M150" s="21"/>
      <c r="N150" s="21"/>
      <c r="O150" s="21"/>
      <c r="P150" s="21"/>
      <c r="Q150" s="22"/>
    </row>
    <row r="151" hidden="1">
      <c r="A151" s="57" t="s">
        <v>17</v>
      </c>
      <c r="B151" s="58">
        <f t="shared" ref="B151:D151" si="71">B149-(B150)</f>
        <v>37140</v>
      </c>
      <c r="C151" s="58">
        <f t="shared" si="71"/>
        <v>24577</v>
      </c>
      <c r="D151" s="58">
        <f t="shared" si="71"/>
        <v>24000</v>
      </c>
      <c r="E151" s="58"/>
      <c r="F151" s="58">
        <f>F149-(F150)</f>
        <v>24000</v>
      </c>
      <c r="G151" s="58"/>
      <c r="H151" s="58">
        <f>H149-(H150)</f>
        <v>20340</v>
      </c>
      <c r="I151" s="58">
        <f>I148-(I150)</f>
        <v>0</v>
      </c>
      <c r="J151" s="25"/>
      <c r="K151" s="25"/>
      <c r="L151" s="25"/>
      <c r="M151" s="25"/>
      <c r="N151" s="25"/>
      <c r="O151" s="25"/>
      <c r="P151" s="25"/>
      <c r="Q151" s="26">
        <f t="shared" ref="Q151:Q154" si="72">SUM(B151:J151)</f>
        <v>130057</v>
      </c>
    </row>
    <row r="152" hidden="1">
      <c r="A152" s="27" t="s">
        <v>40</v>
      </c>
      <c r="B152" s="28">
        <v>3000.0</v>
      </c>
      <c r="C152" s="28"/>
      <c r="D152" s="28">
        <v>3000.0</v>
      </c>
      <c r="E152" s="28"/>
      <c r="F152" s="28"/>
      <c r="G152" s="28"/>
      <c r="H152" s="28"/>
      <c r="I152" s="28"/>
      <c r="J152" s="28"/>
      <c r="K152" s="29"/>
      <c r="L152" s="29"/>
      <c r="M152" s="29"/>
      <c r="N152" s="29"/>
      <c r="O152" s="29"/>
      <c r="P152" s="29"/>
      <c r="Q152" s="30">
        <f t="shared" si="72"/>
        <v>6000</v>
      </c>
    </row>
    <row r="153" hidden="1">
      <c r="A153" s="23" t="s">
        <v>57</v>
      </c>
      <c r="B153" s="24"/>
      <c r="C153" s="24"/>
      <c r="D153" s="24"/>
      <c r="E153" s="24"/>
      <c r="F153" s="24"/>
      <c r="G153" s="24"/>
      <c r="H153" s="24"/>
      <c r="I153" s="24"/>
      <c r="J153" s="24"/>
      <c r="K153" s="25"/>
      <c r="L153" s="25"/>
      <c r="M153" s="25"/>
      <c r="N153" s="25"/>
      <c r="O153" s="25"/>
      <c r="P153" s="25"/>
      <c r="Q153" s="26">
        <f t="shared" si="72"/>
        <v>0</v>
      </c>
    </row>
    <row r="154" hidden="1">
      <c r="A154" s="23"/>
      <c r="B154" s="24"/>
      <c r="C154" s="24"/>
      <c r="D154" s="24"/>
      <c r="E154" s="24"/>
      <c r="F154" s="24"/>
      <c r="G154" s="24"/>
      <c r="H154" s="24"/>
      <c r="I154" s="24"/>
      <c r="J154" s="24"/>
      <c r="K154" s="25"/>
      <c r="L154" s="25"/>
      <c r="M154" s="25"/>
      <c r="N154" s="25"/>
      <c r="O154" s="25"/>
      <c r="P154" s="25"/>
      <c r="Q154" s="26">
        <f t="shared" si="72"/>
        <v>0</v>
      </c>
    </row>
    <row r="155" hidden="1">
      <c r="A155" s="39" t="s">
        <v>22</v>
      </c>
      <c r="B155" s="40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</row>
    <row r="156" hidden="1">
      <c r="A156" s="59" t="s">
        <v>53</v>
      </c>
      <c r="B156" s="43"/>
      <c r="C156" s="44"/>
      <c r="D156" s="44"/>
      <c r="E156" s="45"/>
      <c r="F156" s="45"/>
      <c r="G156" s="45">
        <v>360.0</v>
      </c>
      <c r="H156" s="45"/>
      <c r="I156" s="44"/>
      <c r="J156" s="44"/>
      <c r="K156" s="44"/>
      <c r="L156" s="44"/>
      <c r="M156" s="44"/>
      <c r="N156" s="44"/>
      <c r="O156" s="44"/>
      <c r="P156" s="44"/>
      <c r="Q156" s="44"/>
    </row>
    <row r="157" hidden="1">
      <c r="A157" s="60" t="s">
        <v>54</v>
      </c>
      <c r="B157" s="46"/>
      <c r="C157" s="45"/>
      <c r="D157" s="45"/>
      <c r="E157" s="45"/>
      <c r="F157" s="45"/>
      <c r="G157" s="45"/>
      <c r="H157" s="44"/>
      <c r="I157" s="44"/>
      <c r="J157" s="44"/>
      <c r="K157" s="44"/>
      <c r="L157" s="44"/>
      <c r="M157" s="44"/>
      <c r="N157" s="44"/>
      <c r="O157" s="44"/>
      <c r="P157" s="44"/>
      <c r="Q157" s="44"/>
    </row>
    <row r="158" hidden="1">
      <c r="A158" s="60" t="s">
        <v>55</v>
      </c>
      <c r="B158" s="43"/>
      <c r="C158" s="45"/>
      <c r="D158" s="44"/>
      <c r="E158" s="45"/>
      <c r="F158" s="45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</row>
    <row r="159" hidden="1">
      <c r="A159" s="60" t="s">
        <v>56</v>
      </c>
      <c r="B159" s="46"/>
      <c r="C159" s="45"/>
      <c r="D159" s="44"/>
      <c r="E159" s="45"/>
      <c r="F159" s="45"/>
      <c r="G159" s="44"/>
      <c r="H159" s="45"/>
      <c r="I159" s="44"/>
      <c r="J159" s="44"/>
      <c r="K159" s="44"/>
      <c r="L159" s="44"/>
      <c r="M159" s="44"/>
      <c r="N159" s="44"/>
      <c r="O159" s="44"/>
      <c r="P159" s="44"/>
      <c r="Q159" s="44"/>
    </row>
    <row r="160" hidden="1">
      <c r="A160" s="47" t="s">
        <v>23</v>
      </c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7" t="s">
        <v>24</v>
      </c>
    </row>
    <row r="161" hidden="1">
      <c r="A161" s="61" t="s">
        <v>53</v>
      </c>
      <c r="B161" s="54">
        <f t="shared" ref="B161:D161" si="73">B151/3</f>
        <v>12380</v>
      </c>
      <c r="C161" s="52">
        <f t="shared" si="73"/>
        <v>8192.333333</v>
      </c>
      <c r="D161" s="62">
        <f t="shared" si="73"/>
        <v>8000</v>
      </c>
      <c r="E161" s="52"/>
      <c r="F161" s="52">
        <f>F151/3-(2*1300)+500</f>
        <v>5900</v>
      </c>
      <c r="G161" s="62">
        <f>G144-G156</f>
        <v>6640</v>
      </c>
      <c r="H161" s="62">
        <f>H151/3</f>
        <v>6780</v>
      </c>
      <c r="I161" s="52"/>
      <c r="J161" s="52"/>
      <c r="K161" s="52"/>
      <c r="L161" s="52"/>
      <c r="M161" s="52"/>
      <c r="N161" s="52"/>
      <c r="O161" s="52"/>
      <c r="P161" s="52"/>
      <c r="Q161" s="53">
        <f t="shared" ref="Q161:Q165" si="74">SUM(B161:J161)</f>
        <v>47892.33333</v>
      </c>
    </row>
    <row r="162" hidden="1">
      <c r="A162" s="63" t="s">
        <v>54</v>
      </c>
      <c r="B162" s="51"/>
      <c r="C162" s="52"/>
      <c r="D162" s="52"/>
      <c r="E162" s="52"/>
      <c r="F162" s="52"/>
      <c r="G162" s="62">
        <v>7000.0</v>
      </c>
      <c r="H162" s="52"/>
      <c r="I162" s="62">
        <v>20200.0</v>
      </c>
      <c r="J162" s="62">
        <v>11000.0</v>
      </c>
      <c r="K162" s="62"/>
      <c r="L162" s="62"/>
      <c r="M162" s="62"/>
      <c r="N162" s="62"/>
      <c r="O162" s="62"/>
      <c r="P162" s="62"/>
      <c r="Q162" s="53">
        <f t="shared" si="74"/>
        <v>38200</v>
      </c>
    </row>
    <row r="163" hidden="1">
      <c r="A163" s="63" t="s">
        <v>55</v>
      </c>
      <c r="B163" s="67">
        <f>B151/3</f>
        <v>12380</v>
      </c>
      <c r="C163" s="67"/>
      <c r="D163" s="67">
        <f>D151/3+3200</f>
        <v>11200</v>
      </c>
      <c r="E163" s="67"/>
      <c r="F163" s="67"/>
      <c r="G163" s="69">
        <f>7000+600</f>
        <v>7600</v>
      </c>
      <c r="H163" s="67">
        <f>H151/3+1000</f>
        <v>7780</v>
      </c>
      <c r="I163" s="62">
        <v>16400.0</v>
      </c>
      <c r="J163" s="62">
        <v>11400.0</v>
      </c>
      <c r="K163" s="62"/>
      <c r="L163" s="62"/>
      <c r="M163" s="62"/>
      <c r="N163" s="62"/>
      <c r="O163" s="62"/>
      <c r="P163" s="62"/>
      <c r="Q163" s="52">
        <f t="shared" si="74"/>
        <v>66760</v>
      </c>
    </row>
    <row r="164" hidden="1">
      <c r="A164" s="63" t="s">
        <v>56</v>
      </c>
      <c r="B164" s="69">
        <f>B151/3</f>
        <v>12380</v>
      </c>
      <c r="C164" s="62"/>
      <c r="D164" s="62">
        <f>D151/3+3200</f>
        <v>11200</v>
      </c>
      <c r="E164" s="62"/>
      <c r="F164" s="62"/>
      <c r="G164" s="62">
        <f>7000+1000</f>
        <v>8000</v>
      </c>
      <c r="H164" s="62">
        <f>H151/3+1000</f>
        <v>7780</v>
      </c>
      <c r="I164" s="52"/>
      <c r="J164" s="62">
        <v>7000.0</v>
      </c>
      <c r="K164" s="62"/>
      <c r="L164" s="62"/>
      <c r="M164" s="62"/>
      <c r="N164" s="62"/>
      <c r="O164" s="62"/>
      <c r="P164" s="62"/>
      <c r="Q164" s="52">
        <f t="shared" si="74"/>
        <v>46360</v>
      </c>
    </row>
    <row r="165" hidden="1">
      <c r="A165" s="65"/>
      <c r="B165" s="54"/>
      <c r="C165" s="52"/>
      <c r="D165" s="52"/>
      <c r="E165" s="52"/>
      <c r="F165" s="52"/>
      <c r="G165" s="62"/>
      <c r="H165" s="52"/>
      <c r="I165" s="52"/>
      <c r="J165" s="52"/>
      <c r="K165" s="52"/>
      <c r="L165" s="52"/>
      <c r="M165" s="52"/>
      <c r="N165" s="52"/>
      <c r="O165" s="52"/>
      <c r="P165" s="52"/>
      <c r="Q165" s="53">
        <f t="shared" si="74"/>
        <v>0</v>
      </c>
    </row>
    <row r="166" hidden="1"/>
    <row r="167" hidden="1"/>
    <row r="168" hidden="1">
      <c r="A168" s="1" t="s">
        <v>0</v>
      </c>
      <c r="B168" s="2" t="s">
        <v>1</v>
      </c>
      <c r="C168" s="3"/>
      <c r="D168" s="3" t="s">
        <v>3</v>
      </c>
      <c r="E168" s="3"/>
      <c r="F168" s="3" t="s">
        <v>58</v>
      </c>
      <c r="G168" s="3" t="s">
        <v>34</v>
      </c>
      <c r="H168" s="3" t="s">
        <v>6</v>
      </c>
      <c r="I168" s="4" t="s">
        <v>50</v>
      </c>
      <c r="J168" s="4" t="s">
        <v>51</v>
      </c>
      <c r="K168" s="4"/>
      <c r="L168" s="4"/>
      <c r="M168" s="4"/>
      <c r="N168" s="4"/>
      <c r="O168" s="4"/>
      <c r="P168" s="4"/>
      <c r="Q168" s="1" t="s">
        <v>0</v>
      </c>
    </row>
    <row r="169" hidden="1">
      <c r="A169" s="6" t="s">
        <v>59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8"/>
    </row>
    <row r="170" hidden="1">
      <c r="A170" s="55" t="s">
        <v>60</v>
      </c>
      <c r="B170" s="10">
        <v>9500.0</v>
      </c>
      <c r="C170" s="10"/>
      <c r="D170" s="10">
        <f>D177/4</f>
        <v>6000</v>
      </c>
      <c r="E170" s="10"/>
      <c r="F170" s="10"/>
      <c r="G170" s="10">
        <v>7000.0</v>
      </c>
      <c r="H170" s="10">
        <f>H177/4</f>
        <v>5085</v>
      </c>
      <c r="I170" s="11"/>
      <c r="J170" s="12"/>
      <c r="K170" s="12"/>
      <c r="L170" s="12"/>
      <c r="M170" s="12"/>
      <c r="N170" s="12"/>
      <c r="O170" s="12"/>
      <c r="P170" s="12"/>
      <c r="Q170" s="13">
        <f>SUM(B170:J170)</f>
        <v>27585</v>
      </c>
    </row>
    <row r="171" hidden="1">
      <c r="A171" s="15" t="s">
        <v>61</v>
      </c>
      <c r="B171" s="10">
        <v>9500.0</v>
      </c>
      <c r="C171" s="10"/>
      <c r="D171" s="10">
        <f>D177/4</f>
        <v>6000</v>
      </c>
      <c r="E171" s="10"/>
      <c r="F171" s="10"/>
      <c r="G171" s="10">
        <v>7000.0</v>
      </c>
      <c r="H171" s="10">
        <f>H177/4</f>
        <v>5085</v>
      </c>
      <c r="I171" s="11">
        <v>0.0</v>
      </c>
      <c r="J171" s="12"/>
      <c r="K171" s="12"/>
      <c r="L171" s="12"/>
      <c r="M171" s="12"/>
      <c r="N171" s="12"/>
      <c r="O171" s="12"/>
      <c r="P171" s="12"/>
      <c r="Q171" s="13">
        <f t="shared" ref="Q171:Q174" si="75">SUM(B171:I171)</f>
        <v>27585</v>
      </c>
    </row>
    <row r="172" hidden="1">
      <c r="A172" s="15"/>
      <c r="B172" s="10">
        <v>9500.0</v>
      </c>
      <c r="C172" s="10"/>
      <c r="D172" s="10">
        <f>D177/4</f>
        <v>6000</v>
      </c>
      <c r="E172" s="10"/>
      <c r="F172" s="10"/>
      <c r="G172" s="10">
        <v>7000.0</v>
      </c>
      <c r="H172" s="10">
        <f>H177/4</f>
        <v>5085</v>
      </c>
      <c r="I172" s="11">
        <v>0.0</v>
      </c>
      <c r="J172" s="12"/>
      <c r="K172" s="12"/>
      <c r="L172" s="12"/>
      <c r="M172" s="12"/>
      <c r="N172" s="12"/>
      <c r="O172" s="12"/>
      <c r="P172" s="12"/>
      <c r="Q172" s="13">
        <f t="shared" si="75"/>
        <v>27585</v>
      </c>
    </row>
    <row r="173" hidden="1">
      <c r="A173" s="15"/>
      <c r="B173" s="16">
        <v>9500.0</v>
      </c>
      <c r="C173" s="16"/>
      <c r="D173" s="16">
        <f>D177/4</f>
        <v>6000</v>
      </c>
      <c r="E173" s="16"/>
      <c r="F173" s="16"/>
      <c r="G173" s="16">
        <v>7000.0</v>
      </c>
      <c r="H173" s="16">
        <f>H177/4</f>
        <v>5085</v>
      </c>
      <c r="I173" s="17">
        <v>0.0</v>
      </c>
      <c r="J173" s="18"/>
      <c r="K173" s="18"/>
      <c r="L173" s="18"/>
      <c r="M173" s="18"/>
      <c r="N173" s="18"/>
      <c r="O173" s="18"/>
      <c r="P173" s="18"/>
      <c r="Q173" s="19">
        <f t="shared" si="75"/>
        <v>27585</v>
      </c>
    </row>
    <row r="174" hidden="1">
      <c r="A174" s="15"/>
      <c r="B174" s="16"/>
      <c r="C174" s="16"/>
      <c r="D174" s="16"/>
      <c r="E174" s="16"/>
      <c r="F174" s="16"/>
      <c r="G174" s="16"/>
      <c r="H174" s="16"/>
      <c r="I174" s="17">
        <v>0.0</v>
      </c>
      <c r="J174" s="18"/>
      <c r="K174" s="18"/>
      <c r="L174" s="18"/>
      <c r="M174" s="18"/>
      <c r="N174" s="18"/>
      <c r="O174" s="18"/>
      <c r="P174" s="18"/>
      <c r="Q174" s="19">
        <f t="shared" si="75"/>
        <v>0</v>
      </c>
    </row>
    <row r="175" hidden="1">
      <c r="A175" s="20" t="s">
        <v>15</v>
      </c>
      <c r="B175" s="21">
        <v>48800.0</v>
      </c>
      <c r="C175" s="21"/>
      <c r="D175" s="21">
        <v>34000.0</v>
      </c>
      <c r="E175" s="21"/>
      <c r="F175" s="21">
        <v>32000.0</v>
      </c>
      <c r="G175" s="21">
        <f>SUM(G170:G173)</f>
        <v>28000</v>
      </c>
      <c r="H175" s="21">
        <v>32000.0</v>
      </c>
      <c r="I175" s="21">
        <f>SUM(I170:I173)</f>
        <v>0</v>
      </c>
      <c r="J175" s="20" t="s">
        <v>15</v>
      </c>
      <c r="K175" s="20"/>
      <c r="L175" s="20"/>
      <c r="M175" s="20"/>
      <c r="N175" s="20"/>
      <c r="O175" s="20"/>
      <c r="P175" s="20"/>
      <c r="Q175" s="21">
        <f>SUM(Q170:Q173)</f>
        <v>110340</v>
      </c>
    </row>
    <row r="176" hidden="1">
      <c r="A176" s="23" t="s">
        <v>16</v>
      </c>
      <c r="B176" s="24">
        <v>11660.0</v>
      </c>
      <c r="C176" s="24"/>
      <c r="D176" s="24">
        <v>10000.0</v>
      </c>
      <c r="E176" s="24"/>
      <c r="F176" s="24"/>
      <c r="G176" s="24"/>
      <c r="H176" s="24">
        <v>11660.0</v>
      </c>
      <c r="I176" s="24"/>
      <c r="J176" s="21"/>
      <c r="K176" s="21"/>
      <c r="L176" s="21"/>
      <c r="M176" s="21"/>
      <c r="N176" s="21"/>
      <c r="O176" s="21"/>
      <c r="P176" s="21"/>
      <c r="Q176" s="22"/>
    </row>
    <row r="177" hidden="1">
      <c r="A177" s="57" t="s">
        <v>17</v>
      </c>
      <c r="B177" s="58">
        <f>B175-(B176)</f>
        <v>37140</v>
      </c>
      <c r="C177" s="58"/>
      <c r="D177" s="58">
        <f>D175-(D176)</f>
        <v>24000</v>
      </c>
      <c r="E177" s="58"/>
      <c r="F177" s="58">
        <v>32000.0</v>
      </c>
      <c r="G177" s="58"/>
      <c r="H177" s="58">
        <f>H175-(H176)</f>
        <v>20340</v>
      </c>
      <c r="I177" s="58">
        <f>I174-(I176)</f>
        <v>0</v>
      </c>
      <c r="J177" s="25"/>
      <c r="K177" s="25"/>
      <c r="L177" s="25"/>
      <c r="M177" s="25"/>
      <c r="N177" s="25"/>
      <c r="O177" s="25"/>
      <c r="P177" s="25"/>
      <c r="Q177" s="26">
        <f t="shared" ref="Q177:Q180" si="76">SUM(B177:J177)</f>
        <v>113480</v>
      </c>
    </row>
    <row r="178" hidden="1">
      <c r="A178" s="27" t="s">
        <v>40</v>
      </c>
      <c r="B178" s="28"/>
      <c r="C178" s="28"/>
      <c r="D178" s="28"/>
      <c r="E178" s="28"/>
      <c r="F178" s="28"/>
      <c r="G178" s="28"/>
      <c r="H178" s="28"/>
      <c r="I178" s="28"/>
      <c r="J178" s="28"/>
      <c r="K178" s="29"/>
      <c r="L178" s="29"/>
      <c r="M178" s="29"/>
      <c r="N178" s="29"/>
      <c r="O178" s="29"/>
      <c r="P178" s="29"/>
      <c r="Q178" s="30">
        <f t="shared" si="76"/>
        <v>0</v>
      </c>
    </row>
    <row r="179" hidden="1">
      <c r="A179" s="23" t="s">
        <v>62</v>
      </c>
      <c r="B179" s="24">
        <f>(B175/2)-14000</f>
        <v>10400</v>
      </c>
      <c r="C179" s="24"/>
      <c r="D179" s="24">
        <f>(D175/2)-12000</f>
        <v>5000</v>
      </c>
      <c r="E179" s="24"/>
      <c r="F179" s="24"/>
      <c r="G179" s="24"/>
      <c r="H179" s="24">
        <f>(H175/2)-10000</f>
        <v>6000</v>
      </c>
      <c r="I179" s="24"/>
      <c r="J179" s="24"/>
      <c r="K179" s="25"/>
      <c r="L179" s="25"/>
      <c r="M179" s="25"/>
      <c r="N179" s="25"/>
      <c r="O179" s="25"/>
      <c r="P179" s="25"/>
      <c r="Q179" s="26">
        <f t="shared" si="76"/>
        <v>21400</v>
      </c>
    </row>
    <row r="180" hidden="1">
      <c r="A180" s="23" t="s">
        <v>63</v>
      </c>
      <c r="B180" s="24"/>
      <c r="C180" s="24"/>
      <c r="D180" s="24">
        <v>1000.0</v>
      </c>
      <c r="E180" s="24"/>
      <c r="F180" s="24"/>
      <c r="G180" s="24">
        <v>1000.0</v>
      </c>
      <c r="H180" s="24"/>
      <c r="I180" s="24"/>
      <c r="J180" s="24"/>
      <c r="K180" s="25"/>
      <c r="L180" s="25"/>
      <c r="M180" s="25"/>
      <c r="N180" s="25"/>
      <c r="O180" s="25"/>
      <c r="P180" s="25"/>
      <c r="Q180" s="26">
        <f t="shared" si="76"/>
        <v>2000</v>
      </c>
    </row>
    <row r="181" hidden="1">
      <c r="A181" s="39" t="s">
        <v>22</v>
      </c>
      <c r="B181" s="40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</row>
    <row r="182" hidden="1">
      <c r="A182" s="59" t="s">
        <v>60</v>
      </c>
      <c r="B182" s="43"/>
      <c r="C182" s="44"/>
      <c r="D182" s="44"/>
      <c r="E182" s="45"/>
      <c r="F182" s="45"/>
      <c r="G182" s="45"/>
      <c r="H182" s="45"/>
      <c r="I182" s="44"/>
      <c r="J182" s="44"/>
      <c r="K182" s="44"/>
      <c r="L182" s="44"/>
      <c r="M182" s="44"/>
      <c r="N182" s="44"/>
      <c r="O182" s="44"/>
      <c r="P182" s="44"/>
      <c r="Q182" s="44"/>
    </row>
    <row r="183" hidden="1">
      <c r="A183" s="60" t="s">
        <v>61</v>
      </c>
      <c r="B183" s="46"/>
      <c r="C183" s="45"/>
      <c r="D183" s="45"/>
      <c r="E183" s="45"/>
      <c r="F183" s="45"/>
      <c r="G183" s="45"/>
      <c r="H183" s="44"/>
      <c r="I183" s="44"/>
      <c r="J183" s="44"/>
      <c r="K183" s="44"/>
      <c r="L183" s="44"/>
      <c r="M183" s="44"/>
      <c r="N183" s="44"/>
      <c r="O183" s="44"/>
      <c r="P183" s="44"/>
      <c r="Q183" s="44"/>
    </row>
    <row r="184" hidden="1">
      <c r="A184" s="60" t="s">
        <v>64</v>
      </c>
      <c r="B184" s="43"/>
      <c r="C184" s="45"/>
      <c r="D184" s="45">
        <v>500.0</v>
      </c>
      <c r="E184" s="45"/>
      <c r="F184" s="45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</row>
    <row r="185" hidden="1">
      <c r="A185" s="60"/>
      <c r="B185" s="46"/>
      <c r="C185" s="45"/>
      <c r="D185" s="44"/>
      <c r="E185" s="45"/>
      <c r="F185" s="45"/>
      <c r="G185" s="44"/>
      <c r="H185" s="45"/>
      <c r="I185" s="44"/>
      <c r="J185" s="44"/>
      <c r="K185" s="44"/>
      <c r="L185" s="44"/>
      <c r="M185" s="44"/>
      <c r="N185" s="44"/>
      <c r="O185" s="44"/>
      <c r="P185" s="44"/>
      <c r="Q185" s="44"/>
    </row>
    <row r="186" hidden="1">
      <c r="A186" s="47" t="s">
        <v>23</v>
      </c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7" t="s">
        <v>24</v>
      </c>
    </row>
    <row r="187" hidden="1">
      <c r="A187" s="61" t="s">
        <v>60</v>
      </c>
      <c r="B187" s="54">
        <f>B177/3</f>
        <v>12380</v>
      </c>
      <c r="C187" s="52"/>
      <c r="D187" s="62">
        <f>D177/3+4000</f>
        <v>12000</v>
      </c>
      <c r="E187" s="52"/>
      <c r="F187" s="52"/>
      <c r="G187" s="62">
        <f>G170-G182</f>
        <v>7000</v>
      </c>
      <c r="H187" s="62">
        <f>H177/3+1000+220</f>
        <v>8000</v>
      </c>
      <c r="I187" s="52"/>
      <c r="J187" s="62">
        <v>10000.0</v>
      </c>
      <c r="K187" s="62"/>
      <c r="L187" s="62"/>
      <c r="M187" s="62"/>
      <c r="N187" s="62"/>
      <c r="O187" s="62"/>
      <c r="P187" s="62"/>
      <c r="Q187" s="53">
        <f t="shared" ref="Q187:Q192" si="77">SUM(B187:J187)</f>
        <v>49380</v>
      </c>
    </row>
    <row r="188" hidden="1">
      <c r="A188" s="63" t="s">
        <v>61</v>
      </c>
      <c r="B188" s="54">
        <v>17000.0</v>
      </c>
      <c r="C188" s="52"/>
      <c r="D188" s="62">
        <f>(12000+1500)</f>
        <v>13500</v>
      </c>
      <c r="E188" s="52"/>
      <c r="F188" s="52"/>
      <c r="G188" s="62">
        <f>7000+1000</f>
        <v>8000</v>
      </c>
      <c r="H188" s="52">
        <f>(10000+1000+500)</f>
        <v>11500</v>
      </c>
      <c r="I188" s="62"/>
      <c r="J188" s="62">
        <v>8250.0</v>
      </c>
      <c r="K188" s="62"/>
      <c r="L188" s="62"/>
      <c r="M188" s="62"/>
      <c r="N188" s="62"/>
      <c r="O188" s="62"/>
      <c r="P188" s="62"/>
      <c r="Q188" s="53">
        <f t="shared" si="77"/>
        <v>58250</v>
      </c>
    </row>
    <row r="189" hidden="1">
      <c r="A189" s="63" t="s">
        <v>65</v>
      </c>
      <c r="B189" s="70">
        <f>B177/3</f>
        <v>12380</v>
      </c>
      <c r="C189" s="67"/>
      <c r="D189" s="69">
        <v>12000.0</v>
      </c>
      <c r="E189" s="67"/>
      <c r="F189" s="67"/>
      <c r="G189" s="69">
        <v>7000.0</v>
      </c>
      <c r="H189" s="67">
        <f>H177/3+1220</f>
        <v>8000</v>
      </c>
      <c r="I189" s="62"/>
      <c r="J189" s="62">
        <v>8550.0</v>
      </c>
      <c r="K189" s="62"/>
      <c r="L189" s="62"/>
      <c r="M189" s="62"/>
      <c r="N189" s="62"/>
      <c r="O189" s="62"/>
      <c r="P189" s="62"/>
      <c r="Q189" s="52">
        <f t="shared" si="77"/>
        <v>47930</v>
      </c>
    </row>
    <row r="190" hidden="1">
      <c r="A190" s="63" t="s">
        <v>66</v>
      </c>
      <c r="B190" s="71">
        <f>SUM(B189+B179)</f>
        <v>22780</v>
      </c>
      <c r="C190" s="62"/>
      <c r="D190" s="62">
        <f>(D177/3)+1000+5000</f>
        <v>14000</v>
      </c>
      <c r="E190" s="62"/>
      <c r="F190" s="62"/>
      <c r="G190" s="62">
        <v>7000.0</v>
      </c>
      <c r="H190" s="62">
        <f>8000+6000</f>
        <v>14000</v>
      </c>
      <c r="I190" s="52"/>
      <c r="J190" s="62"/>
      <c r="K190" s="62"/>
      <c r="L190" s="62"/>
      <c r="M190" s="62"/>
      <c r="N190" s="62"/>
      <c r="O190" s="62"/>
      <c r="P190" s="62"/>
      <c r="Q190" s="52">
        <f t="shared" si="77"/>
        <v>57780</v>
      </c>
    </row>
    <row r="191" hidden="1">
      <c r="A191" s="63" t="s">
        <v>67</v>
      </c>
      <c r="B191" s="54">
        <v>14000.0</v>
      </c>
      <c r="C191" s="52"/>
      <c r="D191" s="62">
        <f t="shared" ref="D191:D192" si="78">8000+2000</f>
        <v>10000</v>
      </c>
      <c r="E191" s="62"/>
      <c r="F191" s="62">
        <v>8000.0</v>
      </c>
      <c r="G191" s="62">
        <v>7000.0</v>
      </c>
      <c r="H191" s="62">
        <f t="shared" ref="H191:H192" si="79">8000+1000</f>
        <v>9000</v>
      </c>
      <c r="I191" s="52"/>
      <c r="J191" s="62">
        <v>8550.0</v>
      </c>
      <c r="K191" s="62"/>
      <c r="L191" s="62"/>
      <c r="M191" s="62"/>
      <c r="N191" s="62"/>
      <c r="O191" s="62"/>
      <c r="P191" s="62"/>
      <c r="Q191" s="53">
        <f t="shared" si="77"/>
        <v>56550</v>
      </c>
    </row>
    <row r="192" hidden="1">
      <c r="A192" s="63" t="s">
        <v>68</v>
      </c>
      <c r="B192" s="54">
        <v>14000.0</v>
      </c>
      <c r="C192" s="52"/>
      <c r="D192" s="62">
        <f t="shared" si="78"/>
        <v>10000</v>
      </c>
      <c r="E192" s="62"/>
      <c r="F192" s="62">
        <f>8000+2000</f>
        <v>10000</v>
      </c>
      <c r="G192" s="62">
        <v>7000.0</v>
      </c>
      <c r="H192" s="62">
        <f t="shared" si="79"/>
        <v>9000</v>
      </c>
      <c r="I192" s="52"/>
      <c r="J192" s="62">
        <v>8550.0</v>
      </c>
      <c r="K192" s="62"/>
      <c r="L192" s="62"/>
      <c r="M192" s="62"/>
      <c r="N192" s="62"/>
      <c r="O192" s="62"/>
      <c r="P192" s="62"/>
      <c r="Q192" s="53">
        <f t="shared" si="77"/>
        <v>58550</v>
      </c>
    </row>
    <row r="193" hidden="1">
      <c r="B193" s="72" t="s">
        <v>69</v>
      </c>
      <c r="D193" s="72" t="s">
        <v>70</v>
      </c>
      <c r="E193" s="72"/>
      <c r="F193" s="72" t="s">
        <v>71</v>
      </c>
      <c r="H193" s="72" t="s">
        <v>72</v>
      </c>
      <c r="I193" s="73">
        <v>44318.0</v>
      </c>
    </row>
    <row r="194" hidden="1">
      <c r="B194" s="72" t="s">
        <v>73</v>
      </c>
      <c r="D194" s="72" t="s">
        <v>74</v>
      </c>
      <c r="H194" s="72" t="s">
        <v>75</v>
      </c>
      <c r="I194" s="72">
        <v>1.0</v>
      </c>
    </row>
    <row r="195" hidden="1">
      <c r="B195" s="72" t="s">
        <v>76</v>
      </c>
      <c r="D195" s="72" t="s">
        <v>77</v>
      </c>
      <c r="I195" s="72">
        <v>1.0</v>
      </c>
    </row>
    <row r="196" hidden="1">
      <c r="I196" s="72">
        <v>3.0</v>
      </c>
    </row>
    <row r="197" hidden="1"/>
    <row r="198" hidden="1">
      <c r="A198" s="1" t="s">
        <v>0</v>
      </c>
      <c r="B198" s="2" t="s">
        <v>1</v>
      </c>
      <c r="C198" s="3"/>
      <c r="D198" s="3" t="s">
        <v>3</v>
      </c>
      <c r="E198" s="3"/>
      <c r="F198" s="3" t="s">
        <v>58</v>
      </c>
      <c r="G198" s="3" t="s">
        <v>34</v>
      </c>
      <c r="H198" s="3" t="s">
        <v>6</v>
      </c>
      <c r="I198" s="4" t="s">
        <v>78</v>
      </c>
      <c r="J198" s="4" t="s">
        <v>79</v>
      </c>
      <c r="K198" s="4"/>
      <c r="L198" s="4"/>
      <c r="M198" s="4"/>
      <c r="N198" s="4"/>
      <c r="O198" s="4"/>
      <c r="P198" s="4"/>
      <c r="Q198" s="1" t="s">
        <v>0</v>
      </c>
    </row>
    <row r="199" hidden="1">
      <c r="A199" s="6" t="s">
        <v>80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8"/>
    </row>
    <row r="200" hidden="1">
      <c r="A200" s="55" t="s">
        <v>81</v>
      </c>
      <c r="B200" s="10">
        <f>B205/4</f>
        <v>12200</v>
      </c>
      <c r="C200" s="10"/>
      <c r="D200" s="10">
        <f>D205/4</f>
        <v>10000</v>
      </c>
      <c r="E200" s="10"/>
      <c r="F200" s="10">
        <v>8000.0</v>
      </c>
      <c r="G200" s="10">
        <v>7000.0</v>
      </c>
      <c r="H200" s="10">
        <f t="shared" ref="H200:I200" si="80">H205/4</f>
        <v>10000</v>
      </c>
      <c r="I200" s="10">
        <f t="shared" si="80"/>
        <v>12000</v>
      </c>
      <c r="J200" s="12"/>
      <c r="K200" s="12"/>
      <c r="L200" s="12"/>
      <c r="M200" s="12"/>
      <c r="N200" s="12"/>
      <c r="O200" s="12"/>
      <c r="P200" s="12"/>
      <c r="Q200" s="13">
        <f>SUM(B200:J200)</f>
        <v>59200</v>
      </c>
    </row>
    <row r="201" hidden="1">
      <c r="A201" s="15" t="s">
        <v>82</v>
      </c>
      <c r="B201" s="10">
        <f>B205/4</f>
        <v>12200</v>
      </c>
      <c r="C201" s="10"/>
      <c r="D201" s="10">
        <f>D205/4</f>
        <v>10000</v>
      </c>
      <c r="E201" s="10"/>
      <c r="F201" s="10">
        <v>8000.0</v>
      </c>
      <c r="G201" s="10">
        <v>7000.0</v>
      </c>
      <c r="H201" s="10">
        <f t="shared" ref="H201:I201" si="81">H205/4</f>
        <v>10000</v>
      </c>
      <c r="I201" s="10">
        <f t="shared" si="81"/>
        <v>12000</v>
      </c>
      <c r="J201" s="12"/>
      <c r="K201" s="12"/>
      <c r="L201" s="12"/>
      <c r="M201" s="12"/>
      <c r="N201" s="12"/>
      <c r="O201" s="12"/>
      <c r="P201" s="12"/>
      <c r="Q201" s="13">
        <f t="shared" ref="Q201:Q204" si="83">SUM(B201:I201)</f>
        <v>59200</v>
      </c>
    </row>
    <row r="202" hidden="1">
      <c r="A202" s="15" t="s">
        <v>83</v>
      </c>
      <c r="B202" s="10">
        <f>B205/4</f>
        <v>12200</v>
      </c>
      <c r="C202" s="10"/>
      <c r="D202" s="10">
        <f>D205/4</f>
        <v>10000</v>
      </c>
      <c r="E202" s="10"/>
      <c r="F202" s="10">
        <v>8000.0</v>
      </c>
      <c r="G202" s="10">
        <v>7000.0</v>
      </c>
      <c r="H202" s="10">
        <f t="shared" ref="H202:I202" si="82">H205/4</f>
        <v>10000</v>
      </c>
      <c r="I202" s="10">
        <f t="shared" si="82"/>
        <v>12000</v>
      </c>
      <c r="J202" s="12"/>
      <c r="K202" s="12"/>
      <c r="L202" s="12"/>
      <c r="M202" s="12"/>
      <c r="N202" s="12"/>
      <c r="O202" s="12"/>
      <c r="P202" s="12"/>
      <c r="Q202" s="13">
        <f t="shared" si="83"/>
        <v>59200</v>
      </c>
    </row>
    <row r="203" hidden="1">
      <c r="A203" s="15" t="s">
        <v>84</v>
      </c>
      <c r="B203" s="16">
        <f>B205/4</f>
        <v>12200</v>
      </c>
      <c r="C203" s="16"/>
      <c r="D203" s="16">
        <f>D205/4</f>
        <v>10000</v>
      </c>
      <c r="E203" s="16"/>
      <c r="F203" s="16">
        <v>8000.0</v>
      </c>
      <c r="G203" s="16">
        <v>7000.0</v>
      </c>
      <c r="H203" s="16">
        <f t="shared" ref="H203:I203" si="84">H205/4</f>
        <v>10000</v>
      </c>
      <c r="I203" s="16">
        <f t="shared" si="84"/>
        <v>12000</v>
      </c>
      <c r="J203" s="18"/>
      <c r="K203" s="18"/>
      <c r="L203" s="18"/>
      <c r="M203" s="18"/>
      <c r="N203" s="18"/>
      <c r="O203" s="18"/>
      <c r="P203" s="18"/>
      <c r="Q203" s="19">
        <f t="shared" si="83"/>
        <v>59200</v>
      </c>
    </row>
    <row r="204" hidden="1">
      <c r="A204" s="15"/>
      <c r="B204" s="16"/>
      <c r="C204" s="16"/>
      <c r="D204" s="16"/>
      <c r="E204" s="16"/>
      <c r="F204" s="16"/>
      <c r="G204" s="16"/>
      <c r="H204" s="16"/>
      <c r="I204" s="16"/>
      <c r="J204" s="18"/>
      <c r="K204" s="18"/>
      <c r="L204" s="18"/>
      <c r="M204" s="18"/>
      <c r="N204" s="18"/>
      <c r="O204" s="18"/>
      <c r="P204" s="18"/>
      <c r="Q204" s="19">
        <f t="shared" si="83"/>
        <v>0</v>
      </c>
    </row>
    <row r="205" hidden="1">
      <c r="A205" s="20" t="s">
        <v>15</v>
      </c>
      <c r="B205" s="21">
        <v>48800.0</v>
      </c>
      <c r="C205" s="21"/>
      <c r="D205" s="21">
        <v>40000.0</v>
      </c>
      <c r="E205" s="21"/>
      <c r="F205" s="21">
        <v>32000.0</v>
      </c>
      <c r="G205" s="21">
        <f>SUM(G200:G203)</f>
        <v>28000</v>
      </c>
      <c r="H205" s="21">
        <v>40000.0</v>
      </c>
      <c r="I205" s="21">
        <v>48000.0</v>
      </c>
      <c r="J205" s="20"/>
      <c r="K205" s="20"/>
      <c r="L205" s="20"/>
      <c r="M205" s="20"/>
      <c r="N205" s="20"/>
      <c r="O205" s="20"/>
      <c r="P205" s="20"/>
      <c r="Q205" s="21">
        <f>SUM(Q200:Q203)</f>
        <v>236800</v>
      </c>
    </row>
    <row r="206" hidden="1">
      <c r="A206" s="23" t="s">
        <v>16</v>
      </c>
      <c r="B206" s="24">
        <v>11563.0</v>
      </c>
      <c r="C206" s="24"/>
      <c r="D206" s="24">
        <v>9931.0</v>
      </c>
      <c r="E206" s="24"/>
      <c r="F206" s="24" t="s">
        <v>85</v>
      </c>
      <c r="G206" s="24" t="s">
        <v>85</v>
      </c>
      <c r="H206" s="24">
        <v>11563.0</v>
      </c>
      <c r="I206" s="24"/>
      <c r="J206" s="74"/>
      <c r="K206" s="74"/>
      <c r="L206" s="74"/>
      <c r="M206" s="74"/>
      <c r="N206" s="74"/>
      <c r="O206" s="74"/>
      <c r="P206" s="74"/>
      <c r="Q206" s="75"/>
    </row>
    <row r="207" hidden="1">
      <c r="A207" s="57" t="s">
        <v>17</v>
      </c>
      <c r="B207" s="58">
        <f>B205-(B206)</f>
        <v>37237</v>
      </c>
      <c r="C207" s="58"/>
      <c r="D207" s="58">
        <f>D205-(D206)</f>
        <v>30069</v>
      </c>
      <c r="E207" s="58"/>
      <c r="F207" s="58">
        <v>32000.0</v>
      </c>
      <c r="G207" s="58">
        <f>G205</f>
        <v>28000</v>
      </c>
      <c r="H207" s="58">
        <f>H205-(H206)</f>
        <v>28437</v>
      </c>
      <c r="I207" s="58">
        <f>I204-(I206)</f>
        <v>0</v>
      </c>
      <c r="J207" s="25"/>
      <c r="K207" s="25"/>
      <c r="L207" s="25"/>
      <c r="M207" s="25"/>
      <c r="N207" s="25"/>
      <c r="O207" s="25"/>
      <c r="P207" s="25"/>
      <c r="Q207" s="26">
        <f t="shared" ref="Q207:Q209" si="85">SUM(B207:J207)</f>
        <v>155743</v>
      </c>
    </row>
    <row r="208" hidden="1">
      <c r="A208" s="27" t="s">
        <v>40</v>
      </c>
      <c r="B208" s="28" t="s">
        <v>86</v>
      </c>
      <c r="C208" s="28"/>
      <c r="D208" s="28"/>
      <c r="E208" s="28"/>
      <c r="F208" s="28" t="s">
        <v>87</v>
      </c>
      <c r="G208" s="28"/>
      <c r="H208" s="28"/>
      <c r="I208" s="28"/>
      <c r="J208" s="28"/>
      <c r="K208" s="29"/>
      <c r="L208" s="29"/>
      <c r="M208" s="29"/>
      <c r="N208" s="29"/>
      <c r="O208" s="29"/>
      <c r="P208" s="29"/>
      <c r="Q208" s="30">
        <f t="shared" si="85"/>
        <v>0</v>
      </c>
    </row>
    <row r="209" hidden="1">
      <c r="A209" s="23" t="s">
        <v>88</v>
      </c>
      <c r="B209" s="24"/>
      <c r="C209" s="24"/>
      <c r="D209" s="24"/>
      <c r="E209" s="24"/>
      <c r="F209" s="24"/>
      <c r="G209" s="24">
        <v>1000.0</v>
      </c>
      <c r="H209" s="24">
        <v>1000.0</v>
      </c>
      <c r="I209" s="24">
        <v>1000.0</v>
      </c>
      <c r="J209" s="24"/>
      <c r="K209" s="25"/>
      <c r="L209" s="25"/>
      <c r="M209" s="25"/>
      <c r="N209" s="25"/>
      <c r="O209" s="25"/>
      <c r="P209" s="25"/>
      <c r="Q209" s="26">
        <f t="shared" si="85"/>
        <v>3000</v>
      </c>
    </row>
    <row r="210" hidden="1">
      <c r="A210" s="39" t="s">
        <v>22</v>
      </c>
      <c r="B210" s="40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</row>
    <row r="211" hidden="1">
      <c r="A211" s="59" t="s">
        <v>81</v>
      </c>
      <c r="B211" s="43"/>
      <c r="C211" s="44"/>
      <c r="D211" s="44"/>
      <c r="E211" s="45"/>
      <c r="F211" s="45"/>
      <c r="G211" s="45"/>
      <c r="H211" s="45"/>
      <c r="I211" s="44"/>
      <c r="J211" s="44"/>
      <c r="K211" s="44"/>
      <c r="L211" s="44"/>
      <c r="M211" s="44"/>
      <c r="N211" s="44"/>
      <c r="O211" s="44"/>
      <c r="P211" s="44"/>
      <c r="Q211" s="44"/>
    </row>
    <row r="212" hidden="1">
      <c r="A212" s="60" t="s">
        <v>82</v>
      </c>
      <c r="B212" s="46"/>
      <c r="C212" s="45"/>
      <c r="D212" s="45"/>
      <c r="E212" s="45"/>
      <c r="F212" s="45"/>
      <c r="G212" s="45"/>
      <c r="H212" s="44"/>
      <c r="I212" s="44"/>
      <c r="J212" s="44"/>
      <c r="K212" s="44"/>
      <c r="L212" s="44"/>
      <c r="M212" s="44"/>
      <c r="N212" s="44"/>
      <c r="O212" s="44"/>
      <c r="P212" s="44"/>
      <c r="Q212" s="44"/>
    </row>
    <row r="213" hidden="1">
      <c r="A213" s="60" t="s">
        <v>83</v>
      </c>
      <c r="B213" s="43"/>
      <c r="C213" s="45"/>
      <c r="D213" s="45"/>
      <c r="E213" s="45"/>
      <c r="F213" s="45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</row>
    <row r="214" hidden="1">
      <c r="A214" s="60" t="s">
        <v>84</v>
      </c>
      <c r="B214" s="46"/>
      <c r="C214" s="45"/>
      <c r="D214" s="44"/>
      <c r="E214" s="45"/>
      <c r="F214" s="45"/>
      <c r="G214" s="44"/>
      <c r="H214" s="45"/>
      <c r="I214" s="44"/>
      <c r="J214" s="44"/>
      <c r="K214" s="44"/>
      <c r="L214" s="44"/>
      <c r="M214" s="44"/>
      <c r="N214" s="44"/>
      <c r="O214" s="44"/>
      <c r="P214" s="44"/>
      <c r="Q214" s="44"/>
    </row>
    <row r="215" hidden="1">
      <c r="A215" s="47" t="s">
        <v>23</v>
      </c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7" t="s">
        <v>24</v>
      </c>
    </row>
    <row r="216" hidden="1">
      <c r="A216" s="61" t="s">
        <v>81</v>
      </c>
      <c r="B216" s="54">
        <f>B207/3</f>
        <v>12412.33333</v>
      </c>
      <c r="C216" s="52"/>
      <c r="D216" s="62">
        <f>D207/3</f>
        <v>10023</v>
      </c>
      <c r="E216" s="52"/>
      <c r="F216" s="52">
        <f t="shared" ref="F216:G216" si="86">F207/4</f>
        <v>8000</v>
      </c>
      <c r="G216" s="62">
        <f t="shared" si="86"/>
        <v>7000</v>
      </c>
      <c r="H216" s="62">
        <f>H207/3</f>
        <v>9479</v>
      </c>
      <c r="I216" s="52">
        <f>I205/4</f>
        <v>12000</v>
      </c>
      <c r="J216" s="62"/>
      <c r="K216" s="62"/>
      <c r="L216" s="62"/>
      <c r="M216" s="62"/>
      <c r="N216" s="62"/>
      <c r="O216" s="62"/>
      <c r="P216" s="62"/>
      <c r="Q216" s="53">
        <f t="shared" ref="Q216:Q221" si="87">SUM(B216:J216)</f>
        <v>58914.33333</v>
      </c>
    </row>
    <row r="217" hidden="1">
      <c r="A217" s="63" t="s">
        <v>82</v>
      </c>
      <c r="B217" s="54" t="s">
        <v>89</v>
      </c>
      <c r="C217" s="52"/>
      <c r="D217" s="62" t="s">
        <v>89</v>
      </c>
      <c r="E217" s="52"/>
      <c r="F217" s="52">
        <f>(F207/4)-F212+1000</f>
        <v>9000</v>
      </c>
      <c r="G217" s="62">
        <f>(G207/4)-G212</f>
        <v>7000</v>
      </c>
      <c r="H217" s="62" t="s">
        <v>89</v>
      </c>
      <c r="I217" s="62">
        <f>I205/4</f>
        <v>12000</v>
      </c>
      <c r="J217" s="62"/>
      <c r="K217" s="62"/>
      <c r="L217" s="62"/>
      <c r="M217" s="62"/>
      <c r="N217" s="62"/>
      <c r="O217" s="62"/>
      <c r="P217" s="62"/>
      <c r="Q217" s="53">
        <f t="shared" si="87"/>
        <v>28000</v>
      </c>
    </row>
    <row r="218" hidden="1">
      <c r="A218" s="63" t="s">
        <v>83</v>
      </c>
      <c r="B218" s="54">
        <f>(B207/3)+1000</f>
        <v>13412.33333</v>
      </c>
      <c r="C218" s="67"/>
      <c r="D218" s="69">
        <f>D207/3</f>
        <v>10023</v>
      </c>
      <c r="E218" s="67"/>
      <c r="F218" s="67">
        <f t="shared" ref="F218:G218" si="88">(F207/4)-F213</f>
        <v>8000</v>
      </c>
      <c r="G218" s="69">
        <f t="shared" si="88"/>
        <v>7000</v>
      </c>
      <c r="H218" s="67">
        <f>H207/3</f>
        <v>9479</v>
      </c>
      <c r="I218" s="62">
        <f>I205/4</f>
        <v>12000</v>
      </c>
      <c r="J218" s="62"/>
      <c r="K218" s="62"/>
      <c r="L218" s="62"/>
      <c r="M218" s="62"/>
      <c r="N218" s="62"/>
      <c r="O218" s="62"/>
      <c r="P218" s="62"/>
      <c r="Q218" s="53">
        <f t="shared" si="87"/>
        <v>59914.33333</v>
      </c>
    </row>
    <row r="219" hidden="1">
      <c r="A219" s="63" t="s">
        <v>84</v>
      </c>
      <c r="B219" s="54">
        <v>13500.0</v>
      </c>
      <c r="C219" s="62"/>
      <c r="D219" s="62">
        <f>D207/3</f>
        <v>10023</v>
      </c>
      <c r="E219" s="62"/>
      <c r="F219" s="62">
        <f t="shared" ref="F219:G219" si="89">(F207/4)-F214</f>
        <v>8000</v>
      </c>
      <c r="G219" s="62">
        <f t="shared" si="89"/>
        <v>7000</v>
      </c>
      <c r="H219" s="62">
        <f>H207/3</f>
        <v>9479</v>
      </c>
      <c r="I219" s="52">
        <f>I205/4</f>
        <v>12000</v>
      </c>
      <c r="J219" s="62"/>
      <c r="K219" s="62"/>
      <c r="L219" s="62"/>
      <c r="M219" s="62"/>
      <c r="N219" s="62"/>
      <c r="O219" s="62"/>
      <c r="P219" s="62"/>
      <c r="Q219" s="53">
        <f t="shared" si="87"/>
        <v>60002</v>
      </c>
    </row>
    <row r="220" hidden="1">
      <c r="A220" s="63"/>
      <c r="B220" s="54"/>
      <c r="C220" s="52"/>
      <c r="D220" s="62"/>
      <c r="E220" s="62"/>
      <c r="F220" s="62"/>
      <c r="G220" s="62"/>
      <c r="H220" s="62"/>
      <c r="I220" s="52"/>
      <c r="J220" s="62"/>
      <c r="K220" s="62"/>
      <c r="L220" s="62"/>
      <c r="M220" s="62"/>
      <c r="N220" s="62"/>
      <c r="O220" s="62"/>
      <c r="P220" s="62"/>
      <c r="Q220" s="53">
        <f t="shared" si="87"/>
        <v>0</v>
      </c>
    </row>
    <row r="221" hidden="1">
      <c r="A221" s="63"/>
      <c r="B221" s="54"/>
      <c r="C221" s="52"/>
      <c r="D221" s="62"/>
      <c r="E221" s="62"/>
      <c r="F221" s="62"/>
      <c r="G221" s="62"/>
      <c r="H221" s="62"/>
      <c r="I221" s="52"/>
      <c r="J221" s="62"/>
      <c r="K221" s="62"/>
      <c r="L221" s="62"/>
      <c r="M221" s="62"/>
      <c r="N221" s="62"/>
      <c r="O221" s="62"/>
      <c r="P221" s="62"/>
      <c r="Q221" s="53">
        <f t="shared" si="87"/>
        <v>0</v>
      </c>
    </row>
    <row r="222" hidden="1"/>
    <row r="223" hidden="1">
      <c r="A223" s="1" t="s">
        <v>0</v>
      </c>
      <c r="B223" s="2" t="s">
        <v>1</v>
      </c>
      <c r="C223" s="3" t="s">
        <v>90</v>
      </c>
      <c r="D223" s="3" t="s">
        <v>3</v>
      </c>
      <c r="E223" s="3"/>
      <c r="F223" s="3" t="s">
        <v>58</v>
      </c>
      <c r="G223" s="3" t="s">
        <v>91</v>
      </c>
      <c r="H223" s="3" t="s">
        <v>6</v>
      </c>
      <c r="I223" s="4" t="s">
        <v>92</v>
      </c>
      <c r="J223" s="4" t="s">
        <v>93</v>
      </c>
      <c r="K223" s="4"/>
      <c r="L223" s="4"/>
      <c r="M223" s="4"/>
      <c r="N223" s="4"/>
      <c r="O223" s="4"/>
      <c r="P223" s="4"/>
      <c r="Q223" s="1" t="s">
        <v>0</v>
      </c>
    </row>
    <row r="224" hidden="1">
      <c r="A224" s="6" t="s">
        <v>94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8"/>
    </row>
    <row r="225" hidden="1">
      <c r="A225" s="55" t="s">
        <v>95</v>
      </c>
      <c r="B225" s="10">
        <f>B230/4</f>
        <v>12200</v>
      </c>
      <c r="C225" s="10"/>
      <c r="D225" s="10">
        <f>D230/4</f>
        <v>10000</v>
      </c>
      <c r="E225" s="10"/>
      <c r="F225" s="10">
        <v>8000.0</v>
      </c>
      <c r="G225" s="10"/>
      <c r="H225" s="10">
        <f t="shared" ref="H225:I225" si="90">H230/4</f>
        <v>10000</v>
      </c>
      <c r="I225" s="10">
        <f t="shared" si="90"/>
        <v>12000</v>
      </c>
      <c r="J225" s="12"/>
      <c r="K225" s="12"/>
      <c r="L225" s="12"/>
      <c r="M225" s="12"/>
      <c r="N225" s="12"/>
      <c r="O225" s="12"/>
      <c r="P225" s="12"/>
      <c r="Q225" s="13">
        <f>SUM(B225:J225)</f>
        <v>52200</v>
      </c>
    </row>
    <row r="226" hidden="1">
      <c r="A226" s="15" t="s">
        <v>96</v>
      </c>
      <c r="B226" s="10">
        <f>B230/4</f>
        <v>12200</v>
      </c>
      <c r="C226" s="10"/>
      <c r="D226" s="10">
        <f>D230/4</f>
        <v>10000</v>
      </c>
      <c r="E226" s="10"/>
      <c r="F226" s="10">
        <v>8000.0</v>
      </c>
      <c r="G226" s="10"/>
      <c r="H226" s="10">
        <f t="shared" ref="H226:I226" si="91">H230/4</f>
        <v>10000</v>
      </c>
      <c r="I226" s="10">
        <f t="shared" si="91"/>
        <v>12000</v>
      </c>
      <c r="J226" s="12"/>
      <c r="K226" s="12"/>
      <c r="L226" s="12"/>
      <c r="M226" s="12"/>
      <c r="N226" s="12"/>
      <c r="O226" s="12"/>
      <c r="P226" s="12"/>
      <c r="Q226" s="13">
        <f t="shared" ref="Q226:Q229" si="93">SUM(B226:I226)</f>
        <v>52200</v>
      </c>
    </row>
    <row r="227" hidden="1">
      <c r="A227" s="15" t="s">
        <v>97</v>
      </c>
      <c r="B227" s="10">
        <f>B230/4</f>
        <v>12200</v>
      </c>
      <c r="C227" s="10"/>
      <c r="D227" s="10">
        <f>D230/4</f>
        <v>10000</v>
      </c>
      <c r="E227" s="10"/>
      <c r="F227" s="10">
        <v>8000.0</v>
      </c>
      <c r="G227" s="10"/>
      <c r="H227" s="10">
        <f t="shared" ref="H227:I227" si="92">H230/4</f>
        <v>10000</v>
      </c>
      <c r="I227" s="10">
        <f t="shared" si="92"/>
        <v>12000</v>
      </c>
      <c r="J227" s="12"/>
      <c r="K227" s="12"/>
      <c r="L227" s="12"/>
      <c r="M227" s="12"/>
      <c r="N227" s="12"/>
      <c r="O227" s="12"/>
      <c r="P227" s="12"/>
      <c r="Q227" s="13">
        <f t="shared" si="93"/>
        <v>52200</v>
      </c>
    </row>
    <row r="228" hidden="1">
      <c r="A228" s="15" t="s">
        <v>98</v>
      </c>
      <c r="B228" s="16">
        <f>B230/4</f>
        <v>12200</v>
      </c>
      <c r="C228" s="16"/>
      <c r="D228" s="16">
        <f>D230/4</f>
        <v>10000</v>
      </c>
      <c r="E228" s="16"/>
      <c r="F228" s="16">
        <v>8000.0</v>
      </c>
      <c r="G228" s="16"/>
      <c r="H228" s="16">
        <f t="shared" ref="H228:I228" si="94">H230/4</f>
        <v>10000</v>
      </c>
      <c r="I228" s="16">
        <f t="shared" si="94"/>
        <v>12000</v>
      </c>
      <c r="J228" s="18"/>
      <c r="K228" s="18"/>
      <c r="L228" s="18"/>
      <c r="M228" s="18"/>
      <c r="N228" s="18"/>
      <c r="O228" s="18"/>
      <c r="P228" s="18"/>
      <c r="Q228" s="19">
        <f t="shared" si="93"/>
        <v>52200</v>
      </c>
    </row>
    <row r="229" hidden="1">
      <c r="A229" s="15"/>
      <c r="B229" s="16"/>
      <c r="C229" s="16"/>
      <c r="D229" s="16"/>
      <c r="E229" s="16"/>
      <c r="F229" s="16"/>
      <c r="G229" s="16"/>
      <c r="H229" s="16"/>
      <c r="I229" s="16"/>
      <c r="J229" s="18"/>
      <c r="K229" s="18"/>
      <c r="L229" s="18"/>
      <c r="M229" s="18"/>
      <c r="N229" s="18"/>
      <c r="O229" s="18"/>
      <c r="P229" s="18"/>
      <c r="Q229" s="19">
        <f t="shared" si="93"/>
        <v>0</v>
      </c>
    </row>
    <row r="230" hidden="1">
      <c r="A230" s="20" t="s">
        <v>15</v>
      </c>
      <c r="B230" s="21">
        <v>48800.0</v>
      </c>
      <c r="C230" s="21"/>
      <c r="D230" s="21">
        <v>40000.0</v>
      </c>
      <c r="E230" s="21"/>
      <c r="F230" s="21">
        <v>32000.0</v>
      </c>
      <c r="G230" s="21"/>
      <c r="H230" s="21">
        <v>40000.0</v>
      </c>
      <c r="I230" s="21">
        <v>48000.0</v>
      </c>
      <c r="J230" s="20"/>
      <c r="K230" s="20"/>
      <c r="L230" s="20"/>
      <c r="M230" s="20"/>
      <c r="N230" s="20"/>
      <c r="O230" s="20"/>
      <c r="P230" s="20"/>
      <c r="Q230" s="21">
        <f>SUM(Q225:Q228)</f>
        <v>208800</v>
      </c>
    </row>
    <row r="231" hidden="1">
      <c r="A231" s="23" t="s">
        <v>16</v>
      </c>
      <c r="B231" s="24">
        <v>11563.0</v>
      </c>
      <c r="C231" s="24"/>
      <c r="D231" s="24">
        <v>9931.0</v>
      </c>
      <c r="E231" s="24"/>
      <c r="F231" s="24" t="s">
        <v>85</v>
      </c>
      <c r="G231" s="24"/>
      <c r="H231" s="24">
        <v>11563.0</v>
      </c>
      <c r="I231" s="24"/>
      <c r="J231" s="74"/>
      <c r="K231" s="74"/>
      <c r="L231" s="74"/>
      <c r="M231" s="74"/>
      <c r="N231" s="74"/>
      <c r="O231" s="74"/>
      <c r="P231" s="74"/>
      <c r="Q231" s="75"/>
    </row>
    <row r="232" hidden="1">
      <c r="A232" s="57" t="s">
        <v>17</v>
      </c>
      <c r="B232" s="58">
        <f>B230-(B231)</f>
        <v>37237</v>
      </c>
      <c r="C232" s="58"/>
      <c r="D232" s="58">
        <f>D230-(D231)</f>
        <v>30069</v>
      </c>
      <c r="E232" s="58"/>
      <c r="F232" s="58">
        <v>32000.0</v>
      </c>
      <c r="G232" s="58"/>
      <c r="H232" s="58">
        <f>H230-(H231)</f>
        <v>28437</v>
      </c>
      <c r="I232" s="58">
        <f>I229-(I231)</f>
        <v>0</v>
      </c>
      <c r="J232" s="25"/>
      <c r="K232" s="25"/>
      <c r="L232" s="25"/>
      <c r="M232" s="25"/>
      <c r="N232" s="25"/>
      <c r="O232" s="25"/>
      <c r="P232" s="25"/>
      <c r="Q232" s="26">
        <f t="shared" ref="Q232:Q234" si="95">SUM(B232:J232)</f>
        <v>127743</v>
      </c>
    </row>
    <row r="233" hidden="1">
      <c r="A233" s="27" t="s">
        <v>40</v>
      </c>
      <c r="B233" s="28" t="s">
        <v>86</v>
      </c>
      <c r="C233" s="28"/>
      <c r="D233" s="28"/>
      <c r="E233" s="28"/>
      <c r="F233" s="28" t="s">
        <v>87</v>
      </c>
      <c r="G233" s="28"/>
      <c r="H233" s="28"/>
      <c r="I233" s="28"/>
      <c r="J233" s="28"/>
      <c r="K233" s="29"/>
      <c r="L233" s="29"/>
      <c r="M233" s="29"/>
      <c r="N233" s="29"/>
      <c r="O233" s="29"/>
      <c r="P233" s="29"/>
      <c r="Q233" s="30">
        <f t="shared" si="95"/>
        <v>0</v>
      </c>
    </row>
    <row r="234" hidden="1">
      <c r="A234" s="23" t="s">
        <v>88</v>
      </c>
      <c r="B234" s="24"/>
      <c r="C234" s="24"/>
      <c r="D234" s="24"/>
      <c r="E234" s="24"/>
      <c r="F234" s="24"/>
      <c r="G234" s="24"/>
      <c r="H234" s="24">
        <v>1000.0</v>
      </c>
      <c r="I234" s="24">
        <v>1000.0</v>
      </c>
      <c r="J234" s="24"/>
      <c r="K234" s="25"/>
      <c r="L234" s="25"/>
      <c r="M234" s="25"/>
      <c r="N234" s="25"/>
      <c r="O234" s="25"/>
      <c r="P234" s="25"/>
      <c r="Q234" s="26">
        <f t="shared" si="95"/>
        <v>2000</v>
      </c>
    </row>
    <row r="235" hidden="1">
      <c r="A235" s="39" t="s">
        <v>22</v>
      </c>
      <c r="B235" s="40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</row>
    <row r="236" hidden="1">
      <c r="A236" s="59" t="s">
        <v>95</v>
      </c>
      <c r="B236" s="43"/>
      <c r="C236" s="44"/>
      <c r="D236" s="44"/>
      <c r="E236" s="45"/>
      <c r="F236" s="45"/>
      <c r="G236" s="45"/>
      <c r="H236" s="45"/>
      <c r="I236" s="44"/>
      <c r="J236" s="44"/>
      <c r="K236" s="44"/>
      <c r="L236" s="44"/>
      <c r="M236" s="44"/>
      <c r="N236" s="44"/>
      <c r="O236" s="44"/>
      <c r="P236" s="44"/>
      <c r="Q236" s="44"/>
    </row>
    <row r="237" hidden="1">
      <c r="A237" s="60" t="s">
        <v>96</v>
      </c>
      <c r="B237" s="46"/>
      <c r="C237" s="45"/>
      <c r="D237" s="45"/>
      <c r="E237" s="45"/>
      <c r="F237" s="45"/>
      <c r="G237" s="45"/>
      <c r="H237" s="44"/>
      <c r="I237" s="44"/>
      <c r="J237" s="44"/>
      <c r="K237" s="44"/>
      <c r="L237" s="44"/>
      <c r="M237" s="44"/>
      <c r="N237" s="44"/>
      <c r="O237" s="44"/>
      <c r="P237" s="44"/>
      <c r="Q237" s="44"/>
    </row>
    <row r="238" hidden="1">
      <c r="A238" s="60" t="s">
        <v>97</v>
      </c>
      <c r="B238" s="43"/>
      <c r="C238" s="45"/>
      <c r="D238" s="45"/>
      <c r="E238" s="45"/>
      <c r="F238" s="45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</row>
    <row r="239" hidden="1">
      <c r="A239" s="60" t="s">
        <v>98</v>
      </c>
      <c r="B239" s="46"/>
      <c r="C239" s="45"/>
      <c r="D239" s="44"/>
      <c r="E239" s="45"/>
      <c r="F239" s="45"/>
      <c r="G239" s="44"/>
      <c r="H239" s="45"/>
      <c r="I239" s="44"/>
      <c r="J239" s="44"/>
      <c r="K239" s="44"/>
      <c r="L239" s="44"/>
      <c r="M239" s="44"/>
      <c r="N239" s="44"/>
      <c r="O239" s="44"/>
      <c r="P239" s="44"/>
      <c r="Q239" s="44"/>
    </row>
    <row r="240" hidden="1">
      <c r="A240" s="1" t="s">
        <v>0</v>
      </c>
      <c r="B240" s="2" t="s">
        <v>1</v>
      </c>
      <c r="C240" s="3" t="s">
        <v>99</v>
      </c>
      <c r="D240" s="3" t="s">
        <v>3</v>
      </c>
      <c r="E240" s="3"/>
      <c r="F240" s="3" t="s">
        <v>58</v>
      </c>
      <c r="G240" s="3" t="s">
        <v>91</v>
      </c>
      <c r="H240" s="3" t="s">
        <v>6</v>
      </c>
      <c r="I240" s="4" t="s">
        <v>92</v>
      </c>
      <c r="J240" s="4" t="s">
        <v>93</v>
      </c>
      <c r="K240" s="4"/>
      <c r="L240" s="4"/>
      <c r="M240" s="4"/>
      <c r="N240" s="4"/>
      <c r="O240" s="4"/>
      <c r="P240" s="4"/>
      <c r="Q240" s="1" t="s">
        <v>0</v>
      </c>
    </row>
    <row r="241" hidden="1">
      <c r="A241" s="47" t="s">
        <v>23</v>
      </c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7" t="s">
        <v>24</v>
      </c>
    </row>
    <row r="242" hidden="1">
      <c r="A242" s="61" t="s">
        <v>95</v>
      </c>
      <c r="B242" s="54">
        <f>B232/3+1000</f>
        <v>13412.33333</v>
      </c>
      <c r="C242" s="52"/>
      <c r="D242" s="62">
        <f>D232/3</f>
        <v>10023</v>
      </c>
      <c r="E242" s="52"/>
      <c r="F242" s="52">
        <f>F232/4</f>
        <v>8000</v>
      </c>
      <c r="G242" s="62"/>
      <c r="H242" s="62">
        <f>H232/3</f>
        <v>9479</v>
      </c>
      <c r="I242" s="52">
        <f>I230/4</f>
        <v>12000</v>
      </c>
      <c r="J242" s="62"/>
      <c r="K242" s="62"/>
      <c r="L242" s="62"/>
      <c r="M242" s="62"/>
      <c r="N242" s="62"/>
      <c r="O242" s="62"/>
      <c r="P242" s="62"/>
      <c r="Q242" s="53">
        <f t="shared" ref="Q242:Q247" si="96">SUM(B242:J242)</f>
        <v>52914.33333</v>
      </c>
    </row>
    <row r="243" hidden="1">
      <c r="A243" s="63" t="s">
        <v>96</v>
      </c>
      <c r="B243" s="54">
        <f>12500+1000</f>
        <v>13500</v>
      </c>
      <c r="C243" s="52"/>
      <c r="D243" s="62">
        <v>10000.0</v>
      </c>
      <c r="E243" s="52"/>
      <c r="F243" s="52">
        <f t="shared" ref="F243:F245" si="97">8000+2000-333</f>
        <v>9667</v>
      </c>
      <c r="G243" s="62"/>
      <c r="H243" s="62">
        <v>9500.0</v>
      </c>
      <c r="I243" s="62">
        <f>I230/4</f>
        <v>12000</v>
      </c>
      <c r="J243" s="62">
        <v>6000.0</v>
      </c>
      <c r="K243" s="62"/>
      <c r="L243" s="62"/>
      <c r="M243" s="62"/>
      <c r="N243" s="62"/>
      <c r="O243" s="62"/>
      <c r="P243" s="62"/>
      <c r="Q243" s="53">
        <f t="shared" si="96"/>
        <v>60667</v>
      </c>
    </row>
    <row r="244" hidden="1">
      <c r="A244" s="63" t="s">
        <v>97</v>
      </c>
      <c r="B244" s="54">
        <f>(B232/3)+1000</f>
        <v>13412.33333</v>
      </c>
      <c r="C244" s="67"/>
      <c r="D244" s="69">
        <f>D232/3</f>
        <v>10023</v>
      </c>
      <c r="E244" s="52"/>
      <c r="F244" s="52">
        <f t="shared" si="97"/>
        <v>9667</v>
      </c>
      <c r="G244" s="69"/>
      <c r="H244" s="67">
        <f>H232/3+(200*4)</f>
        <v>10279</v>
      </c>
      <c r="I244" s="62">
        <f>I230/4+1800</f>
        <v>13800</v>
      </c>
      <c r="J244" s="62">
        <f>6000+(125*4)</f>
        <v>6500</v>
      </c>
      <c r="K244" s="62"/>
      <c r="L244" s="62"/>
      <c r="M244" s="62"/>
      <c r="N244" s="62"/>
      <c r="O244" s="62"/>
      <c r="P244" s="62"/>
      <c r="Q244" s="53">
        <f t="shared" si="96"/>
        <v>63681.33333</v>
      </c>
    </row>
    <row r="245" hidden="1">
      <c r="A245" s="63" t="s">
        <v>98</v>
      </c>
      <c r="B245" s="54">
        <v>13500.0</v>
      </c>
      <c r="C245" s="62">
        <v>8000.0</v>
      </c>
      <c r="D245" s="62">
        <f>D232/3</f>
        <v>10023</v>
      </c>
      <c r="E245" s="62"/>
      <c r="F245" s="62">
        <f t="shared" si="97"/>
        <v>9667</v>
      </c>
      <c r="G245" s="62"/>
      <c r="H245" s="62">
        <f>10000+1500+2500+1000</f>
        <v>15000</v>
      </c>
      <c r="I245" s="52">
        <f>I230/4</f>
        <v>12000</v>
      </c>
      <c r="J245" s="62">
        <v>7000.0</v>
      </c>
      <c r="K245" s="62"/>
      <c r="L245" s="62"/>
      <c r="M245" s="62"/>
      <c r="N245" s="62"/>
      <c r="O245" s="62"/>
      <c r="P245" s="62"/>
      <c r="Q245" s="53">
        <f t="shared" si="96"/>
        <v>75190</v>
      </c>
    </row>
    <row r="246" hidden="1">
      <c r="A246" s="63" t="s">
        <v>100</v>
      </c>
      <c r="B246" s="54">
        <v>13500.0</v>
      </c>
      <c r="C246" s="62">
        <v>8000.0</v>
      </c>
      <c r="D246" s="62">
        <v>10000.0</v>
      </c>
      <c r="E246" s="62"/>
      <c r="F246" s="62">
        <f>8000+2000</f>
        <v>10000</v>
      </c>
      <c r="G246" s="62"/>
      <c r="H246" s="62">
        <v>15000.0</v>
      </c>
      <c r="I246" s="62">
        <v>12000.0</v>
      </c>
      <c r="J246" s="62">
        <f>7000+1000</f>
        <v>8000</v>
      </c>
      <c r="K246" s="62"/>
      <c r="L246" s="62"/>
      <c r="M246" s="62"/>
      <c r="N246" s="62"/>
      <c r="O246" s="62"/>
      <c r="P246" s="62"/>
      <c r="Q246" s="53">
        <f t="shared" si="96"/>
        <v>76500</v>
      </c>
    </row>
    <row r="247" hidden="1">
      <c r="A247" s="63" t="s">
        <v>101</v>
      </c>
      <c r="B247" s="54">
        <v>16500.0</v>
      </c>
      <c r="C247" s="62">
        <f t="shared" ref="C247:C248" si="98">9500+1500</f>
        <v>11000</v>
      </c>
      <c r="D247" s="62">
        <f t="shared" ref="D247:D248" si="99">10000+1700</f>
        <v>11700</v>
      </c>
      <c r="E247" s="62"/>
      <c r="F247" s="62">
        <f t="shared" ref="F247:F248" si="100">8000+1300</f>
        <v>9300</v>
      </c>
      <c r="G247" s="62">
        <f>7000+1100+600</f>
        <v>8700</v>
      </c>
      <c r="H247" s="62">
        <v>15000.0</v>
      </c>
      <c r="I247" s="62">
        <v>16800.0</v>
      </c>
      <c r="J247" s="62">
        <f t="shared" ref="J247:J248" si="101">7000+1200</f>
        <v>8200</v>
      </c>
      <c r="K247" s="62"/>
      <c r="L247" s="62"/>
      <c r="M247" s="62"/>
      <c r="N247" s="62"/>
      <c r="O247" s="62"/>
      <c r="P247" s="62"/>
      <c r="Q247" s="53">
        <f t="shared" si="96"/>
        <v>97200</v>
      </c>
    </row>
    <row r="248" hidden="1">
      <c r="B248" s="54">
        <v>16500.0</v>
      </c>
      <c r="C248" s="62">
        <f t="shared" si="98"/>
        <v>11000</v>
      </c>
      <c r="D248" s="62">
        <f t="shared" si="99"/>
        <v>11700</v>
      </c>
      <c r="E248" s="62"/>
      <c r="F248" s="62">
        <f t="shared" si="100"/>
        <v>9300</v>
      </c>
      <c r="G248" s="62">
        <f>7000+1100</f>
        <v>8100</v>
      </c>
      <c r="H248" s="62">
        <v>15000.0</v>
      </c>
      <c r="I248" s="62">
        <v>16800.0</v>
      </c>
      <c r="J248" s="62">
        <f t="shared" si="101"/>
        <v>8200</v>
      </c>
      <c r="K248" s="62"/>
      <c r="L248" s="62"/>
      <c r="M248" s="62"/>
      <c r="N248" s="62"/>
      <c r="O248" s="62"/>
      <c r="P248" s="62"/>
    </row>
    <row r="249" hidden="1"/>
    <row r="250" hidden="1">
      <c r="D250" t="str">
        <f>SUM(D244+F244+G244+#REF!+H244)</f>
        <v>#REF!</v>
      </c>
    </row>
    <row r="251" hidden="1">
      <c r="A251" s="6" t="s">
        <v>102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8"/>
    </row>
    <row r="252" hidden="1">
      <c r="A252" s="55" t="s">
        <v>103</v>
      </c>
      <c r="B252" s="10">
        <v>13500.0</v>
      </c>
      <c r="C252" s="10">
        <v>9500.0</v>
      </c>
      <c r="D252" s="10">
        <f>D257/4</f>
        <v>10000</v>
      </c>
      <c r="E252" s="10"/>
      <c r="F252" s="10">
        <v>8000.0</v>
      </c>
      <c r="G252" s="10">
        <v>7000.0</v>
      </c>
      <c r="H252" s="10">
        <v>15000.0</v>
      </c>
      <c r="I252" s="10">
        <v>14000.0</v>
      </c>
      <c r="J252" s="10">
        <v>7000.0</v>
      </c>
      <c r="K252" s="10"/>
      <c r="L252" s="10"/>
      <c r="M252" s="10"/>
      <c r="N252" s="10"/>
      <c r="O252" s="10"/>
      <c r="P252" s="10"/>
      <c r="Q252" s="13">
        <f t="shared" ref="Q252:Q255" si="102">SUM(B252:J252)</f>
        <v>84000</v>
      </c>
    </row>
    <row r="253" hidden="1">
      <c r="A253" s="15" t="s">
        <v>104</v>
      </c>
      <c r="B253" s="10">
        <v>13500.0</v>
      </c>
      <c r="C253" s="10">
        <v>9500.0</v>
      </c>
      <c r="D253" s="10">
        <f>D257/4</f>
        <v>10000</v>
      </c>
      <c r="E253" s="10"/>
      <c r="F253" s="10">
        <v>8000.0</v>
      </c>
      <c r="G253" s="10">
        <v>7000.0</v>
      </c>
      <c r="H253" s="10">
        <v>15000.0</v>
      </c>
      <c r="I253" s="10">
        <v>14000.0</v>
      </c>
      <c r="J253" s="10">
        <v>7000.0</v>
      </c>
      <c r="K253" s="10"/>
      <c r="L253" s="10"/>
      <c r="M253" s="10"/>
      <c r="N253" s="10"/>
      <c r="O253" s="10"/>
      <c r="P253" s="10"/>
      <c r="Q253" s="13">
        <f t="shared" si="102"/>
        <v>84000</v>
      </c>
    </row>
    <row r="254" hidden="1">
      <c r="A254" s="15" t="s">
        <v>105</v>
      </c>
      <c r="B254" s="10">
        <v>13500.0</v>
      </c>
      <c r="C254" s="10">
        <v>9500.0</v>
      </c>
      <c r="D254" s="10">
        <f>D257/4</f>
        <v>10000</v>
      </c>
      <c r="E254" s="10"/>
      <c r="F254" s="10">
        <v>8000.0</v>
      </c>
      <c r="G254" s="10">
        <v>7000.0</v>
      </c>
      <c r="H254" s="10">
        <v>15000.0</v>
      </c>
      <c r="I254" s="10">
        <v>14000.0</v>
      </c>
      <c r="J254" s="10">
        <v>7000.0</v>
      </c>
      <c r="K254" s="10"/>
      <c r="L254" s="10"/>
      <c r="M254" s="10"/>
      <c r="N254" s="10"/>
      <c r="O254" s="10"/>
      <c r="P254" s="10"/>
      <c r="Q254" s="13">
        <f t="shared" si="102"/>
        <v>84000</v>
      </c>
    </row>
    <row r="255" hidden="1">
      <c r="A255" s="15" t="s">
        <v>106</v>
      </c>
      <c r="B255" s="16">
        <v>13500.0</v>
      </c>
      <c r="C255" s="16">
        <v>9500.0</v>
      </c>
      <c r="D255" s="16">
        <f>D257/4</f>
        <v>10000</v>
      </c>
      <c r="E255" s="16"/>
      <c r="F255" s="16">
        <v>8000.0</v>
      </c>
      <c r="G255" s="16">
        <v>7000.0</v>
      </c>
      <c r="H255" s="16">
        <v>15000.0</v>
      </c>
      <c r="I255" s="16">
        <v>14000.0</v>
      </c>
      <c r="J255" s="16">
        <v>7000.0</v>
      </c>
      <c r="K255" s="16"/>
      <c r="L255" s="16"/>
      <c r="M255" s="16"/>
      <c r="N255" s="16"/>
      <c r="O255" s="16"/>
      <c r="P255" s="16"/>
      <c r="Q255" s="19">
        <f t="shared" si="102"/>
        <v>84000</v>
      </c>
    </row>
    <row r="256" hidden="1">
      <c r="A256" s="15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9">
        <f>SUM(B256:I256)</f>
        <v>0</v>
      </c>
    </row>
    <row r="257" hidden="1">
      <c r="A257" s="20" t="s">
        <v>15</v>
      </c>
      <c r="B257" s="21">
        <f t="shared" ref="B257:C257" si="103">SUM(B252:B256)</f>
        <v>54000</v>
      </c>
      <c r="C257" s="21">
        <f t="shared" si="103"/>
        <v>38000</v>
      </c>
      <c r="D257" s="21">
        <v>40000.0</v>
      </c>
      <c r="E257" s="21"/>
      <c r="F257" s="21">
        <f t="shared" ref="F257:J257" si="104">SUM(F252:F256)</f>
        <v>32000</v>
      </c>
      <c r="G257" s="21">
        <f t="shared" si="104"/>
        <v>28000</v>
      </c>
      <c r="H257" s="21">
        <f t="shared" si="104"/>
        <v>60000</v>
      </c>
      <c r="I257" s="21">
        <f t="shared" si="104"/>
        <v>56000</v>
      </c>
      <c r="J257" s="21">
        <f t="shared" si="104"/>
        <v>28000</v>
      </c>
      <c r="K257" s="21"/>
      <c r="L257" s="21"/>
      <c r="M257" s="21"/>
      <c r="N257" s="21"/>
      <c r="O257" s="21"/>
      <c r="P257" s="21"/>
      <c r="Q257" s="21">
        <f>SUM(Q252:Q255)</f>
        <v>336000</v>
      </c>
    </row>
    <row r="258" hidden="1">
      <c r="A258" s="27" t="s">
        <v>40</v>
      </c>
      <c r="B258" s="28"/>
      <c r="C258" s="28"/>
      <c r="D258" s="28"/>
      <c r="E258" s="28"/>
      <c r="F258" s="28"/>
      <c r="G258" s="28"/>
      <c r="H258" s="28"/>
      <c r="I258" s="28"/>
      <c r="J258" s="28"/>
      <c r="K258" s="29"/>
      <c r="L258" s="29"/>
      <c r="M258" s="29"/>
      <c r="N258" s="29"/>
      <c r="O258" s="29"/>
      <c r="P258" s="29"/>
      <c r="Q258" s="30">
        <f t="shared" ref="Q258:Q259" si="105">SUM(B258:J258)</f>
        <v>0</v>
      </c>
    </row>
    <row r="259" hidden="1">
      <c r="A259" s="23" t="s">
        <v>107</v>
      </c>
      <c r="B259" s="24"/>
      <c r="C259" s="24"/>
      <c r="D259" s="24"/>
      <c r="E259" s="24"/>
      <c r="F259" s="24"/>
      <c r="G259" s="24"/>
      <c r="H259" s="24"/>
      <c r="I259" s="24"/>
      <c r="J259" s="24"/>
      <c r="K259" s="25"/>
      <c r="L259" s="25"/>
      <c r="M259" s="25"/>
      <c r="N259" s="25"/>
      <c r="O259" s="25"/>
      <c r="P259" s="25"/>
      <c r="Q259" s="26">
        <f t="shared" si="105"/>
        <v>0</v>
      </c>
    </row>
    <row r="260" hidden="1">
      <c r="A260" s="39" t="s">
        <v>22</v>
      </c>
      <c r="B260" s="40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</row>
    <row r="261" hidden="1">
      <c r="A261" s="59" t="s">
        <v>103</v>
      </c>
      <c r="B261" s="43"/>
      <c r="C261" s="44"/>
      <c r="D261" s="44"/>
      <c r="E261" s="45"/>
      <c r="F261" s="45"/>
      <c r="G261" s="45"/>
      <c r="H261" s="45"/>
      <c r="I261" s="44"/>
      <c r="J261" s="44"/>
      <c r="K261" s="44"/>
      <c r="L261" s="44"/>
      <c r="M261" s="44"/>
      <c r="N261" s="44"/>
      <c r="O261" s="44"/>
      <c r="P261" s="44"/>
      <c r="Q261" s="44"/>
    </row>
    <row r="262" hidden="1">
      <c r="A262" s="60" t="s">
        <v>104</v>
      </c>
      <c r="B262" s="46"/>
      <c r="C262" s="45"/>
      <c r="D262" s="45">
        <v>500.0</v>
      </c>
      <c r="E262" s="45"/>
      <c r="F262" s="45"/>
      <c r="G262" s="45"/>
      <c r="H262" s="44"/>
      <c r="I262" s="44"/>
      <c r="J262" s="44"/>
      <c r="K262" s="44"/>
      <c r="L262" s="44"/>
      <c r="M262" s="44"/>
      <c r="N262" s="44"/>
      <c r="O262" s="44"/>
      <c r="P262" s="44"/>
      <c r="Q262" s="44"/>
    </row>
    <row r="263" hidden="1">
      <c r="A263" s="60" t="s">
        <v>105</v>
      </c>
      <c r="B263" s="43"/>
      <c r="C263" s="45"/>
      <c r="D263" s="45"/>
      <c r="E263" s="45"/>
      <c r="F263" s="45">
        <v>160.0</v>
      </c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</row>
    <row r="264" hidden="1">
      <c r="A264" s="60" t="s">
        <v>106</v>
      </c>
      <c r="B264" s="46"/>
      <c r="C264" s="45"/>
      <c r="D264" s="44"/>
      <c r="E264" s="45"/>
      <c r="F264" s="45">
        <v>350.0</v>
      </c>
      <c r="G264" s="44"/>
      <c r="H264" s="45"/>
      <c r="I264" s="44"/>
      <c r="J264" s="44"/>
      <c r="K264" s="44"/>
      <c r="L264" s="44"/>
      <c r="M264" s="44"/>
      <c r="N264" s="44"/>
      <c r="O264" s="44"/>
      <c r="P264" s="44"/>
      <c r="Q264" s="44"/>
    </row>
    <row r="265" hidden="1">
      <c r="A265" s="1" t="s">
        <v>0</v>
      </c>
      <c r="B265" s="2" t="s">
        <v>1</v>
      </c>
      <c r="C265" s="3" t="s">
        <v>90</v>
      </c>
      <c r="D265" s="3" t="s">
        <v>3</v>
      </c>
      <c r="E265" s="3"/>
      <c r="F265" s="3" t="s">
        <v>58</v>
      </c>
      <c r="G265" s="3" t="s">
        <v>91</v>
      </c>
      <c r="H265" s="3" t="s">
        <v>6</v>
      </c>
      <c r="I265" s="4" t="s">
        <v>92</v>
      </c>
      <c r="J265" s="4" t="s">
        <v>93</v>
      </c>
      <c r="K265" s="4"/>
      <c r="L265" s="4"/>
      <c r="M265" s="4"/>
      <c r="N265" s="4"/>
      <c r="O265" s="4"/>
      <c r="P265" s="4"/>
      <c r="Q265" s="1" t="s">
        <v>0</v>
      </c>
    </row>
    <row r="266" hidden="1">
      <c r="A266" s="47" t="s">
        <v>23</v>
      </c>
      <c r="B266" s="48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7" t="s">
        <v>24</v>
      </c>
    </row>
    <row r="267" hidden="1">
      <c r="A267" s="61" t="s">
        <v>103</v>
      </c>
      <c r="B267" s="54">
        <f t="shared" ref="B267:D267" si="106">B252-B261</f>
        <v>13500</v>
      </c>
      <c r="C267" s="52">
        <f t="shared" si="106"/>
        <v>9500</v>
      </c>
      <c r="D267" s="62">
        <f t="shared" si="106"/>
        <v>10000</v>
      </c>
      <c r="E267" s="52"/>
      <c r="F267" s="52">
        <f t="shared" ref="F267:J267" si="107">F252-F261</f>
        <v>8000</v>
      </c>
      <c r="G267" s="62">
        <f t="shared" si="107"/>
        <v>7000</v>
      </c>
      <c r="H267" s="62">
        <f t="shared" si="107"/>
        <v>15000</v>
      </c>
      <c r="I267" s="52">
        <f t="shared" si="107"/>
        <v>14000</v>
      </c>
      <c r="J267" s="62">
        <f t="shared" si="107"/>
        <v>7000</v>
      </c>
      <c r="K267" s="62"/>
      <c r="L267" s="62"/>
      <c r="M267" s="62"/>
      <c r="N267" s="62"/>
      <c r="O267" s="62"/>
      <c r="P267" s="62"/>
      <c r="Q267" s="52"/>
    </row>
    <row r="268" hidden="1">
      <c r="A268" s="63" t="s">
        <v>104</v>
      </c>
      <c r="B268" s="54">
        <f t="shared" ref="B268:D268" si="108">B253-B262</f>
        <v>13500</v>
      </c>
      <c r="C268" s="52">
        <f t="shared" si="108"/>
        <v>9500</v>
      </c>
      <c r="D268" s="62">
        <f t="shared" si="108"/>
        <v>9500</v>
      </c>
      <c r="E268" s="52"/>
      <c r="F268" s="52">
        <f t="shared" ref="F268:J268" si="109">F253-F262</f>
        <v>8000</v>
      </c>
      <c r="G268" s="62">
        <f t="shared" si="109"/>
        <v>7000</v>
      </c>
      <c r="H268" s="62">
        <f t="shared" si="109"/>
        <v>15000</v>
      </c>
      <c r="I268" s="62">
        <f t="shared" si="109"/>
        <v>14000</v>
      </c>
      <c r="J268" s="62">
        <f t="shared" si="109"/>
        <v>7000</v>
      </c>
      <c r="K268" s="62"/>
      <c r="L268" s="62"/>
      <c r="M268" s="62"/>
      <c r="N268" s="62"/>
      <c r="O268" s="62"/>
      <c r="P268" s="62"/>
      <c r="Q268" s="52"/>
    </row>
    <row r="269" hidden="1">
      <c r="A269" s="63" t="s">
        <v>105</v>
      </c>
      <c r="B269" s="54">
        <f t="shared" ref="B269:D269" si="110">B254-B263</f>
        <v>13500</v>
      </c>
      <c r="C269" s="67">
        <f t="shared" si="110"/>
        <v>9500</v>
      </c>
      <c r="D269" s="69">
        <f t="shared" si="110"/>
        <v>10000</v>
      </c>
      <c r="E269" s="52"/>
      <c r="F269" s="52">
        <f t="shared" ref="F269:J269" si="111">F254-F263</f>
        <v>7840</v>
      </c>
      <c r="G269" s="69">
        <f t="shared" si="111"/>
        <v>7000</v>
      </c>
      <c r="H269" s="67">
        <f t="shared" si="111"/>
        <v>15000</v>
      </c>
      <c r="I269" s="62">
        <f t="shared" si="111"/>
        <v>14000</v>
      </c>
      <c r="J269" s="62">
        <f t="shared" si="111"/>
        <v>7000</v>
      </c>
      <c r="K269" s="62"/>
      <c r="L269" s="62"/>
      <c r="M269" s="62"/>
      <c r="N269" s="62"/>
      <c r="O269" s="62"/>
      <c r="P269" s="62"/>
      <c r="Q269" s="52"/>
    </row>
    <row r="270" hidden="1">
      <c r="A270" s="63" t="s">
        <v>106</v>
      </c>
      <c r="B270" s="54">
        <f t="shared" ref="B270:C270" si="112">B255-B264</f>
        <v>13500</v>
      </c>
      <c r="C270" s="62">
        <f t="shared" si="112"/>
        <v>9500</v>
      </c>
      <c r="D270" s="62">
        <f>D254-D264</f>
        <v>10000</v>
      </c>
      <c r="E270" s="62"/>
      <c r="F270" s="62">
        <f t="shared" ref="F270:J270" si="113">F255-F264</f>
        <v>7650</v>
      </c>
      <c r="G270" s="62">
        <f t="shared" si="113"/>
        <v>7000</v>
      </c>
      <c r="H270" s="62">
        <f t="shared" si="113"/>
        <v>15000</v>
      </c>
      <c r="I270" s="52">
        <f t="shared" si="113"/>
        <v>14000</v>
      </c>
      <c r="J270" s="62">
        <f t="shared" si="113"/>
        <v>7000</v>
      </c>
      <c r="K270" s="62"/>
      <c r="L270" s="62"/>
      <c r="M270" s="62"/>
      <c r="N270" s="62"/>
      <c r="O270" s="62"/>
      <c r="P270" s="62"/>
      <c r="Q270" s="52"/>
    </row>
    <row r="271" hidden="1">
      <c r="A271" s="63" t="s">
        <v>108</v>
      </c>
      <c r="B271" s="54">
        <v>13500.0</v>
      </c>
      <c r="C271" s="62">
        <v>9500.0</v>
      </c>
      <c r="D271" s="62">
        <v>10000.0</v>
      </c>
      <c r="E271" s="62"/>
      <c r="F271" s="62">
        <v>8000.0</v>
      </c>
      <c r="G271" s="62">
        <v>7000.0</v>
      </c>
      <c r="H271" s="62">
        <v>15000.0</v>
      </c>
      <c r="I271" s="62">
        <v>14000.0</v>
      </c>
      <c r="J271" s="62">
        <v>7000.0</v>
      </c>
      <c r="K271" s="62"/>
      <c r="L271" s="62"/>
      <c r="M271" s="62"/>
      <c r="N271" s="62"/>
      <c r="O271" s="62"/>
      <c r="P271" s="62"/>
      <c r="Q271" s="52"/>
    </row>
    <row r="272" hidden="1">
      <c r="A272" s="63"/>
      <c r="B272" s="54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52"/>
    </row>
    <row r="273" hidden="1"/>
    <row r="274">
      <c r="A274" s="272"/>
      <c r="B274" s="270"/>
      <c r="C274" s="270"/>
      <c r="D274" s="270"/>
      <c r="E274" s="274"/>
      <c r="F274" s="270"/>
      <c r="G274" s="271"/>
      <c r="H274" s="247"/>
      <c r="I274" s="271"/>
      <c r="J274" s="271"/>
      <c r="K274" s="270"/>
    </row>
    <row r="275">
      <c r="A275" s="355" t="s">
        <v>0</v>
      </c>
      <c r="B275" s="356" t="s">
        <v>90</v>
      </c>
      <c r="C275" s="356" t="s">
        <v>3</v>
      </c>
      <c r="D275" s="356" t="s">
        <v>155</v>
      </c>
      <c r="E275" s="356" t="s">
        <v>195</v>
      </c>
      <c r="F275" s="357" t="s">
        <v>51</v>
      </c>
      <c r="G275" s="357" t="s">
        <v>372</v>
      </c>
      <c r="H275" s="357" t="s">
        <v>477</v>
      </c>
      <c r="I275" s="357" t="s">
        <v>394</v>
      </c>
      <c r="J275" s="357" t="s">
        <v>10</v>
      </c>
      <c r="K275" s="358" t="s">
        <v>572</v>
      </c>
      <c r="L275" s="359"/>
      <c r="M275" s="359"/>
      <c r="N275" s="357" t="s">
        <v>110</v>
      </c>
      <c r="O275" s="313"/>
      <c r="P275" s="313"/>
      <c r="Q275" s="313"/>
    </row>
    <row r="276">
      <c r="A276" s="375" t="s">
        <v>12</v>
      </c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2"/>
    </row>
    <row r="277">
      <c r="A277" s="361" t="s">
        <v>111</v>
      </c>
      <c r="B277" s="363">
        <v>320000.0</v>
      </c>
      <c r="C277" s="363">
        <v>320000.0</v>
      </c>
      <c r="D277" s="362">
        <v>185000.0</v>
      </c>
      <c r="E277" s="362">
        <v>270000.0</v>
      </c>
      <c r="F277" s="362">
        <v>200000.0</v>
      </c>
      <c r="G277" s="363">
        <v>200000.0</v>
      </c>
      <c r="H277" s="362">
        <v>170000.0</v>
      </c>
      <c r="I277" s="363">
        <v>250000.0</v>
      </c>
      <c r="J277" s="362">
        <v>200000.0</v>
      </c>
      <c r="K277" s="363">
        <v>50000.0</v>
      </c>
      <c r="L277" s="364">
        <f>SUM(B277:K277)</f>
        <v>2165000</v>
      </c>
      <c r="M277" s="313"/>
      <c r="N277" s="313"/>
      <c r="O277" s="313"/>
      <c r="P277" s="313"/>
      <c r="Q277" s="313"/>
    </row>
    <row r="278">
      <c r="A278" s="365"/>
      <c r="B278" s="363">
        <v>320000.0</v>
      </c>
      <c r="C278" s="363">
        <v>320000.0</v>
      </c>
      <c r="D278" s="362">
        <v>185000.0</v>
      </c>
      <c r="E278" s="362">
        <v>270000.0</v>
      </c>
      <c r="F278" s="362">
        <v>200000.0</v>
      </c>
      <c r="G278" s="363">
        <v>200000.0</v>
      </c>
      <c r="H278" s="362">
        <v>170000.0</v>
      </c>
      <c r="I278" s="363">
        <v>250000.0</v>
      </c>
      <c r="J278" s="362">
        <v>200000.0</v>
      </c>
      <c r="K278" s="363">
        <v>50000.0</v>
      </c>
      <c r="L278" s="364">
        <f t="shared" ref="L278:L280" si="114">SUM(B278:J278)</f>
        <v>2115000</v>
      </c>
      <c r="M278" s="313"/>
      <c r="N278" s="313"/>
      <c r="O278" s="366"/>
      <c r="P278" s="313"/>
      <c r="Q278" s="313"/>
    </row>
    <row r="279">
      <c r="A279" s="365"/>
      <c r="B279" s="363">
        <v>320000.0</v>
      </c>
      <c r="C279" s="363">
        <v>320000.0</v>
      </c>
      <c r="D279" s="362">
        <v>185000.0</v>
      </c>
      <c r="E279" s="362">
        <v>270000.0</v>
      </c>
      <c r="F279" s="362">
        <v>200000.0</v>
      </c>
      <c r="G279" s="363">
        <v>200000.0</v>
      </c>
      <c r="H279" s="362">
        <v>170000.0</v>
      </c>
      <c r="I279" s="363">
        <v>250000.0</v>
      </c>
      <c r="J279" s="362">
        <v>200000.0</v>
      </c>
      <c r="K279" s="363">
        <v>50000.0</v>
      </c>
      <c r="L279" s="364">
        <f t="shared" si="114"/>
        <v>2115000</v>
      </c>
      <c r="M279" s="313"/>
      <c r="N279" s="313"/>
      <c r="O279" s="313"/>
      <c r="P279" s="313"/>
      <c r="Q279" s="313"/>
    </row>
    <row r="280">
      <c r="A280" s="367"/>
      <c r="B280" s="363">
        <v>320000.0</v>
      </c>
      <c r="C280" s="363">
        <v>320000.0</v>
      </c>
      <c r="D280" s="362">
        <v>185000.0</v>
      </c>
      <c r="E280" s="362">
        <v>270000.0</v>
      </c>
      <c r="F280" s="362">
        <v>200000.0</v>
      </c>
      <c r="G280" s="363">
        <v>200000.0</v>
      </c>
      <c r="H280" s="362">
        <v>170000.0</v>
      </c>
      <c r="I280" s="363">
        <v>250000.0</v>
      </c>
      <c r="J280" s="362">
        <v>200000.0</v>
      </c>
      <c r="K280" s="363">
        <v>50000.0</v>
      </c>
      <c r="L280" s="364">
        <f t="shared" si="114"/>
        <v>2115000</v>
      </c>
      <c r="M280" s="313"/>
      <c r="N280" s="313"/>
      <c r="O280" s="313"/>
      <c r="P280" s="313"/>
      <c r="Q280" s="313"/>
    </row>
    <row r="281">
      <c r="A281" s="368" t="s">
        <v>113</v>
      </c>
      <c r="B281" s="369">
        <f t="shared" ref="B281:L281" si="115">SUM(B277:B280)</f>
        <v>1280000</v>
      </c>
      <c r="C281" s="369">
        <f t="shared" si="115"/>
        <v>1280000</v>
      </c>
      <c r="D281" s="369">
        <f t="shared" si="115"/>
        <v>740000</v>
      </c>
      <c r="E281" s="369">
        <f t="shared" si="115"/>
        <v>1080000</v>
      </c>
      <c r="F281" s="369">
        <f t="shared" si="115"/>
        <v>800000</v>
      </c>
      <c r="G281" s="369">
        <f t="shared" si="115"/>
        <v>800000</v>
      </c>
      <c r="H281" s="369">
        <f t="shared" si="115"/>
        <v>680000</v>
      </c>
      <c r="I281" s="369">
        <f t="shared" si="115"/>
        <v>1000000</v>
      </c>
      <c r="J281" s="369">
        <f t="shared" si="115"/>
        <v>800000</v>
      </c>
      <c r="K281" s="369">
        <f t="shared" si="115"/>
        <v>200000</v>
      </c>
      <c r="L281" s="369">
        <f t="shared" si="115"/>
        <v>8510000</v>
      </c>
      <c r="M281" s="313"/>
      <c r="N281" s="313"/>
      <c r="O281" s="313"/>
      <c r="P281" s="313"/>
      <c r="Q281" s="313"/>
    </row>
    <row r="282">
      <c r="A282" s="370" t="s">
        <v>138</v>
      </c>
      <c r="B282" s="371">
        <f>B278/6/8</f>
        <v>6666.666667</v>
      </c>
      <c r="C282" s="371">
        <f t="shared" ref="C282:D282" si="116">C277/8/6</f>
        <v>6666.666667</v>
      </c>
      <c r="D282" s="371">
        <f t="shared" si="116"/>
        <v>3854.166667</v>
      </c>
      <c r="E282" s="371">
        <f t="shared" ref="E282:F282" si="117">E277/6/8</f>
        <v>5625</v>
      </c>
      <c r="F282" s="371">
        <f t="shared" si="117"/>
        <v>4166.666667</v>
      </c>
      <c r="G282" s="371">
        <f>G278/6/8</f>
        <v>4166.666667</v>
      </c>
      <c r="H282" s="371">
        <f>H280/8/6</f>
        <v>3541.666667</v>
      </c>
      <c r="I282" s="372">
        <f>I277/6/8</f>
        <v>5208.333333</v>
      </c>
      <c r="J282" s="372">
        <f>J280/6/8</f>
        <v>4166.666667</v>
      </c>
      <c r="K282" s="372">
        <f>K280/8</f>
        <v>6250</v>
      </c>
      <c r="L282" s="372"/>
      <c r="M282" s="313"/>
      <c r="N282" s="313"/>
      <c r="O282" s="313"/>
      <c r="P282" s="313"/>
      <c r="Q282" s="313"/>
    </row>
    <row r="283">
      <c r="A283" s="272"/>
      <c r="B283" s="273"/>
      <c r="C283" s="273"/>
      <c r="D283" s="274"/>
      <c r="E283" s="274"/>
      <c r="F283" s="274"/>
      <c r="G283" s="247"/>
      <c r="H283" s="247"/>
      <c r="I283" s="247"/>
      <c r="J283" s="247"/>
      <c r="K283" s="247"/>
      <c r="L283" s="272"/>
      <c r="M283" s="272"/>
    </row>
    <row r="284">
      <c r="A284" s="195" t="s">
        <v>591</v>
      </c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</row>
    <row r="285">
      <c r="A285" s="198" t="s">
        <v>40</v>
      </c>
      <c r="B285" s="221"/>
      <c r="C285" s="221"/>
      <c r="D285" s="211">
        <f>D282</f>
        <v>3854.166667</v>
      </c>
      <c r="E285" s="221"/>
      <c r="F285" s="211"/>
      <c r="G285" s="221">
        <f>(7*G282)/2</f>
        <v>14583.33333</v>
      </c>
      <c r="H285" s="221"/>
      <c r="I285" s="221"/>
      <c r="J285" s="211"/>
      <c r="K285" s="293"/>
      <c r="L285" s="251"/>
    </row>
    <row r="286">
      <c r="A286" s="200" t="s">
        <v>501</v>
      </c>
      <c r="B286" s="221"/>
      <c r="C286" s="221"/>
      <c r="D286" s="373">
        <f>(D282*8)*30%</f>
        <v>9250</v>
      </c>
      <c r="E286" s="222"/>
      <c r="F286" s="221"/>
      <c r="G286" s="221">
        <f>300*7</f>
        <v>2100</v>
      </c>
      <c r="H286" s="255"/>
      <c r="I286" s="211"/>
      <c r="J286" s="221"/>
      <c r="K286" s="252"/>
      <c r="L286" s="252"/>
    </row>
    <row r="287">
      <c r="A287" s="200" t="s">
        <v>592</v>
      </c>
      <c r="B287" s="255"/>
      <c r="C287" s="255"/>
      <c r="D287" s="255"/>
      <c r="E287" s="256"/>
      <c r="F287" s="319"/>
      <c r="G287" s="255"/>
      <c r="H287" s="255">
        <v>30000.0</v>
      </c>
      <c r="I287" s="255"/>
      <c r="J287" s="255"/>
      <c r="K287" s="257"/>
      <c r="L287" s="257"/>
      <c r="M287" s="247"/>
      <c r="N287" s="247"/>
      <c r="O287" s="247"/>
      <c r="P287" s="247"/>
      <c r="Q287" s="247"/>
    </row>
    <row r="288">
      <c r="A288" s="200" t="s">
        <v>145</v>
      </c>
      <c r="B288" s="255"/>
      <c r="C288" s="255"/>
      <c r="D288" s="255">
        <v>185000.0</v>
      </c>
      <c r="E288" s="256">
        <v>270000.0</v>
      </c>
      <c r="F288" s="319"/>
      <c r="G288" s="255"/>
      <c r="H288" s="255"/>
      <c r="I288" s="255"/>
      <c r="J288" s="255"/>
      <c r="K288" s="257"/>
      <c r="L288" s="257"/>
      <c r="M288" s="247"/>
    </row>
    <row r="289">
      <c r="A289" s="200" t="s">
        <v>120</v>
      </c>
      <c r="B289" s="255"/>
      <c r="C289" s="255"/>
      <c r="D289" s="255"/>
      <c r="E289" s="255"/>
      <c r="F289" s="255"/>
      <c r="G289" s="255"/>
      <c r="H289" s="255">
        <v>170000.0</v>
      </c>
      <c r="I289" s="255"/>
      <c r="J289" s="255"/>
      <c r="K289" s="257"/>
      <c r="L289" s="257"/>
      <c r="M289" s="310"/>
    </row>
    <row r="290">
      <c r="A290" s="200" t="s">
        <v>453</v>
      </c>
      <c r="B290" s="255"/>
      <c r="C290" s="255"/>
      <c r="D290" s="255"/>
      <c r="E290" s="255"/>
      <c r="F290" s="255"/>
      <c r="G290" s="255"/>
      <c r="H290" s="255"/>
      <c r="I290" s="255"/>
      <c r="J290" s="255"/>
      <c r="K290" s="257"/>
      <c r="L290" s="257"/>
      <c r="M290" s="310"/>
    </row>
    <row r="291">
      <c r="A291" s="205" t="s">
        <v>118</v>
      </c>
      <c r="B291" s="226">
        <v>320000.0</v>
      </c>
      <c r="C291" s="226">
        <f>320000+C288</f>
        <v>320000</v>
      </c>
      <c r="D291" s="238">
        <f>D278+D286+D285+D288</f>
        <v>383104.1667</v>
      </c>
      <c r="E291" s="226">
        <f>270000+E288</f>
        <v>540000</v>
      </c>
      <c r="F291" s="226">
        <f>F280</f>
        <v>200000</v>
      </c>
      <c r="G291" s="226">
        <f>G279+G288+G285+G286</f>
        <v>216683.3333</v>
      </c>
      <c r="H291" s="226">
        <f>H280+H285+H286-H287+H288+H289</f>
        <v>310000</v>
      </c>
      <c r="I291" s="226">
        <v>250000.0</v>
      </c>
      <c r="J291" s="238">
        <f>200000+J286+J285</f>
        <v>200000</v>
      </c>
      <c r="K291" s="226">
        <v>50000.0</v>
      </c>
      <c r="L291" s="206">
        <f>SUM(B291:K291)</f>
        <v>2789787.5</v>
      </c>
      <c r="M291" s="310"/>
    </row>
    <row r="292">
      <c r="A292" s="126" t="s">
        <v>0</v>
      </c>
      <c r="B292" s="127" t="s">
        <v>90</v>
      </c>
      <c r="C292" s="127" t="s">
        <v>3</v>
      </c>
      <c r="D292" s="183" t="s">
        <v>155</v>
      </c>
      <c r="E292" s="183" t="s">
        <v>195</v>
      </c>
      <c r="F292" s="129" t="s">
        <v>51</v>
      </c>
      <c r="G292" s="129" t="s">
        <v>372</v>
      </c>
      <c r="H292" s="129" t="s">
        <v>477</v>
      </c>
      <c r="I292" s="129" t="s">
        <v>515</v>
      </c>
      <c r="J292" s="129" t="s">
        <v>10</v>
      </c>
      <c r="K292" s="129" t="s">
        <v>572</v>
      </c>
      <c r="L292" s="128" t="s">
        <v>110</v>
      </c>
      <c r="M292" s="310"/>
    </row>
    <row r="293">
      <c r="A293" s="272"/>
      <c r="B293" s="280" t="s">
        <v>541</v>
      </c>
      <c r="C293" s="280" t="s">
        <v>541</v>
      </c>
      <c r="D293" s="280" t="s">
        <v>375</v>
      </c>
      <c r="E293" s="280" t="s">
        <v>458</v>
      </c>
      <c r="F293" s="280" t="s">
        <v>375</v>
      </c>
      <c r="G293" s="283" t="s">
        <v>375</v>
      </c>
      <c r="H293" s="248" t="s">
        <v>541</v>
      </c>
      <c r="I293" s="248" t="s">
        <v>458</v>
      </c>
      <c r="J293" s="248" t="s">
        <v>537</v>
      </c>
      <c r="K293" s="248"/>
      <c r="L293" s="272"/>
      <c r="M293" s="310"/>
    </row>
    <row r="294">
      <c r="A294" s="312"/>
      <c r="D294" s="125"/>
      <c r="E294" s="125"/>
      <c r="F294" s="313"/>
      <c r="G294" s="125"/>
      <c r="H294" s="72" t="s">
        <v>593</v>
      </c>
      <c r="I294" s="125"/>
      <c r="J294" s="125"/>
      <c r="K294" s="313"/>
      <c r="L294" s="313"/>
      <c r="M294" s="313"/>
    </row>
    <row r="295">
      <c r="A295" s="195" t="s">
        <v>594</v>
      </c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263"/>
    </row>
    <row r="296">
      <c r="A296" s="198" t="s">
        <v>40</v>
      </c>
      <c r="B296" s="221"/>
      <c r="C296" s="221"/>
      <c r="D296" s="211">
        <f>D282</f>
        <v>3854.166667</v>
      </c>
      <c r="E296" s="221"/>
      <c r="F296" s="211"/>
      <c r="G296" s="221">
        <f>(2*G282)/2</f>
        <v>4166.666667</v>
      </c>
      <c r="H296" s="221"/>
      <c r="I296" s="221"/>
      <c r="J296" s="211"/>
      <c r="K296" s="293"/>
      <c r="L296" s="251"/>
      <c r="M296" s="318"/>
    </row>
    <row r="297">
      <c r="A297" s="200" t="s">
        <v>501</v>
      </c>
      <c r="B297" s="221"/>
      <c r="C297" s="221"/>
      <c r="D297" s="373">
        <f>D286</f>
        <v>9250</v>
      </c>
      <c r="E297" s="222"/>
      <c r="F297" s="221"/>
      <c r="G297" s="221">
        <v>4500.0</v>
      </c>
      <c r="H297" s="255">
        <f>(H282*8)*30% +(2*H282) </f>
        <v>15583.33333</v>
      </c>
      <c r="I297" s="211"/>
      <c r="J297" s="221"/>
      <c r="K297" s="252"/>
      <c r="L297" s="252"/>
      <c r="M297" s="318"/>
    </row>
    <row r="298">
      <c r="A298" s="200" t="s">
        <v>592</v>
      </c>
      <c r="B298" s="255"/>
      <c r="C298" s="255"/>
      <c r="D298" s="255"/>
      <c r="E298" s="256"/>
      <c r="F298" s="319"/>
      <c r="G298" s="255"/>
      <c r="H298" s="255"/>
      <c r="I298" s="255"/>
      <c r="J298" s="255"/>
      <c r="K298" s="257"/>
      <c r="L298" s="257"/>
      <c r="M298" s="318"/>
    </row>
    <row r="299">
      <c r="A299" s="200" t="s">
        <v>145</v>
      </c>
      <c r="B299" s="255"/>
      <c r="C299" s="255"/>
      <c r="D299" s="255"/>
      <c r="E299" s="256"/>
      <c r="F299" s="319">
        <v>200000.0</v>
      </c>
      <c r="G299" s="255">
        <v>150000.0</v>
      </c>
      <c r="H299" s="255">
        <v>170000.0</v>
      </c>
      <c r="I299" s="255"/>
      <c r="J299" s="255"/>
      <c r="K299" s="257"/>
      <c r="L299" s="257"/>
      <c r="M299" s="313"/>
    </row>
    <row r="300">
      <c r="A300" s="200" t="s">
        <v>120</v>
      </c>
      <c r="B300" s="255"/>
      <c r="C300" s="255"/>
      <c r="D300" s="255"/>
      <c r="E300" s="255"/>
      <c r="F300" s="255"/>
      <c r="G300" s="255"/>
      <c r="H300" s="255"/>
      <c r="I300" s="255"/>
      <c r="J300" s="255">
        <v>200000.0</v>
      </c>
      <c r="K300" s="257"/>
      <c r="L300" s="257"/>
      <c r="M300" s="272"/>
    </row>
    <row r="301">
      <c r="A301" s="200" t="s">
        <v>453</v>
      </c>
      <c r="B301" s="255"/>
      <c r="C301" s="255"/>
      <c r="D301" s="255">
        <v>7840.0</v>
      </c>
      <c r="E301" s="255"/>
      <c r="F301" s="255"/>
      <c r="G301" s="255"/>
      <c r="H301" s="255"/>
      <c r="I301" s="255"/>
      <c r="J301" s="255"/>
      <c r="K301" s="257"/>
      <c r="L301" s="257"/>
      <c r="M301" s="272"/>
    </row>
    <row r="302">
      <c r="A302" s="205" t="s">
        <v>118</v>
      </c>
      <c r="B302" s="226">
        <v>320000.0</v>
      </c>
      <c r="C302" s="226">
        <f>320000+C299</f>
        <v>320000</v>
      </c>
      <c r="D302" s="238">
        <f>D288+D297+D296+D299-D301</f>
        <v>190264.1667</v>
      </c>
      <c r="E302" s="226">
        <f>270000+E299</f>
        <v>270000</v>
      </c>
      <c r="F302" s="325">
        <f>F291+F299</f>
        <v>400000</v>
      </c>
      <c r="G302" s="226">
        <f>G277+G299+G296+G297</f>
        <v>358666.6667</v>
      </c>
      <c r="H302" s="226">
        <f>H299+H297</f>
        <v>185583.3333</v>
      </c>
      <c r="I302" s="226">
        <v>250000.0</v>
      </c>
      <c r="J302" s="238">
        <f>200000+J297+J296+J300</f>
        <v>400000</v>
      </c>
      <c r="K302" s="226">
        <v>50000.0</v>
      </c>
      <c r="L302" s="206">
        <f>SUM(B302:K302)</f>
        <v>2744514.167</v>
      </c>
    </row>
    <row r="303">
      <c r="A303" s="126" t="s">
        <v>0</v>
      </c>
      <c r="B303" s="127" t="s">
        <v>90</v>
      </c>
      <c r="C303" s="127" t="s">
        <v>3</v>
      </c>
      <c r="D303" s="183" t="s">
        <v>155</v>
      </c>
      <c r="E303" s="183" t="s">
        <v>195</v>
      </c>
      <c r="F303" s="129" t="s">
        <v>51</v>
      </c>
      <c r="G303" s="129" t="s">
        <v>372</v>
      </c>
      <c r="H303" s="129" t="s">
        <v>477</v>
      </c>
      <c r="I303" s="129" t="s">
        <v>515</v>
      </c>
      <c r="J303" s="129" t="s">
        <v>10</v>
      </c>
      <c r="K303" s="129" t="s">
        <v>572</v>
      </c>
      <c r="L303" s="128" t="s">
        <v>110</v>
      </c>
    </row>
    <row r="304">
      <c r="A304" s="272"/>
      <c r="B304" s="280" t="s">
        <v>541</v>
      </c>
      <c r="C304" s="280" t="s">
        <v>458</v>
      </c>
      <c r="D304" s="280" t="s">
        <v>375</v>
      </c>
      <c r="E304" s="280" t="s">
        <v>458</v>
      </c>
      <c r="F304" s="280" t="s">
        <v>375</v>
      </c>
      <c r="G304" s="283" t="s">
        <v>375</v>
      </c>
      <c r="H304" s="248" t="s">
        <v>458</v>
      </c>
      <c r="I304" s="248" t="s">
        <v>458</v>
      </c>
      <c r="J304" s="248" t="s">
        <v>537</v>
      </c>
      <c r="K304" s="248"/>
      <c r="L304" s="272"/>
      <c r="M304" s="307"/>
      <c r="N304" s="307"/>
      <c r="O304" s="307"/>
      <c r="P304" s="307"/>
      <c r="Q304" s="307"/>
    </row>
    <row r="305">
      <c r="A305" s="314"/>
      <c r="B305" s="315"/>
      <c r="C305" s="125"/>
      <c r="D305" s="125"/>
      <c r="E305" s="313"/>
      <c r="F305" s="125"/>
      <c r="G305" s="125"/>
      <c r="H305" s="125"/>
      <c r="I305" s="125"/>
      <c r="J305" s="125"/>
      <c r="K305" s="122"/>
      <c r="L305" s="122"/>
      <c r="M305" s="122"/>
    </row>
    <row r="306">
      <c r="A306" s="195" t="s">
        <v>595</v>
      </c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313"/>
    </row>
    <row r="307">
      <c r="A307" s="198" t="s">
        <v>40</v>
      </c>
      <c r="B307" s="221"/>
      <c r="C307" s="221"/>
      <c r="D307" s="211"/>
      <c r="E307" s="221"/>
      <c r="F307" s="211"/>
      <c r="G307" s="221">
        <f>(10*G282)/2</f>
        <v>20833.33333</v>
      </c>
      <c r="H307" s="221"/>
      <c r="I307" s="221"/>
      <c r="J307" s="211"/>
      <c r="K307" s="293"/>
      <c r="L307" s="251"/>
      <c r="M307" s="263"/>
    </row>
    <row r="308">
      <c r="A308" s="200" t="s">
        <v>501</v>
      </c>
      <c r="B308" s="221"/>
      <c r="C308" s="221"/>
      <c r="D308" s="373"/>
      <c r="E308" s="222"/>
      <c r="F308" s="221"/>
      <c r="G308" s="221"/>
      <c r="H308" s="255"/>
      <c r="I308" s="211"/>
      <c r="J308" s="221"/>
      <c r="K308" s="252"/>
      <c r="L308" s="252"/>
      <c r="M308" s="318"/>
    </row>
    <row r="309">
      <c r="A309" s="200" t="s">
        <v>592</v>
      </c>
      <c r="B309" s="255"/>
      <c r="C309" s="255"/>
      <c r="D309" s="255"/>
      <c r="E309" s="256"/>
      <c r="F309" s="319"/>
      <c r="G309" s="255"/>
      <c r="H309" s="255"/>
      <c r="I309" s="255">
        <v>150000.0</v>
      </c>
      <c r="J309" s="255"/>
      <c r="K309" s="257"/>
      <c r="L309" s="257"/>
      <c r="M309" s="318"/>
    </row>
    <row r="310">
      <c r="A310" s="200" t="s">
        <v>149</v>
      </c>
      <c r="B310" s="255"/>
      <c r="C310" s="255">
        <v>300000.0</v>
      </c>
      <c r="D310" s="255"/>
      <c r="E310" s="256"/>
      <c r="F310" s="319"/>
      <c r="G310" s="255"/>
      <c r="H310" s="255"/>
      <c r="I310" s="255"/>
      <c r="J310" s="255"/>
      <c r="K310" s="257"/>
      <c r="L310" s="257"/>
      <c r="M310" s="318"/>
    </row>
    <row r="311">
      <c r="A311" s="200" t="s">
        <v>120</v>
      </c>
      <c r="B311" s="255"/>
      <c r="C311" s="255"/>
      <c r="D311" s="255"/>
      <c r="E311" s="255"/>
      <c r="F311" s="255"/>
      <c r="G311" s="255"/>
      <c r="H311" s="255"/>
      <c r="I311" s="255"/>
      <c r="J311" s="255"/>
      <c r="K311" s="257"/>
      <c r="L311" s="257"/>
      <c r="M311" s="313"/>
    </row>
    <row r="312">
      <c r="A312" s="200" t="s">
        <v>453</v>
      </c>
      <c r="B312" s="255"/>
      <c r="C312" s="255"/>
      <c r="D312" s="255">
        <v>7800.0</v>
      </c>
      <c r="E312" s="255"/>
      <c r="F312" s="255"/>
      <c r="G312" s="255">
        <v>10480.0</v>
      </c>
      <c r="H312" s="255"/>
      <c r="I312" s="255"/>
      <c r="J312" s="255"/>
      <c r="K312" s="257"/>
      <c r="L312" s="257"/>
      <c r="M312" s="313"/>
    </row>
    <row r="313">
      <c r="A313" s="205" t="s">
        <v>118</v>
      </c>
      <c r="B313" s="226">
        <v>320000.0</v>
      </c>
      <c r="C313" s="226">
        <f>320000+C310</f>
        <v>620000</v>
      </c>
      <c r="D313" s="226">
        <f>200000-D312</f>
        <v>192200</v>
      </c>
      <c r="E313" s="226">
        <f>270000+E310</f>
        <v>270000</v>
      </c>
      <c r="F313" s="226">
        <f>F279</f>
        <v>200000</v>
      </c>
      <c r="G313" s="226">
        <f>G279+G307-G312</f>
        <v>210353.3333</v>
      </c>
      <c r="H313" s="226">
        <f>H279</f>
        <v>170000</v>
      </c>
      <c r="I313" s="226">
        <f>250000-I309</f>
        <v>100000</v>
      </c>
      <c r="J313" s="226"/>
      <c r="K313" s="226"/>
      <c r="L313" s="206">
        <f>SUM(B313:K313)</f>
        <v>2082553.333</v>
      </c>
      <c r="M313" s="272"/>
    </row>
    <row r="314">
      <c r="A314" s="126" t="s">
        <v>0</v>
      </c>
      <c r="B314" s="127" t="s">
        <v>90</v>
      </c>
      <c r="C314" s="127" t="s">
        <v>3</v>
      </c>
      <c r="D314" s="183" t="s">
        <v>155</v>
      </c>
      <c r="E314" s="183" t="s">
        <v>195</v>
      </c>
      <c r="F314" s="129" t="s">
        <v>51</v>
      </c>
      <c r="G314" s="129" t="s">
        <v>372</v>
      </c>
      <c r="H314" s="129" t="s">
        <v>477</v>
      </c>
      <c r="I314" s="129" t="s">
        <v>515</v>
      </c>
      <c r="J314" s="129" t="s">
        <v>10</v>
      </c>
      <c r="K314" s="129" t="s">
        <v>572</v>
      </c>
      <c r="L314" s="128" t="s">
        <v>110</v>
      </c>
    </row>
    <row r="315">
      <c r="A315" s="272"/>
      <c r="B315" s="280" t="s">
        <v>375</v>
      </c>
      <c r="C315" s="280" t="s">
        <v>458</v>
      </c>
      <c r="D315" s="280" t="s">
        <v>375</v>
      </c>
      <c r="E315" s="280" t="s">
        <v>458</v>
      </c>
      <c r="F315" s="280" t="s">
        <v>375</v>
      </c>
      <c r="G315" s="283" t="s">
        <v>375</v>
      </c>
      <c r="H315" s="248" t="s">
        <v>458</v>
      </c>
      <c r="I315" s="248" t="s">
        <v>458</v>
      </c>
      <c r="J315" s="248" t="s">
        <v>537</v>
      </c>
      <c r="K315" s="248"/>
      <c r="L315" s="272"/>
    </row>
    <row r="316">
      <c r="A316" s="307"/>
    </row>
    <row r="317">
      <c r="A317" s="195" t="s">
        <v>596</v>
      </c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22"/>
    </row>
    <row r="318">
      <c r="A318" s="198" t="s">
        <v>40</v>
      </c>
      <c r="B318" s="221"/>
      <c r="C318" s="221"/>
      <c r="D318" s="211"/>
      <c r="E318" s="221"/>
      <c r="F318" s="211"/>
      <c r="G318" s="221">
        <f>12*G282</f>
        <v>50000</v>
      </c>
      <c r="H318" s="221"/>
      <c r="I318" s="221"/>
      <c r="J318" s="211"/>
      <c r="K318" s="293"/>
      <c r="L318" s="251"/>
      <c r="M318" s="313"/>
    </row>
    <row r="319">
      <c r="A319" s="200" t="s">
        <v>501</v>
      </c>
      <c r="B319" s="221"/>
      <c r="C319" s="221"/>
      <c r="D319" s="373"/>
      <c r="E319" s="222"/>
      <c r="F319" s="221"/>
      <c r="G319" s="221"/>
      <c r="H319" s="255"/>
      <c r="I319" s="211"/>
      <c r="J319" s="221"/>
      <c r="K319" s="252"/>
      <c r="L319" s="252"/>
      <c r="M319" s="263"/>
    </row>
    <row r="320">
      <c r="A320" s="200" t="s">
        <v>592</v>
      </c>
      <c r="B320" s="255"/>
      <c r="C320" s="255"/>
      <c r="D320" s="255"/>
      <c r="E320" s="256"/>
      <c r="F320" s="319"/>
      <c r="G320" s="255"/>
      <c r="H320" s="255"/>
      <c r="I320" s="255"/>
      <c r="J320" s="255"/>
      <c r="K320" s="257"/>
      <c r="L320" s="257"/>
      <c r="M320" s="318"/>
    </row>
    <row r="321">
      <c r="A321" s="200" t="s">
        <v>149</v>
      </c>
      <c r="B321" s="255">
        <v>320000.0</v>
      </c>
      <c r="C321" s="255"/>
      <c r="D321" s="255"/>
      <c r="E321" s="256"/>
      <c r="F321" s="373">
        <v>100000.0</v>
      </c>
      <c r="G321" s="255"/>
      <c r="H321" s="255"/>
      <c r="I321" s="255"/>
      <c r="J321" s="255"/>
      <c r="K321" s="257"/>
      <c r="L321" s="257"/>
      <c r="M321" s="318"/>
    </row>
    <row r="322">
      <c r="A322" s="200" t="s">
        <v>120</v>
      </c>
      <c r="B322" s="255"/>
      <c r="C322" s="255"/>
      <c r="D322" s="255"/>
      <c r="E322" s="255"/>
      <c r="F322" s="255"/>
      <c r="G322" s="255"/>
      <c r="H322" s="255"/>
      <c r="I322" s="255"/>
      <c r="J322" s="255"/>
      <c r="K322" s="257"/>
      <c r="L322" s="257"/>
      <c r="M322" s="318"/>
    </row>
    <row r="323">
      <c r="A323" s="200" t="s">
        <v>453</v>
      </c>
      <c r="B323" s="255"/>
      <c r="C323" s="255"/>
      <c r="D323" s="255"/>
      <c r="E323" s="255"/>
      <c r="F323" s="255"/>
      <c r="G323" s="255"/>
      <c r="H323" s="255"/>
      <c r="I323" s="255"/>
      <c r="J323" s="255"/>
      <c r="K323" s="257"/>
      <c r="L323" s="257"/>
      <c r="M323" s="313"/>
    </row>
    <row r="324">
      <c r="A324" s="205" t="s">
        <v>118</v>
      </c>
      <c r="B324" s="226">
        <f t="shared" ref="B324:C324" si="118">320000+B321</f>
        <v>640000</v>
      </c>
      <c r="C324" s="226">
        <f t="shared" si="118"/>
        <v>320000</v>
      </c>
      <c r="D324" s="226">
        <f>200000-D323</f>
        <v>200000</v>
      </c>
      <c r="E324" s="226">
        <f>270000+E321</f>
        <v>270000</v>
      </c>
      <c r="F324" s="238">
        <f>F278+F321</f>
        <v>300000</v>
      </c>
      <c r="G324" s="226">
        <f>G278+G318</f>
        <v>250000</v>
      </c>
      <c r="H324" s="226">
        <f>H279+H321</f>
        <v>170000</v>
      </c>
      <c r="I324" s="226">
        <f>250000-I320</f>
        <v>250000</v>
      </c>
      <c r="J324" s="226">
        <v>200000.0</v>
      </c>
      <c r="K324" s="226"/>
      <c r="L324" s="206">
        <f>SUM(B324:K324)</f>
        <v>2600000</v>
      </c>
      <c r="M324" s="272"/>
    </row>
    <row r="325">
      <c r="A325" s="126" t="s">
        <v>0</v>
      </c>
      <c r="B325" s="127" t="s">
        <v>90</v>
      </c>
      <c r="C325" s="127" t="s">
        <v>3</v>
      </c>
      <c r="D325" s="183" t="s">
        <v>155</v>
      </c>
      <c r="E325" s="183" t="s">
        <v>195</v>
      </c>
      <c r="F325" s="129" t="s">
        <v>51</v>
      </c>
      <c r="G325" s="129" t="s">
        <v>372</v>
      </c>
      <c r="H325" s="129" t="s">
        <v>477</v>
      </c>
      <c r="I325" s="129" t="s">
        <v>515</v>
      </c>
      <c r="J325" s="129" t="s">
        <v>10</v>
      </c>
      <c r="K325" s="129" t="s">
        <v>572</v>
      </c>
      <c r="L325" s="128" t="s">
        <v>110</v>
      </c>
    </row>
    <row r="326">
      <c r="A326" s="272"/>
      <c r="B326" s="280" t="s">
        <v>541</v>
      </c>
      <c r="C326" s="280" t="s">
        <v>458</v>
      </c>
      <c r="D326" s="280" t="s">
        <v>375</v>
      </c>
      <c r="E326" s="280"/>
      <c r="F326" s="280" t="s">
        <v>541</v>
      </c>
      <c r="G326" s="248" t="s">
        <v>458</v>
      </c>
      <c r="H326" s="248" t="s">
        <v>458</v>
      </c>
      <c r="I326" s="248" t="s">
        <v>458</v>
      </c>
      <c r="J326" s="248" t="s">
        <v>541</v>
      </c>
      <c r="K326" s="248"/>
      <c r="L326" s="272"/>
    </row>
    <row r="327">
      <c r="A327" s="272"/>
      <c r="B327" s="273"/>
      <c r="C327" s="273"/>
      <c r="D327" s="274"/>
      <c r="E327" s="274"/>
      <c r="F327" s="274"/>
      <c r="G327" s="247"/>
      <c r="H327" s="247"/>
      <c r="I327" s="247"/>
      <c r="J327" s="247"/>
      <c r="K327" s="272"/>
    </row>
    <row r="328">
      <c r="A328" s="272"/>
      <c r="B328" s="273"/>
      <c r="C328" s="273"/>
      <c r="D328" s="274"/>
      <c r="E328" s="274"/>
      <c r="F328" s="274"/>
      <c r="G328" s="247"/>
      <c r="H328" s="247"/>
      <c r="I328" s="247"/>
      <c r="J328" s="247"/>
      <c r="K328" s="272"/>
    </row>
    <row r="329">
      <c r="A329" s="355" t="s">
        <v>0</v>
      </c>
      <c r="B329" s="356" t="s">
        <v>90</v>
      </c>
      <c r="C329" s="356" t="s">
        <v>3</v>
      </c>
      <c r="D329" s="356" t="s">
        <v>155</v>
      </c>
      <c r="E329" s="356" t="s">
        <v>195</v>
      </c>
      <c r="F329" s="357" t="s">
        <v>51</v>
      </c>
      <c r="G329" s="357" t="s">
        <v>372</v>
      </c>
      <c r="H329" s="357" t="s">
        <v>477</v>
      </c>
      <c r="I329" s="357" t="s">
        <v>394</v>
      </c>
      <c r="J329" s="357" t="s">
        <v>10</v>
      </c>
      <c r="K329" s="358"/>
      <c r="L329" s="359"/>
      <c r="M329" s="359"/>
      <c r="N329" s="357" t="s">
        <v>110</v>
      </c>
      <c r="O329" s="313"/>
      <c r="P329" s="313"/>
      <c r="Q329" s="313"/>
    </row>
    <row r="330">
      <c r="A330" s="375" t="s">
        <v>124</v>
      </c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2"/>
    </row>
    <row r="331">
      <c r="A331" s="361" t="s">
        <v>111</v>
      </c>
      <c r="B331" s="363">
        <v>320000.0</v>
      </c>
      <c r="C331" s="363">
        <v>320000.0</v>
      </c>
      <c r="D331" s="363">
        <v>200000.0</v>
      </c>
      <c r="E331" s="362">
        <v>270000.0</v>
      </c>
      <c r="F331" s="362">
        <v>200000.0</v>
      </c>
      <c r="G331" s="363">
        <v>200000.0</v>
      </c>
      <c r="H331" s="362">
        <v>170000.0</v>
      </c>
      <c r="I331" s="363">
        <v>250000.0</v>
      </c>
      <c r="J331" s="362">
        <v>200000.0</v>
      </c>
      <c r="K331" s="363"/>
      <c r="L331" s="364">
        <f>SUM(B331:K331)</f>
        <v>2130000</v>
      </c>
      <c r="M331" s="313"/>
      <c r="N331" s="313"/>
      <c r="O331" s="313"/>
      <c r="P331" s="313"/>
      <c r="Q331" s="313"/>
    </row>
    <row r="332">
      <c r="A332" s="365"/>
      <c r="B332" s="363">
        <v>320000.0</v>
      </c>
      <c r="C332" s="363">
        <v>320000.0</v>
      </c>
      <c r="D332" s="363">
        <v>200000.0</v>
      </c>
      <c r="E332" s="362">
        <v>270000.0</v>
      </c>
      <c r="F332" s="362">
        <v>200000.0</v>
      </c>
      <c r="G332" s="363">
        <v>200000.0</v>
      </c>
      <c r="H332" s="362">
        <v>170000.0</v>
      </c>
      <c r="I332" s="363">
        <v>250000.0</v>
      </c>
      <c r="J332" s="362">
        <v>200000.0</v>
      </c>
      <c r="K332" s="363"/>
      <c r="L332" s="364">
        <f t="shared" ref="L332:L334" si="119">SUM(B332:J332)</f>
        <v>2130000</v>
      </c>
      <c r="M332" s="313"/>
      <c r="N332" s="313"/>
      <c r="O332" s="366"/>
      <c r="P332" s="313"/>
      <c r="Q332" s="313"/>
    </row>
    <row r="333">
      <c r="A333" s="365"/>
      <c r="B333" s="363">
        <v>320000.0</v>
      </c>
      <c r="C333" s="363">
        <v>320000.0</v>
      </c>
      <c r="D333" s="363">
        <v>200000.0</v>
      </c>
      <c r="E333" s="362">
        <v>270000.0</v>
      </c>
      <c r="F333" s="362">
        <v>200000.0</v>
      </c>
      <c r="G333" s="363">
        <v>200000.0</v>
      </c>
      <c r="H333" s="362">
        <v>170000.0</v>
      </c>
      <c r="I333" s="363">
        <v>250000.0</v>
      </c>
      <c r="J333" s="362">
        <v>200000.0</v>
      </c>
      <c r="K333" s="363"/>
      <c r="L333" s="364">
        <f t="shared" si="119"/>
        <v>2130000</v>
      </c>
      <c r="M333" s="313"/>
      <c r="N333" s="313"/>
      <c r="O333" s="313"/>
      <c r="P333" s="313"/>
      <c r="Q333" s="313"/>
    </row>
    <row r="334">
      <c r="A334" s="367"/>
      <c r="B334" s="363">
        <v>320000.0</v>
      </c>
      <c r="C334" s="363">
        <v>320000.0</v>
      </c>
      <c r="D334" s="363">
        <v>200000.0</v>
      </c>
      <c r="E334" s="362">
        <v>270000.0</v>
      </c>
      <c r="F334" s="362">
        <v>200000.0</v>
      </c>
      <c r="G334" s="363">
        <v>200000.0</v>
      </c>
      <c r="H334" s="362">
        <v>170000.0</v>
      </c>
      <c r="I334" s="363">
        <v>250000.0</v>
      </c>
      <c r="J334" s="362">
        <v>200000.0</v>
      </c>
      <c r="K334" s="363"/>
      <c r="L334" s="364">
        <f t="shared" si="119"/>
        <v>2130000</v>
      </c>
      <c r="M334" s="313"/>
      <c r="N334" s="313"/>
      <c r="O334" s="313"/>
      <c r="P334" s="313"/>
      <c r="Q334" s="313"/>
    </row>
    <row r="335">
      <c r="A335" s="368" t="s">
        <v>113</v>
      </c>
      <c r="B335" s="369">
        <f t="shared" ref="B335:L335" si="120">SUM(B331:B334)</f>
        <v>1280000</v>
      </c>
      <c r="C335" s="369">
        <f t="shared" si="120"/>
        <v>1280000</v>
      </c>
      <c r="D335" s="369">
        <f t="shared" si="120"/>
        <v>800000</v>
      </c>
      <c r="E335" s="369">
        <f t="shared" si="120"/>
        <v>1080000</v>
      </c>
      <c r="F335" s="369">
        <f t="shared" si="120"/>
        <v>800000</v>
      </c>
      <c r="G335" s="369">
        <f t="shared" si="120"/>
        <v>800000</v>
      </c>
      <c r="H335" s="369">
        <f t="shared" si="120"/>
        <v>680000</v>
      </c>
      <c r="I335" s="369">
        <f t="shared" si="120"/>
        <v>1000000</v>
      </c>
      <c r="J335" s="369">
        <f t="shared" si="120"/>
        <v>800000</v>
      </c>
      <c r="K335" s="369">
        <f t="shared" si="120"/>
        <v>0</v>
      </c>
      <c r="L335" s="369">
        <f t="shared" si="120"/>
        <v>8520000</v>
      </c>
      <c r="M335" s="313"/>
      <c r="N335" s="313"/>
      <c r="O335" s="313"/>
      <c r="P335" s="313"/>
      <c r="Q335" s="313"/>
    </row>
    <row r="336">
      <c r="A336" s="370" t="s">
        <v>138</v>
      </c>
      <c r="B336" s="371">
        <f>B332/6/8</f>
        <v>6666.666667</v>
      </c>
      <c r="C336" s="371">
        <f t="shared" ref="C336:D336" si="121">C331/8/6</f>
        <v>6666.666667</v>
      </c>
      <c r="D336" s="371">
        <f t="shared" si="121"/>
        <v>4166.666667</v>
      </c>
      <c r="E336" s="371">
        <f t="shared" ref="E336:F336" si="122">E331/6/8</f>
        <v>5625</v>
      </c>
      <c r="F336" s="371">
        <f t="shared" si="122"/>
        <v>4166.666667</v>
      </c>
      <c r="G336" s="371">
        <f>G332/6/8</f>
        <v>4166.666667</v>
      </c>
      <c r="H336" s="371">
        <f>H334/8/6</f>
        <v>3541.666667</v>
      </c>
      <c r="I336" s="372">
        <f>I331/6/8</f>
        <v>5208.333333</v>
      </c>
      <c r="J336" s="372">
        <f>J334/6/8</f>
        <v>4166.666667</v>
      </c>
      <c r="K336" s="372">
        <f>K334/8</f>
        <v>0</v>
      </c>
      <c r="L336" s="372"/>
      <c r="M336" s="313"/>
      <c r="N336" s="313"/>
      <c r="O336" s="313"/>
      <c r="P336" s="313"/>
      <c r="Q336" s="313"/>
    </row>
    <row r="337">
      <c r="A337" s="272"/>
      <c r="B337" s="273"/>
      <c r="C337" s="273"/>
      <c r="D337" s="274"/>
      <c r="E337" s="274"/>
      <c r="F337" s="274"/>
      <c r="G337" s="247"/>
      <c r="H337" s="247"/>
      <c r="I337" s="247"/>
      <c r="J337" s="247"/>
      <c r="K337" s="272"/>
    </row>
    <row r="338">
      <c r="A338" s="195" t="s">
        <v>597</v>
      </c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</row>
    <row r="339">
      <c r="A339" s="198" t="s">
        <v>40</v>
      </c>
      <c r="B339" s="221"/>
      <c r="C339" s="221"/>
      <c r="D339" s="211"/>
      <c r="E339" s="221"/>
      <c r="F339" s="211">
        <f>6*F336</f>
        <v>25000</v>
      </c>
      <c r="G339" s="221">
        <f>12*G336</f>
        <v>50000</v>
      </c>
      <c r="H339" s="221">
        <v>85000.0</v>
      </c>
      <c r="I339" s="221"/>
      <c r="J339" s="211"/>
      <c r="K339" s="293"/>
      <c r="L339" s="251"/>
    </row>
    <row r="340">
      <c r="A340" s="200"/>
      <c r="B340" s="221"/>
      <c r="C340" s="221"/>
      <c r="D340" s="373"/>
      <c r="E340" s="222"/>
      <c r="F340" s="221"/>
      <c r="G340" s="221"/>
      <c r="H340" s="255"/>
      <c r="I340" s="211"/>
      <c r="J340" s="221"/>
      <c r="K340" s="252"/>
      <c r="L340" s="252"/>
    </row>
    <row r="341">
      <c r="A341" s="200" t="s">
        <v>592</v>
      </c>
      <c r="B341" s="255"/>
      <c r="C341" s="255"/>
      <c r="D341" s="255"/>
      <c r="E341" s="256"/>
      <c r="F341" s="319"/>
      <c r="G341" s="255"/>
      <c r="H341" s="255"/>
      <c r="I341" s="255">
        <v>150000.0</v>
      </c>
      <c r="J341" s="255">
        <v>50000.0</v>
      </c>
      <c r="K341" s="257"/>
      <c r="L341" s="257"/>
    </row>
    <row r="342">
      <c r="A342" s="200" t="s">
        <v>149</v>
      </c>
      <c r="B342" s="255"/>
      <c r="C342" s="255"/>
      <c r="D342" s="255">
        <v>185000.0</v>
      </c>
      <c r="E342" s="256"/>
      <c r="F342" s="319">
        <v>100000.0</v>
      </c>
      <c r="G342" s="255">
        <v>150000.0</v>
      </c>
      <c r="H342" s="255">
        <v>170000.0</v>
      </c>
      <c r="I342" s="255">
        <v>200000.0</v>
      </c>
      <c r="J342" s="255"/>
      <c r="K342" s="257"/>
      <c r="L342" s="257"/>
    </row>
    <row r="343">
      <c r="A343" s="200" t="s">
        <v>120</v>
      </c>
      <c r="B343" s="255"/>
      <c r="C343" s="255">
        <f>320000+320000</f>
        <v>640000</v>
      </c>
      <c r="D343" s="255"/>
      <c r="E343" s="255"/>
      <c r="F343" s="255"/>
      <c r="G343" s="255"/>
      <c r="H343" s="255"/>
      <c r="I343" s="255"/>
      <c r="J343" s="255"/>
      <c r="K343" s="257"/>
      <c r="L343" s="257"/>
    </row>
    <row r="344">
      <c r="A344" s="200" t="s">
        <v>453</v>
      </c>
      <c r="B344" s="255"/>
      <c r="C344" s="255"/>
      <c r="D344" s="255">
        <v>7800.0</v>
      </c>
      <c r="E344" s="255"/>
      <c r="F344" s="255"/>
      <c r="G344" s="255"/>
      <c r="H344" s="255"/>
      <c r="I344" s="255"/>
      <c r="J344" s="255"/>
      <c r="K344" s="257"/>
      <c r="L344" s="257"/>
    </row>
    <row r="345">
      <c r="A345" s="205" t="s">
        <v>118</v>
      </c>
      <c r="B345" s="226">
        <v>320000.0</v>
      </c>
      <c r="C345" s="226">
        <f>C343</f>
        <v>640000</v>
      </c>
      <c r="D345" s="238">
        <f>D332+D340+D339+D342-D344</f>
        <v>377200</v>
      </c>
      <c r="E345" s="226">
        <f>270000+E342</f>
        <v>270000</v>
      </c>
      <c r="F345" s="325">
        <f>F334+F342+F339</f>
        <v>325000</v>
      </c>
      <c r="G345" s="226">
        <f>G333+G342+G339+G340</f>
        <v>400000</v>
      </c>
      <c r="H345" s="226"/>
      <c r="I345" s="226">
        <f>250000-I341</f>
        <v>100000</v>
      </c>
      <c r="J345" s="238">
        <f>200000+J340+J339-J341</f>
        <v>150000</v>
      </c>
      <c r="K345" s="226"/>
      <c r="L345" s="206">
        <f>SUM(B345:K345)</f>
        <v>2582200</v>
      </c>
    </row>
    <row r="346">
      <c r="A346" s="126" t="s">
        <v>0</v>
      </c>
      <c r="B346" s="127" t="s">
        <v>90</v>
      </c>
      <c r="C346" s="127" t="s">
        <v>3</v>
      </c>
      <c r="D346" s="183" t="s">
        <v>155</v>
      </c>
      <c r="E346" s="183" t="s">
        <v>195</v>
      </c>
      <c r="F346" s="129" t="s">
        <v>51</v>
      </c>
      <c r="G346" s="129" t="s">
        <v>372</v>
      </c>
      <c r="H346" s="129" t="s">
        <v>477</v>
      </c>
      <c r="I346" s="129" t="s">
        <v>515</v>
      </c>
      <c r="J346" s="129" t="s">
        <v>10</v>
      </c>
      <c r="K346" s="129"/>
      <c r="L346" s="128" t="s">
        <v>110</v>
      </c>
    </row>
    <row r="347">
      <c r="A347" s="272"/>
      <c r="B347" s="280" t="s">
        <v>541</v>
      </c>
      <c r="C347" s="280" t="s">
        <v>541</v>
      </c>
      <c r="D347" s="280" t="s">
        <v>375</v>
      </c>
      <c r="E347" s="280" t="s">
        <v>458</v>
      </c>
      <c r="F347" s="280" t="s">
        <v>375</v>
      </c>
      <c r="G347" s="283" t="s">
        <v>375</v>
      </c>
      <c r="H347" s="248"/>
      <c r="I347" s="248" t="s">
        <v>458</v>
      </c>
      <c r="J347" s="248" t="s">
        <v>537</v>
      </c>
      <c r="K347" s="248"/>
      <c r="L347" s="272"/>
    </row>
    <row r="348">
      <c r="A348" s="272"/>
      <c r="B348" s="273"/>
      <c r="C348" s="281" t="s">
        <v>598</v>
      </c>
      <c r="D348" s="274" t="s">
        <v>579</v>
      </c>
      <c r="E348" s="274" t="s">
        <v>579</v>
      </c>
      <c r="F348" s="274" t="s">
        <v>579</v>
      </c>
      <c r="G348" s="247" t="s">
        <v>579</v>
      </c>
      <c r="H348" s="376"/>
      <c r="I348" s="247"/>
      <c r="J348" s="247"/>
      <c r="K348" s="272"/>
    </row>
    <row r="349">
      <c r="A349" s="272"/>
      <c r="B349" s="273"/>
      <c r="C349" s="273"/>
      <c r="D349" s="274"/>
      <c r="E349" s="274"/>
      <c r="F349" s="274"/>
      <c r="G349" s="247"/>
      <c r="H349" s="283"/>
      <c r="I349" s="247"/>
      <c r="J349" s="247"/>
      <c r="K349" s="272"/>
    </row>
    <row r="350">
      <c r="A350" s="195" t="s">
        <v>599</v>
      </c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</row>
    <row r="351">
      <c r="A351" s="198" t="s">
        <v>40</v>
      </c>
      <c r="B351" s="221"/>
      <c r="C351" s="221"/>
      <c r="D351" s="211"/>
      <c r="E351" s="221"/>
      <c r="F351" s="211">
        <f t="shared" ref="F351:G351" si="123">12*F336</f>
        <v>50000</v>
      </c>
      <c r="G351" s="221">
        <f t="shared" si="123"/>
        <v>50000</v>
      </c>
      <c r="H351" s="221"/>
      <c r="I351" s="221"/>
      <c r="J351" s="211"/>
      <c r="K351" s="293"/>
      <c r="L351" s="251"/>
    </row>
    <row r="352">
      <c r="A352" s="200"/>
      <c r="B352" s="221"/>
      <c r="C352" s="221"/>
      <c r="D352" s="373"/>
      <c r="E352" s="222"/>
      <c r="F352" s="221"/>
      <c r="G352" s="221"/>
      <c r="H352" s="255"/>
      <c r="I352" s="211"/>
      <c r="J352" s="221"/>
      <c r="K352" s="252"/>
      <c r="L352" s="252"/>
    </row>
    <row r="353">
      <c r="A353" s="200" t="s">
        <v>592</v>
      </c>
      <c r="B353" s="255"/>
      <c r="C353" s="255"/>
      <c r="D353" s="255"/>
      <c r="E353" s="256"/>
      <c r="F353" s="319"/>
      <c r="G353" s="255"/>
      <c r="H353" s="255"/>
      <c r="I353" s="255"/>
      <c r="J353" s="255"/>
      <c r="K353" s="257"/>
      <c r="L353" s="257"/>
    </row>
    <row r="354">
      <c r="A354" s="200" t="s">
        <v>149</v>
      </c>
      <c r="B354" s="255"/>
      <c r="C354" s="255"/>
      <c r="D354" s="255"/>
      <c r="E354" s="256"/>
      <c r="F354" s="319"/>
      <c r="G354" s="255"/>
      <c r="H354" s="255"/>
      <c r="I354" s="255"/>
      <c r="J354" s="255"/>
      <c r="K354" s="257"/>
      <c r="L354" s="257"/>
    </row>
    <row r="355">
      <c r="A355" s="200" t="s">
        <v>120</v>
      </c>
      <c r="B355" s="255"/>
      <c r="C355" s="255"/>
      <c r="D355" s="255">
        <v>400000.0</v>
      </c>
      <c r="E355" s="255"/>
      <c r="F355" s="255"/>
      <c r="G355" s="255"/>
      <c r="H355" s="255">
        <v>170000.0</v>
      </c>
      <c r="I355" s="255"/>
      <c r="J355" s="255"/>
      <c r="K355" s="257"/>
      <c r="L355" s="257"/>
    </row>
    <row r="356">
      <c r="A356" s="200" t="s">
        <v>453</v>
      </c>
      <c r="B356" s="255"/>
      <c r="C356" s="255"/>
      <c r="D356" s="255"/>
      <c r="E356" s="255"/>
      <c r="F356" s="255"/>
      <c r="G356" s="255"/>
      <c r="H356" s="255"/>
      <c r="I356" s="255"/>
      <c r="J356" s="255"/>
      <c r="K356" s="257"/>
      <c r="L356" s="257"/>
    </row>
    <row r="357">
      <c r="A357" s="205" t="s">
        <v>118</v>
      </c>
      <c r="B357" s="226">
        <v>320000.0</v>
      </c>
      <c r="C357" s="226"/>
      <c r="D357" s="226">
        <f>D331</f>
        <v>200000</v>
      </c>
      <c r="E357" s="226">
        <f>270000+E354</f>
        <v>270000</v>
      </c>
      <c r="F357" s="238">
        <f t="shared" ref="F357:G357" si="124">F331+F351</f>
        <v>250000</v>
      </c>
      <c r="G357" s="226">
        <f t="shared" si="124"/>
        <v>250000</v>
      </c>
      <c r="H357" s="226">
        <f>H355</f>
        <v>170000</v>
      </c>
      <c r="I357" s="226"/>
      <c r="J357" s="238">
        <f>200000+J352+J351-J353</f>
        <v>200000</v>
      </c>
      <c r="K357" s="226"/>
      <c r="L357" s="206">
        <f>SUM(B357:K357)</f>
        <v>1660000</v>
      </c>
    </row>
    <row r="358">
      <c r="A358" s="126" t="s">
        <v>0</v>
      </c>
      <c r="B358" s="127" t="s">
        <v>90</v>
      </c>
      <c r="C358" s="127" t="s">
        <v>3</v>
      </c>
      <c r="D358" s="183" t="s">
        <v>155</v>
      </c>
      <c r="E358" s="183" t="s">
        <v>195</v>
      </c>
      <c r="F358" s="129" t="s">
        <v>51</v>
      </c>
      <c r="G358" s="129" t="s">
        <v>372</v>
      </c>
      <c r="H358" s="129" t="s">
        <v>477</v>
      </c>
      <c r="I358" s="129" t="s">
        <v>515</v>
      </c>
      <c r="J358" s="129" t="s">
        <v>10</v>
      </c>
      <c r="K358" s="129"/>
      <c r="L358" s="128" t="s">
        <v>110</v>
      </c>
    </row>
    <row r="359">
      <c r="A359" s="272"/>
      <c r="B359" s="273"/>
      <c r="C359" s="273"/>
      <c r="D359" s="274" t="s">
        <v>375</v>
      </c>
      <c r="E359" s="274" t="s">
        <v>375</v>
      </c>
      <c r="F359" s="274" t="s">
        <v>375</v>
      </c>
      <c r="G359" s="247" t="s">
        <v>375</v>
      </c>
      <c r="H359" s="247" t="s">
        <v>375</v>
      </c>
      <c r="I359" s="247"/>
      <c r="J359" s="247" t="s">
        <v>541</v>
      </c>
      <c r="K359" s="272"/>
    </row>
    <row r="360">
      <c r="A360" s="272"/>
      <c r="B360" s="273"/>
      <c r="C360" s="273"/>
      <c r="D360" s="274"/>
      <c r="E360" s="274"/>
      <c r="F360" s="274"/>
      <c r="G360" s="247"/>
      <c r="H360" s="279" t="s">
        <v>600</v>
      </c>
      <c r="I360" s="247"/>
      <c r="J360" s="247"/>
      <c r="K360" s="272"/>
    </row>
    <row r="361">
      <c r="A361" s="272"/>
      <c r="B361" s="273"/>
      <c r="C361" s="273"/>
      <c r="D361" s="274"/>
      <c r="E361" s="274"/>
      <c r="F361" s="274"/>
      <c r="G361" s="247"/>
      <c r="H361" s="247"/>
      <c r="I361" s="247"/>
      <c r="J361" s="247"/>
      <c r="K361" s="272"/>
    </row>
    <row r="362">
      <c r="A362" s="195" t="s">
        <v>601</v>
      </c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</row>
    <row r="363">
      <c r="A363" s="198" t="s">
        <v>40</v>
      </c>
      <c r="B363" s="221"/>
      <c r="C363" s="221"/>
      <c r="D363" s="211"/>
      <c r="E363" s="221"/>
      <c r="F363" s="211"/>
      <c r="G363" s="221">
        <f>11*G336</f>
        <v>45833.33333</v>
      </c>
      <c r="H363" s="221"/>
      <c r="I363" s="221"/>
      <c r="J363" s="211"/>
      <c r="K363" s="293"/>
      <c r="L363" s="251"/>
    </row>
    <row r="364">
      <c r="A364" s="200" t="s">
        <v>295</v>
      </c>
      <c r="B364" s="221"/>
      <c r="C364" s="221">
        <f>8*C336</f>
        <v>53333.33333</v>
      </c>
      <c r="D364" s="373"/>
      <c r="E364" s="222"/>
      <c r="F364" s="221">
        <f>8*F336</f>
        <v>33333.33333</v>
      </c>
      <c r="G364" s="221"/>
      <c r="H364" s="255"/>
      <c r="I364" s="211"/>
      <c r="J364" s="221"/>
      <c r="K364" s="252"/>
      <c r="L364" s="252"/>
    </row>
    <row r="365">
      <c r="A365" s="200" t="s">
        <v>592</v>
      </c>
      <c r="B365" s="255"/>
      <c r="C365" s="255"/>
      <c r="D365" s="255"/>
      <c r="E365" s="256"/>
      <c r="F365" s="319"/>
      <c r="G365" s="255"/>
      <c r="H365" s="255"/>
      <c r="I365" s="255"/>
      <c r="J365" s="255"/>
      <c r="K365" s="257"/>
      <c r="L365" s="257"/>
    </row>
    <row r="366">
      <c r="A366" s="200" t="s">
        <v>149</v>
      </c>
      <c r="B366" s="255"/>
      <c r="C366" s="255"/>
      <c r="D366" s="255"/>
      <c r="E366" s="256"/>
      <c r="F366" s="319"/>
      <c r="G366" s="255"/>
      <c r="H366" s="255"/>
      <c r="I366" s="255"/>
      <c r="J366" s="255"/>
      <c r="K366" s="257"/>
      <c r="L366" s="257"/>
    </row>
    <row r="367">
      <c r="A367" s="200" t="s">
        <v>120</v>
      </c>
      <c r="B367" s="255"/>
      <c r="C367" s="255"/>
      <c r="D367" s="255">
        <v>200000.0</v>
      </c>
      <c r="E367" s="255"/>
      <c r="F367" s="255"/>
      <c r="G367" s="255"/>
      <c r="H367" s="255"/>
      <c r="I367" s="255"/>
      <c r="J367" s="255"/>
      <c r="K367" s="257"/>
      <c r="L367" s="257"/>
    </row>
    <row r="368">
      <c r="A368" s="200" t="s">
        <v>453</v>
      </c>
      <c r="B368" s="255"/>
      <c r="C368" s="255"/>
      <c r="D368" s="255"/>
      <c r="E368" s="255"/>
      <c r="F368" s="255"/>
      <c r="G368" s="255">
        <v>3900.0</v>
      </c>
      <c r="H368" s="255"/>
      <c r="I368" s="255"/>
      <c r="J368" s="255"/>
      <c r="K368" s="257"/>
      <c r="L368" s="257"/>
    </row>
    <row r="369">
      <c r="A369" s="205" t="s">
        <v>118</v>
      </c>
      <c r="B369" s="226">
        <v>320000.0</v>
      </c>
      <c r="C369" s="226">
        <f>C331</f>
        <v>320000</v>
      </c>
      <c r="D369" s="226">
        <f>D367</f>
        <v>200000</v>
      </c>
      <c r="E369" s="226">
        <f>270000+E366</f>
        <v>270000</v>
      </c>
      <c r="F369" s="226">
        <f>F334</f>
        <v>200000</v>
      </c>
      <c r="G369" s="226">
        <f>G333</f>
        <v>200000</v>
      </c>
      <c r="H369" s="226" t="str">
        <f>H367</f>
        <v/>
      </c>
      <c r="I369" s="226">
        <v>300000.0</v>
      </c>
      <c r="J369" s="238">
        <f>200000+J364+J363-J365</f>
        <v>200000</v>
      </c>
      <c r="K369" s="226"/>
      <c r="L369" s="206">
        <f>SUM(B369:K369)</f>
        <v>2010000</v>
      </c>
    </row>
    <row r="370">
      <c r="A370" s="126" t="s">
        <v>0</v>
      </c>
      <c r="B370" s="127" t="s">
        <v>90</v>
      </c>
      <c r="C370" s="127" t="s">
        <v>3</v>
      </c>
      <c r="D370" s="183" t="s">
        <v>155</v>
      </c>
      <c r="E370" s="183" t="s">
        <v>195</v>
      </c>
      <c r="F370" s="129" t="s">
        <v>51</v>
      </c>
      <c r="G370" s="129" t="s">
        <v>372</v>
      </c>
      <c r="H370" s="129" t="s">
        <v>477</v>
      </c>
      <c r="I370" s="129" t="s">
        <v>515</v>
      </c>
      <c r="J370" s="129" t="s">
        <v>10</v>
      </c>
      <c r="K370" s="129"/>
      <c r="L370" s="128" t="s">
        <v>110</v>
      </c>
    </row>
    <row r="371">
      <c r="A371" s="272"/>
      <c r="B371" s="274" t="s">
        <v>541</v>
      </c>
      <c r="C371" s="274" t="s">
        <v>541</v>
      </c>
      <c r="D371" s="274" t="s">
        <v>541</v>
      </c>
      <c r="E371" s="274" t="s">
        <v>375</v>
      </c>
      <c r="F371" s="274" t="s">
        <v>541</v>
      </c>
      <c r="G371" s="247" t="s">
        <v>375</v>
      </c>
      <c r="H371" s="247"/>
      <c r="I371" s="376" t="s">
        <v>602</v>
      </c>
      <c r="J371" s="247" t="s">
        <v>541</v>
      </c>
      <c r="K371" s="272"/>
    </row>
    <row r="372">
      <c r="A372" s="272"/>
      <c r="B372" s="273"/>
      <c r="C372" s="377" t="s">
        <v>603</v>
      </c>
      <c r="D372" s="377" t="s">
        <v>603</v>
      </c>
      <c r="E372" s="274"/>
      <c r="F372" s="377" t="s">
        <v>603</v>
      </c>
      <c r="G372" s="377" t="s">
        <v>603</v>
      </c>
      <c r="H372" s="247"/>
      <c r="I372" s="247"/>
      <c r="J372" s="247"/>
      <c r="K372" s="272"/>
    </row>
    <row r="373">
      <c r="A373" s="272"/>
      <c r="B373" s="273"/>
      <c r="C373" s="273"/>
      <c r="D373" s="274"/>
      <c r="E373" s="274"/>
      <c r="F373" s="274"/>
      <c r="G373" s="247"/>
      <c r="H373" s="247"/>
      <c r="I373" s="247"/>
      <c r="J373" s="247"/>
      <c r="K373" s="272"/>
    </row>
    <row r="374">
      <c r="A374" s="195" t="s">
        <v>604</v>
      </c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</row>
    <row r="375">
      <c r="A375" s="198" t="s">
        <v>40</v>
      </c>
      <c r="B375" s="221"/>
      <c r="C375" s="221"/>
      <c r="D375" s="211"/>
      <c r="E375" s="221"/>
      <c r="F375" s="211">
        <f>5*F336</f>
        <v>20833.33333</v>
      </c>
      <c r="G375" s="221"/>
      <c r="H375" s="221"/>
      <c r="I375" s="221"/>
      <c r="J375" s="211"/>
      <c r="K375" s="293"/>
      <c r="L375" s="251"/>
    </row>
    <row r="376">
      <c r="A376" s="200" t="s">
        <v>295</v>
      </c>
      <c r="B376" s="221"/>
      <c r="C376" s="221"/>
      <c r="D376" s="373"/>
      <c r="E376" s="222"/>
      <c r="F376" s="221"/>
      <c r="G376" s="221"/>
      <c r="H376" s="255"/>
      <c r="I376" s="211"/>
      <c r="J376" s="221"/>
      <c r="K376" s="252"/>
      <c r="L376" s="252"/>
    </row>
    <row r="377">
      <c r="A377" s="200" t="s">
        <v>592</v>
      </c>
      <c r="B377" s="255"/>
      <c r="C377" s="255"/>
      <c r="D377" s="255"/>
      <c r="E377" s="256"/>
      <c r="F377" s="319"/>
      <c r="G377" s="255"/>
      <c r="H377" s="255"/>
      <c r="I377" s="255">
        <v>30000.0</v>
      </c>
      <c r="J377" s="255"/>
      <c r="K377" s="257"/>
      <c r="L377" s="257"/>
    </row>
    <row r="378">
      <c r="A378" s="200" t="s">
        <v>149</v>
      </c>
      <c r="B378" s="255"/>
      <c r="C378" s="255"/>
      <c r="D378" s="255"/>
      <c r="E378" s="256"/>
      <c r="F378" s="319"/>
      <c r="G378" s="255"/>
      <c r="H378" s="255"/>
      <c r="I378" s="255"/>
      <c r="J378" s="255"/>
      <c r="K378" s="257"/>
      <c r="L378" s="257"/>
    </row>
    <row r="379">
      <c r="A379" s="200" t="s">
        <v>120</v>
      </c>
      <c r="B379" s="255"/>
      <c r="C379" s="255"/>
      <c r="D379" s="255">
        <v>200000.0</v>
      </c>
      <c r="E379" s="255"/>
      <c r="F379" s="255"/>
      <c r="G379" s="255"/>
      <c r="H379" s="255"/>
      <c r="I379" s="255"/>
      <c r="J379" s="255"/>
      <c r="K379" s="257"/>
      <c r="L379" s="257"/>
    </row>
    <row r="380">
      <c r="A380" s="200" t="s">
        <v>453</v>
      </c>
      <c r="B380" s="255"/>
      <c r="C380" s="255"/>
      <c r="D380" s="255"/>
      <c r="E380" s="255"/>
      <c r="F380" s="255"/>
      <c r="G380" s="255"/>
      <c r="H380" s="255"/>
      <c r="I380" s="255"/>
      <c r="J380" s="255"/>
      <c r="K380" s="257"/>
      <c r="L380" s="257"/>
    </row>
    <row r="381">
      <c r="A381" s="205" t="s">
        <v>118</v>
      </c>
      <c r="B381" s="226">
        <v>320000.0</v>
      </c>
      <c r="C381" s="226">
        <f>C332</f>
        <v>320000</v>
      </c>
      <c r="D381" s="226"/>
      <c r="E381" s="226">
        <f>270000+E378</f>
        <v>270000</v>
      </c>
      <c r="F381" s="238">
        <f>F331+F375</f>
        <v>220833.3333</v>
      </c>
      <c r="G381" s="226">
        <v>250000.0</v>
      </c>
      <c r="H381" s="226">
        <v>200000.0</v>
      </c>
      <c r="I381" s="226"/>
      <c r="J381" s="238">
        <f>200000+J376+J375-J377</f>
        <v>200000</v>
      </c>
      <c r="K381" s="226">
        <v>250000.0</v>
      </c>
      <c r="L381" s="206">
        <f>SUM(B381:K381)</f>
        <v>2030833.333</v>
      </c>
    </row>
    <row r="382">
      <c r="A382" s="126" t="s">
        <v>0</v>
      </c>
      <c r="B382" s="127" t="s">
        <v>90</v>
      </c>
      <c r="C382" s="127" t="s">
        <v>3</v>
      </c>
      <c r="D382" s="183" t="s">
        <v>155</v>
      </c>
      <c r="E382" s="183" t="s">
        <v>195</v>
      </c>
      <c r="F382" s="129" t="s">
        <v>51</v>
      </c>
      <c r="G382" s="129" t="s">
        <v>372</v>
      </c>
      <c r="H382" s="129" t="s">
        <v>477</v>
      </c>
      <c r="I382" s="129" t="s">
        <v>515</v>
      </c>
      <c r="J382" s="129" t="s">
        <v>10</v>
      </c>
      <c r="K382" s="129" t="s">
        <v>289</v>
      </c>
      <c r="L382" s="128" t="s">
        <v>110</v>
      </c>
    </row>
    <row r="383">
      <c r="A383" s="272"/>
      <c r="B383" s="274" t="s">
        <v>541</v>
      </c>
      <c r="C383" s="274" t="s">
        <v>458</v>
      </c>
      <c r="D383" s="274" t="s">
        <v>605</v>
      </c>
      <c r="E383" s="274" t="s">
        <v>605</v>
      </c>
      <c r="F383" s="274" t="s">
        <v>458</v>
      </c>
      <c r="G383" s="247" t="s">
        <v>375</v>
      </c>
      <c r="H383" s="247" t="s">
        <v>458</v>
      </c>
      <c r="I383" s="378" t="s">
        <v>606</v>
      </c>
      <c r="J383" s="247" t="s">
        <v>458</v>
      </c>
      <c r="K383" s="247" t="s">
        <v>458</v>
      </c>
    </row>
    <row r="384">
      <c r="A384" s="272"/>
      <c r="B384" s="273"/>
      <c r="C384" s="273"/>
      <c r="D384" s="274"/>
      <c r="E384" s="274"/>
      <c r="F384" s="274"/>
      <c r="G384" s="247"/>
      <c r="H384" s="376" t="s">
        <v>607</v>
      </c>
      <c r="I384" s="247"/>
      <c r="J384" s="247"/>
      <c r="K384" s="272"/>
    </row>
    <row r="385">
      <c r="A385" s="272"/>
      <c r="B385" s="273"/>
      <c r="C385" s="273"/>
      <c r="D385" s="274"/>
      <c r="E385" s="274"/>
      <c r="F385" s="274"/>
      <c r="G385" s="247"/>
      <c r="H385" s="247"/>
      <c r="I385" s="247"/>
      <c r="J385" s="247"/>
      <c r="K385" s="272"/>
    </row>
    <row r="386">
      <c r="A386" s="355" t="s">
        <v>0</v>
      </c>
      <c r="B386" s="356" t="s">
        <v>90</v>
      </c>
      <c r="C386" s="356" t="s">
        <v>3</v>
      </c>
      <c r="D386" s="356" t="s">
        <v>155</v>
      </c>
      <c r="E386" s="356" t="s">
        <v>195</v>
      </c>
      <c r="F386" s="357" t="s">
        <v>51</v>
      </c>
      <c r="G386" s="357" t="s">
        <v>372</v>
      </c>
      <c r="H386" s="357" t="s">
        <v>477</v>
      </c>
      <c r="I386" s="357" t="s">
        <v>394</v>
      </c>
      <c r="J386" s="357" t="s">
        <v>10</v>
      </c>
      <c r="K386" s="129" t="s">
        <v>289</v>
      </c>
      <c r="L386" s="359"/>
      <c r="M386" s="359"/>
      <c r="N386" s="357" t="s">
        <v>110</v>
      </c>
      <c r="O386" s="313"/>
      <c r="P386" s="313"/>
      <c r="Q386" s="313"/>
    </row>
    <row r="387">
      <c r="A387" s="375" t="s">
        <v>125</v>
      </c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2"/>
    </row>
    <row r="388">
      <c r="A388" s="361" t="s">
        <v>111</v>
      </c>
      <c r="B388" s="363">
        <v>320000.0</v>
      </c>
      <c r="C388" s="363">
        <v>320000.0</v>
      </c>
      <c r="D388" s="363">
        <v>200000.0</v>
      </c>
      <c r="E388" s="362">
        <v>270000.0</v>
      </c>
      <c r="F388" s="362">
        <v>200000.0</v>
      </c>
      <c r="G388" s="363">
        <v>250000.0</v>
      </c>
      <c r="H388" s="362">
        <v>170000.0</v>
      </c>
      <c r="I388" s="363">
        <v>250000.0</v>
      </c>
      <c r="J388" s="362">
        <v>200000.0</v>
      </c>
      <c r="K388" s="363">
        <v>250000.0</v>
      </c>
      <c r="L388" s="364">
        <f>SUM(B388:K388)</f>
        <v>2430000</v>
      </c>
      <c r="M388" s="313"/>
      <c r="N388" s="313"/>
      <c r="O388" s="313"/>
      <c r="P388" s="313"/>
      <c r="Q388" s="313"/>
    </row>
    <row r="389">
      <c r="A389" s="365"/>
      <c r="B389" s="363">
        <v>320000.0</v>
      </c>
      <c r="C389" s="363">
        <v>320000.0</v>
      </c>
      <c r="D389" s="363">
        <v>200000.0</v>
      </c>
      <c r="E389" s="362">
        <v>270000.0</v>
      </c>
      <c r="F389" s="362">
        <v>200000.0</v>
      </c>
      <c r="G389" s="363">
        <v>250000.0</v>
      </c>
      <c r="H389" s="362">
        <v>170000.0</v>
      </c>
      <c r="I389" s="363">
        <v>250000.0</v>
      </c>
      <c r="J389" s="362">
        <v>200000.0</v>
      </c>
      <c r="K389" s="363">
        <v>250000.0</v>
      </c>
      <c r="L389" s="364">
        <f t="shared" ref="L389:L391" si="125">SUM(B389:J389)</f>
        <v>2180000</v>
      </c>
      <c r="M389" s="313"/>
      <c r="N389" s="313"/>
      <c r="O389" s="366"/>
      <c r="P389" s="313"/>
      <c r="Q389" s="313"/>
    </row>
    <row r="390">
      <c r="A390" s="365"/>
      <c r="B390" s="363">
        <v>320000.0</v>
      </c>
      <c r="C390" s="363">
        <v>320000.0</v>
      </c>
      <c r="D390" s="363">
        <v>200000.0</v>
      </c>
      <c r="E390" s="362">
        <v>270000.0</v>
      </c>
      <c r="F390" s="362">
        <v>200000.0</v>
      </c>
      <c r="G390" s="363">
        <v>250000.0</v>
      </c>
      <c r="H390" s="362">
        <v>170000.0</v>
      </c>
      <c r="I390" s="363">
        <v>250000.0</v>
      </c>
      <c r="J390" s="362">
        <v>200000.0</v>
      </c>
      <c r="K390" s="363">
        <v>250000.0</v>
      </c>
      <c r="L390" s="364">
        <f t="shared" si="125"/>
        <v>2180000</v>
      </c>
      <c r="M390" s="313"/>
      <c r="N390" s="313"/>
      <c r="O390" s="313"/>
      <c r="P390" s="313"/>
      <c r="Q390" s="313"/>
    </row>
    <row r="391">
      <c r="A391" s="367"/>
      <c r="B391" s="363">
        <v>320000.0</v>
      </c>
      <c r="C391" s="363">
        <v>320000.0</v>
      </c>
      <c r="D391" s="363">
        <v>200000.0</v>
      </c>
      <c r="E391" s="362">
        <v>270000.0</v>
      </c>
      <c r="F391" s="362">
        <v>200000.0</v>
      </c>
      <c r="G391" s="363">
        <v>250000.0</v>
      </c>
      <c r="H391" s="362">
        <v>170000.0</v>
      </c>
      <c r="I391" s="363">
        <v>250000.0</v>
      </c>
      <c r="J391" s="362">
        <v>200000.0</v>
      </c>
      <c r="K391" s="363">
        <v>250000.0</v>
      </c>
      <c r="L391" s="364">
        <f t="shared" si="125"/>
        <v>2180000</v>
      </c>
      <c r="M391" s="313"/>
      <c r="N391" s="313"/>
      <c r="O391" s="313"/>
      <c r="P391" s="313"/>
      <c r="Q391" s="313"/>
    </row>
    <row r="392">
      <c r="A392" s="368" t="s">
        <v>113</v>
      </c>
      <c r="B392" s="369">
        <f t="shared" ref="B392:L392" si="126">SUM(B388:B391)</f>
        <v>1280000</v>
      </c>
      <c r="C392" s="369">
        <f t="shared" si="126"/>
        <v>1280000</v>
      </c>
      <c r="D392" s="369">
        <f t="shared" si="126"/>
        <v>800000</v>
      </c>
      <c r="E392" s="369">
        <f t="shared" si="126"/>
        <v>1080000</v>
      </c>
      <c r="F392" s="369">
        <f t="shared" si="126"/>
        <v>800000</v>
      </c>
      <c r="G392" s="369">
        <f t="shared" si="126"/>
        <v>1000000</v>
      </c>
      <c r="H392" s="369">
        <f t="shared" si="126"/>
        <v>680000</v>
      </c>
      <c r="I392" s="369">
        <f t="shared" si="126"/>
        <v>1000000</v>
      </c>
      <c r="J392" s="369">
        <f t="shared" si="126"/>
        <v>800000</v>
      </c>
      <c r="K392" s="369">
        <f t="shared" si="126"/>
        <v>1000000</v>
      </c>
      <c r="L392" s="369">
        <f t="shared" si="126"/>
        <v>8970000</v>
      </c>
      <c r="M392" s="313"/>
      <c r="N392" s="313"/>
      <c r="O392" s="313"/>
      <c r="P392" s="313"/>
      <c r="Q392" s="313"/>
    </row>
    <row r="393">
      <c r="A393" s="370" t="s">
        <v>138</v>
      </c>
      <c r="B393" s="371">
        <f>B389/6/8</f>
        <v>6666.666667</v>
      </c>
      <c r="C393" s="371">
        <f t="shared" ref="C393:D393" si="127">C388/8/6</f>
        <v>6666.666667</v>
      </c>
      <c r="D393" s="371">
        <f t="shared" si="127"/>
        <v>4166.666667</v>
      </c>
      <c r="E393" s="371">
        <f t="shared" ref="E393:F393" si="128">E388/6/8</f>
        <v>5625</v>
      </c>
      <c r="F393" s="371">
        <f t="shared" si="128"/>
        <v>4166.666667</v>
      </c>
      <c r="G393" s="371">
        <f>G389/6/8</f>
        <v>5208.333333</v>
      </c>
      <c r="H393" s="371">
        <f>H391/8/6</f>
        <v>3541.666667</v>
      </c>
      <c r="I393" s="372">
        <f>I388/6/8</f>
        <v>5208.333333</v>
      </c>
      <c r="J393" s="372">
        <f>J391/6/8</f>
        <v>4166.666667</v>
      </c>
      <c r="K393" s="372">
        <f>K391/8/6</f>
        <v>5208.333333</v>
      </c>
      <c r="L393" s="372"/>
      <c r="M393" s="313"/>
      <c r="N393" s="313"/>
      <c r="O393" s="313"/>
      <c r="P393" s="313"/>
      <c r="Q393" s="313"/>
    </row>
    <row r="394">
      <c r="A394" s="272"/>
      <c r="B394" s="273"/>
      <c r="C394" s="273"/>
      <c r="D394" s="274"/>
      <c r="E394" s="274"/>
      <c r="F394" s="274"/>
      <c r="G394" s="271" t="s">
        <v>608</v>
      </c>
      <c r="H394" s="247"/>
      <c r="I394" s="247"/>
      <c r="J394" s="247"/>
      <c r="K394" s="272"/>
    </row>
    <row r="395">
      <c r="A395" s="195" t="s">
        <v>609</v>
      </c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</row>
    <row r="396">
      <c r="A396" s="198" t="s">
        <v>40</v>
      </c>
      <c r="B396" s="221"/>
      <c r="C396" s="221"/>
      <c r="D396" s="211"/>
      <c r="E396" s="221"/>
      <c r="F396" s="211"/>
      <c r="G396" s="221"/>
      <c r="H396" s="221"/>
      <c r="I396" s="221"/>
      <c r="J396" s="211"/>
      <c r="K396" s="293"/>
      <c r="L396" s="251"/>
    </row>
    <row r="397">
      <c r="A397" s="200" t="s">
        <v>610</v>
      </c>
      <c r="B397" s="221"/>
      <c r="C397" s="221"/>
      <c r="D397" s="373"/>
      <c r="E397" s="222"/>
      <c r="F397" s="221">
        <f>F364</f>
        <v>33333.33333</v>
      </c>
      <c r="G397" s="221">
        <f>G363</f>
        <v>45833.33333</v>
      </c>
      <c r="H397" s="255"/>
      <c r="I397" s="211"/>
      <c r="J397" s="221"/>
      <c r="K397" s="252"/>
      <c r="L397" s="252"/>
    </row>
    <row r="398">
      <c r="A398" s="200" t="s">
        <v>592</v>
      </c>
      <c r="B398" s="255"/>
      <c r="C398" s="255"/>
      <c r="D398" s="255"/>
      <c r="E398" s="256"/>
      <c r="F398" s="319"/>
      <c r="G398" s="255"/>
      <c r="H398" s="255"/>
      <c r="I398" s="255">
        <v>30000.0</v>
      </c>
      <c r="J398" s="255"/>
      <c r="K398" s="257"/>
      <c r="L398" s="257"/>
    </row>
    <row r="399">
      <c r="A399" s="200" t="s">
        <v>149</v>
      </c>
      <c r="B399" s="255"/>
      <c r="C399" s="255"/>
      <c r="D399" s="255"/>
      <c r="E399" s="256"/>
      <c r="F399" s="319"/>
      <c r="G399" s="255"/>
      <c r="H399" s="255"/>
      <c r="I399" s="255"/>
      <c r="J399" s="255"/>
      <c r="K399" s="257"/>
      <c r="L399" s="257"/>
    </row>
    <row r="400">
      <c r="A400" s="200" t="s">
        <v>120</v>
      </c>
      <c r="B400" s="255"/>
      <c r="C400" s="255"/>
      <c r="D400" s="255">
        <v>200000.0</v>
      </c>
      <c r="E400" s="255"/>
      <c r="F400" s="255"/>
      <c r="G400" s="255"/>
      <c r="H400" s="255"/>
      <c r="I400" s="255"/>
      <c r="J400" s="255"/>
      <c r="K400" s="257"/>
      <c r="L400" s="257"/>
    </row>
    <row r="401">
      <c r="A401" s="200" t="s">
        <v>453</v>
      </c>
      <c r="B401" s="255"/>
      <c r="C401" s="255"/>
      <c r="D401" s="255"/>
      <c r="E401" s="255"/>
      <c r="F401" s="255">
        <f>6280+3920</f>
        <v>10200</v>
      </c>
      <c r="G401" s="255">
        <f>3860+6980+3900</f>
        <v>14740</v>
      </c>
      <c r="H401" s="255"/>
      <c r="I401" s="255"/>
      <c r="J401" s="255"/>
      <c r="K401" s="257"/>
      <c r="L401" s="257"/>
    </row>
    <row r="402">
      <c r="A402" s="205" t="s">
        <v>118</v>
      </c>
      <c r="B402" s="226"/>
      <c r="C402" s="226">
        <f>C391</f>
        <v>320000</v>
      </c>
      <c r="D402" s="226">
        <v>200000.0</v>
      </c>
      <c r="E402" s="226">
        <f>270000*2</f>
        <v>540000</v>
      </c>
      <c r="F402" s="226">
        <f>F390+F397-F401</f>
        <v>223133.3333</v>
      </c>
      <c r="G402" s="226">
        <f>G391+G397-G401</f>
        <v>281093.3333</v>
      </c>
      <c r="H402" s="226">
        <v>100000.0</v>
      </c>
      <c r="I402" s="226">
        <v>300000.0</v>
      </c>
      <c r="J402" s="238">
        <f>200000+J397+J396-J398</f>
        <v>200000</v>
      </c>
      <c r="K402" s="226">
        <v>250000.0</v>
      </c>
      <c r="L402" s="206">
        <f>SUM(B402:K402)</f>
        <v>2414226.667</v>
      </c>
    </row>
    <row r="403">
      <c r="A403" s="126" t="s">
        <v>0</v>
      </c>
      <c r="B403" s="127" t="s">
        <v>90</v>
      </c>
      <c r="C403" s="127" t="s">
        <v>3</v>
      </c>
      <c r="D403" s="183" t="s">
        <v>155</v>
      </c>
      <c r="E403" s="183" t="s">
        <v>195</v>
      </c>
      <c r="F403" s="129" t="s">
        <v>51</v>
      </c>
      <c r="G403" s="129" t="s">
        <v>372</v>
      </c>
      <c r="H403" s="129" t="s">
        <v>477</v>
      </c>
      <c r="I403" s="129" t="s">
        <v>515</v>
      </c>
      <c r="J403" s="129" t="s">
        <v>10</v>
      </c>
      <c r="K403" s="129" t="s">
        <v>289</v>
      </c>
      <c r="L403" s="128" t="s">
        <v>110</v>
      </c>
    </row>
    <row r="404">
      <c r="A404" s="272"/>
      <c r="B404" s="275" t="s">
        <v>611</v>
      </c>
      <c r="C404" s="274" t="s">
        <v>541</v>
      </c>
      <c r="D404" s="281" t="s">
        <v>612</v>
      </c>
      <c r="E404" s="274" t="s">
        <v>375</v>
      </c>
      <c r="F404" s="274" t="s">
        <v>375</v>
      </c>
      <c r="G404" s="247" t="s">
        <v>375</v>
      </c>
      <c r="H404" s="247" t="s">
        <v>507</v>
      </c>
      <c r="I404" s="247" t="s">
        <v>541</v>
      </c>
      <c r="J404" s="247" t="s">
        <v>541</v>
      </c>
      <c r="K404" s="247" t="s">
        <v>375</v>
      </c>
    </row>
    <row r="405">
      <c r="A405" s="272"/>
      <c r="B405" s="273"/>
      <c r="C405" s="273"/>
      <c r="D405" s="279" t="s">
        <v>613</v>
      </c>
      <c r="E405" s="274"/>
      <c r="F405" s="274"/>
      <c r="G405" s="247"/>
      <c r="H405" s="247"/>
      <c r="I405" s="247"/>
      <c r="J405" s="247"/>
      <c r="K405" s="272"/>
    </row>
    <row r="406">
      <c r="A406" s="272"/>
      <c r="B406" s="273"/>
      <c r="C406" s="273"/>
      <c r="D406" s="275" t="s">
        <v>614</v>
      </c>
      <c r="E406" s="274"/>
      <c r="F406" s="274"/>
      <c r="G406" s="247"/>
      <c r="H406" s="247"/>
      <c r="I406" s="247"/>
      <c r="J406" s="247"/>
      <c r="K406" s="272"/>
    </row>
    <row r="407">
      <c r="A407" s="195" t="s">
        <v>615</v>
      </c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</row>
    <row r="408">
      <c r="A408" s="198" t="s">
        <v>40</v>
      </c>
      <c r="B408" s="221"/>
      <c r="C408" s="221"/>
      <c r="D408" s="211"/>
      <c r="E408" s="221"/>
      <c r="F408" s="211">
        <f>F393</f>
        <v>4166.666667</v>
      </c>
      <c r="G408" s="221"/>
      <c r="H408" s="221"/>
      <c r="I408" s="221"/>
      <c r="J408" s="211"/>
      <c r="K408" s="293">
        <f>K393</f>
        <v>5208.333333</v>
      </c>
      <c r="L408" s="251"/>
    </row>
    <row r="409">
      <c r="A409" s="200" t="s">
        <v>610</v>
      </c>
      <c r="B409" s="221"/>
      <c r="C409" s="221"/>
      <c r="D409" s="373"/>
      <c r="E409" s="222"/>
      <c r="F409" s="221" t="str">
        <f>F376</f>
        <v/>
      </c>
      <c r="G409" s="221" t="str">
        <f>G375</f>
        <v/>
      </c>
      <c r="H409" s="255"/>
      <c r="I409" s="211"/>
      <c r="J409" s="221"/>
      <c r="K409" s="252"/>
      <c r="L409" s="252"/>
    </row>
    <row r="410">
      <c r="A410" s="200" t="s">
        <v>592</v>
      </c>
      <c r="B410" s="255"/>
      <c r="C410" s="255"/>
      <c r="D410" s="255"/>
      <c r="E410" s="256"/>
      <c r="F410" s="319"/>
      <c r="G410" s="255"/>
      <c r="H410" s="255"/>
      <c r="I410" s="255"/>
      <c r="J410" s="255"/>
      <c r="K410" s="257"/>
      <c r="L410" s="257"/>
    </row>
    <row r="411">
      <c r="A411" s="200" t="s">
        <v>149</v>
      </c>
      <c r="B411" s="255"/>
      <c r="C411" s="255"/>
      <c r="D411" s="255"/>
      <c r="E411" s="256"/>
      <c r="F411" s="319"/>
      <c r="G411" s="255"/>
      <c r="H411" s="255"/>
      <c r="I411" s="255"/>
      <c r="J411" s="255"/>
      <c r="K411" s="257"/>
      <c r="L411" s="257"/>
    </row>
    <row r="412">
      <c r="A412" s="200" t="s">
        <v>120</v>
      </c>
      <c r="B412" s="255"/>
      <c r="C412" s="255"/>
      <c r="D412" s="255"/>
      <c r="E412" s="255"/>
      <c r="F412" s="255"/>
      <c r="G412" s="255"/>
      <c r="H412" s="255"/>
      <c r="I412" s="255"/>
      <c r="J412" s="255"/>
      <c r="K412" s="257"/>
      <c r="L412" s="257"/>
    </row>
    <row r="413">
      <c r="A413" s="200" t="s">
        <v>453</v>
      </c>
      <c r="B413" s="255"/>
      <c r="C413" s="255"/>
      <c r="D413" s="255"/>
      <c r="E413" s="255"/>
      <c r="F413" s="255"/>
      <c r="G413" s="255"/>
      <c r="H413" s="255"/>
      <c r="I413" s="255"/>
      <c r="J413" s="255"/>
      <c r="K413" s="257"/>
      <c r="L413" s="257"/>
    </row>
    <row r="414">
      <c r="A414" s="205" t="s">
        <v>118</v>
      </c>
      <c r="B414" s="226">
        <v>320000.0</v>
      </c>
      <c r="C414" s="226">
        <v>320000.0</v>
      </c>
      <c r="D414" s="226"/>
      <c r="E414" s="226"/>
      <c r="F414" s="238">
        <f>200000+F408</f>
        <v>204166.6667</v>
      </c>
      <c r="G414" s="226">
        <v>250000.0</v>
      </c>
      <c r="H414" s="226"/>
      <c r="I414" s="226">
        <v>300000.0</v>
      </c>
      <c r="J414" s="238">
        <f>200000+J409+J408-J410</f>
        <v>200000</v>
      </c>
      <c r="K414" s="226">
        <f>250000+K408</f>
        <v>255208.3333</v>
      </c>
      <c r="L414" s="206">
        <f>SUM(B414:K414)</f>
        <v>1849375</v>
      </c>
    </row>
    <row r="415">
      <c r="A415" s="126" t="s">
        <v>0</v>
      </c>
      <c r="B415" s="127" t="s">
        <v>90</v>
      </c>
      <c r="C415" s="127" t="s">
        <v>3</v>
      </c>
      <c r="D415" s="183" t="s">
        <v>155</v>
      </c>
      <c r="E415" s="183" t="s">
        <v>195</v>
      </c>
      <c r="F415" s="129" t="s">
        <v>51</v>
      </c>
      <c r="G415" s="129" t="s">
        <v>372</v>
      </c>
      <c r="H415" s="129" t="s">
        <v>477</v>
      </c>
      <c r="I415" s="129" t="s">
        <v>515</v>
      </c>
      <c r="J415" s="129" t="s">
        <v>10</v>
      </c>
      <c r="K415" s="129" t="s">
        <v>289</v>
      </c>
      <c r="L415" s="128" t="s">
        <v>110</v>
      </c>
    </row>
    <row r="416">
      <c r="A416" s="272"/>
      <c r="B416" s="275" t="s">
        <v>375</v>
      </c>
      <c r="C416" s="274" t="s">
        <v>541</v>
      </c>
      <c r="D416" s="281"/>
      <c r="E416" s="274" t="s">
        <v>375</v>
      </c>
      <c r="F416" s="274" t="s">
        <v>375</v>
      </c>
      <c r="G416" s="247" t="s">
        <v>375</v>
      </c>
      <c r="H416" s="247"/>
      <c r="I416" s="247" t="s">
        <v>375</v>
      </c>
      <c r="J416" s="247" t="s">
        <v>541</v>
      </c>
      <c r="K416" s="247" t="s">
        <v>375</v>
      </c>
    </row>
    <row r="417">
      <c r="A417" s="272"/>
      <c r="B417" s="273"/>
      <c r="C417" s="273"/>
      <c r="D417" s="274"/>
      <c r="E417" s="274"/>
      <c r="F417" s="274"/>
      <c r="G417" s="247"/>
      <c r="H417" s="376"/>
      <c r="I417" s="247"/>
      <c r="J417" s="247"/>
      <c r="K417" s="272"/>
    </row>
    <row r="418">
      <c r="A418" s="272"/>
      <c r="B418" s="273"/>
      <c r="C418" s="273"/>
      <c r="D418" s="274"/>
      <c r="E418" s="274"/>
      <c r="F418" s="274"/>
      <c r="G418" s="247"/>
      <c r="H418" s="247"/>
      <c r="I418" s="247"/>
      <c r="J418" s="247"/>
      <c r="K418" s="272"/>
    </row>
    <row r="419">
      <c r="A419" s="195" t="s">
        <v>616</v>
      </c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</row>
    <row r="420">
      <c r="A420" s="198" t="s">
        <v>40</v>
      </c>
      <c r="B420" s="221"/>
      <c r="C420" s="221"/>
      <c r="D420" s="211"/>
      <c r="E420" s="221"/>
      <c r="F420" s="211"/>
      <c r="G420" s="221">
        <f>G393*2</f>
        <v>10416.66667</v>
      </c>
      <c r="H420" s="221"/>
      <c r="I420" s="221"/>
      <c r="J420" s="211"/>
      <c r="K420" s="293"/>
      <c r="L420" s="251"/>
    </row>
    <row r="421">
      <c r="A421" s="200" t="s">
        <v>610</v>
      </c>
      <c r="B421" s="221"/>
      <c r="C421" s="221"/>
      <c r="D421" s="373"/>
      <c r="E421" s="222"/>
      <c r="F421" s="221"/>
      <c r="G421" s="221" t="str">
        <f>G387</f>
        <v/>
      </c>
      <c r="H421" s="255"/>
      <c r="I421" s="211"/>
      <c r="J421" s="221"/>
      <c r="K421" s="252"/>
      <c r="L421" s="252"/>
    </row>
    <row r="422">
      <c r="A422" s="200" t="s">
        <v>592</v>
      </c>
      <c r="B422" s="255"/>
      <c r="C422" s="255"/>
      <c r="D422" s="255"/>
      <c r="E422" s="256"/>
      <c r="F422" s="319"/>
      <c r="G422" s="255"/>
      <c r="H422" s="255"/>
      <c r="I422" s="255"/>
      <c r="J422" s="255"/>
      <c r="K422" s="257"/>
      <c r="L422" s="257"/>
    </row>
    <row r="423">
      <c r="A423" s="200" t="s">
        <v>149</v>
      </c>
      <c r="B423" s="255"/>
      <c r="C423" s="255"/>
      <c r="D423" s="255"/>
      <c r="E423" s="256"/>
      <c r="F423" s="319"/>
      <c r="G423" s="255"/>
      <c r="H423" s="255"/>
      <c r="I423" s="255"/>
      <c r="J423" s="255"/>
      <c r="K423" s="257"/>
      <c r="L423" s="257"/>
    </row>
    <row r="424">
      <c r="A424" s="200" t="s">
        <v>120</v>
      </c>
      <c r="B424" s="255"/>
      <c r="C424" s="255"/>
      <c r="D424" s="255"/>
      <c r="E424" s="255"/>
      <c r="F424" s="255"/>
      <c r="G424" s="255"/>
      <c r="H424" s="255"/>
      <c r="I424" s="255"/>
      <c r="J424" s="255"/>
      <c r="K424" s="257"/>
      <c r="L424" s="257"/>
    </row>
    <row r="425">
      <c r="A425" s="200" t="s">
        <v>453</v>
      </c>
      <c r="B425" s="255"/>
      <c r="C425" s="255"/>
      <c r="D425" s="255"/>
      <c r="E425" s="255"/>
      <c r="F425" s="255"/>
      <c r="G425" s="255">
        <f>4500+3900</f>
        <v>8400</v>
      </c>
      <c r="H425" s="255"/>
      <c r="I425" s="255"/>
      <c r="J425" s="255"/>
      <c r="K425" s="257"/>
      <c r="L425" s="257"/>
    </row>
    <row r="426">
      <c r="A426" s="205" t="s">
        <v>118</v>
      </c>
      <c r="B426" s="226">
        <v>320000.0</v>
      </c>
      <c r="C426" s="226">
        <v>320000.0</v>
      </c>
      <c r="D426" s="226">
        <v>200000.0</v>
      </c>
      <c r="E426" s="226"/>
      <c r="F426" s="226">
        <v>200000.0</v>
      </c>
      <c r="G426" s="226">
        <f>250000-G425-G420</f>
        <v>231183.3333</v>
      </c>
      <c r="H426" s="226">
        <v>200000.0</v>
      </c>
      <c r="I426" s="226">
        <v>300000.0</v>
      </c>
      <c r="J426" s="238">
        <f>200000+J421+J420-J422</f>
        <v>200000</v>
      </c>
      <c r="K426" s="226">
        <v>250000.0</v>
      </c>
      <c r="L426" s="206">
        <f>SUM(B426:K426)</f>
        <v>2221183.333</v>
      </c>
    </row>
    <row r="427">
      <c r="A427" s="126" t="s">
        <v>0</v>
      </c>
      <c r="B427" s="127" t="s">
        <v>90</v>
      </c>
      <c r="C427" s="127" t="s">
        <v>3</v>
      </c>
      <c r="D427" s="183" t="s">
        <v>155</v>
      </c>
      <c r="E427" s="183" t="s">
        <v>195</v>
      </c>
      <c r="F427" s="129" t="s">
        <v>51</v>
      </c>
      <c r="G427" s="129" t="s">
        <v>372</v>
      </c>
      <c r="H427" s="129" t="s">
        <v>477</v>
      </c>
      <c r="I427" s="129" t="s">
        <v>515</v>
      </c>
      <c r="J427" s="129" t="s">
        <v>10</v>
      </c>
      <c r="K427" s="129" t="s">
        <v>289</v>
      </c>
      <c r="L427" s="128" t="s">
        <v>110</v>
      </c>
    </row>
    <row r="428">
      <c r="A428" s="272"/>
      <c r="B428" s="274" t="s">
        <v>541</v>
      </c>
      <c r="C428" s="274" t="s">
        <v>541</v>
      </c>
      <c r="D428" s="247" t="s">
        <v>617</v>
      </c>
      <c r="E428" s="274" t="s">
        <v>375</v>
      </c>
      <c r="F428" s="274" t="s">
        <v>375</v>
      </c>
      <c r="G428" s="247" t="s">
        <v>375</v>
      </c>
      <c r="H428" s="247" t="s">
        <v>509</v>
      </c>
      <c r="I428" s="247" t="s">
        <v>541</v>
      </c>
      <c r="J428" s="247" t="s">
        <v>541</v>
      </c>
      <c r="K428" s="247" t="s">
        <v>375</v>
      </c>
    </row>
    <row r="429">
      <c r="A429" s="272"/>
      <c r="B429" s="273"/>
      <c r="C429" s="273"/>
      <c r="D429" s="376" t="s">
        <v>618</v>
      </c>
      <c r="E429" s="274"/>
      <c r="F429" s="274"/>
      <c r="G429" s="247"/>
      <c r="H429" s="376" t="s">
        <v>618</v>
      </c>
      <c r="I429" s="247"/>
      <c r="J429" s="247"/>
      <c r="K429" s="272"/>
    </row>
    <row r="430">
      <c r="A430" s="272"/>
      <c r="B430" s="273"/>
      <c r="C430" s="273"/>
      <c r="D430" s="274"/>
      <c r="E430" s="274"/>
      <c r="F430" s="274"/>
      <c r="G430" s="247"/>
      <c r="H430" s="247" t="s">
        <v>619</v>
      </c>
      <c r="I430" s="247"/>
      <c r="J430" s="247"/>
      <c r="K430" s="272"/>
    </row>
    <row r="431">
      <c r="A431" s="272"/>
      <c r="B431" s="273"/>
      <c r="C431" s="273"/>
      <c r="D431" s="274"/>
      <c r="E431" s="274"/>
      <c r="F431" s="274"/>
      <c r="G431" s="247"/>
      <c r="H431" s="247" t="s">
        <v>620</v>
      </c>
      <c r="I431" s="247"/>
      <c r="J431" s="247"/>
      <c r="K431" s="272"/>
    </row>
    <row r="432">
      <c r="A432" s="195" t="s">
        <v>621</v>
      </c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</row>
    <row r="433">
      <c r="A433" s="198" t="s">
        <v>40</v>
      </c>
      <c r="B433" s="221"/>
      <c r="C433" s="221">
        <f>8*C393</f>
        <v>53333.33333</v>
      </c>
      <c r="D433" s="211"/>
      <c r="E433" s="221"/>
      <c r="F433" s="211">
        <f>4*F393</f>
        <v>16666.66667</v>
      </c>
      <c r="G433" s="221">
        <f>3*G393</f>
        <v>15625</v>
      </c>
      <c r="H433" s="221"/>
      <c r="I433" s="221"/>
      <c r="J433" s="211"/>
      <c r="K433" s="293"/>
      <c r="L433" s="251"/>
    </row>
    <row r="434">
      <c r="A434" s="200" t="s">
        <v>622</v>
      </c>
      <c r="B434" s="221"/>
      <c r="C434" s="221"/>
      <c r="D434" s="373"/>
      <c r="E434" s="222"/>
      <c r="F434" s="221">
        <f>8*F393</f>
        <v>33333.33333</v>
      </c>
      <c r="G434" s="221">
        <f>3*G393</f>
        <v>15625</v>
      </c>
      <c r="H434" s="255"/>
      <c r="I434" s="211"/>
      <c r="J434" s="221"/>
      <c r="K434" s="252">
        <f>2*K393</f>
        <v>10416.66667</v>
      </c>
      <c r="L434" s="252"/>
    </row>
    <row r="435">
      <c r="A435" s="200" t="s">
        <v>592</v>
      </c>
      <c r="B435" s="255"/>
      <c r="C435" s="255"/>
      <c r="D435" s="255"/>
      <c r="E435" s="256"/>
      <c r="F435" s="319"/>
      <c r="G435" s="255"/>
      <c r="H435" s="255"/>
      <c r="I435" s="255"/>
      <c r="J435" s="255"/>
      <c r="K435" s="257"/>
      <c r="L435" s="257"/>
    </row>
    <row r="436">
      <c r="A436" s="200" t="s">
        <v>149</v>
      </c>
      <c r="B436" s="255"/>
      <c r="C436" s="255"/>
      <c r="D436" s="255"/>
      <c r="E436" s="256"/>
      <c r="F436" s="319"/>
      <c r="G436" s="255"/>
      <c r="H436" s="255"/>
      <c r="I436" s="255"/>
      <c r="J436" s="255"/>
      <c r="K436" s="257"/>
      <c r="L436" s="257"/>
    </row>
    <row r="437">
      <c r="A437" s="200" t="s">
        <v>120</v>
      </c>
      <c r="B437" s="255"/>
      <c r="C437" s="255"/>
      <c r="D437" s="255"/>
      <c r="E437" s="255"/>
      <c r="F437" s="255"/>
      <c r="G437" s="255"/>
      <c r="H437" s="255"/>
      <c r="I437" s="255"/>
      <c r="J437" s="255"/>
      <c r="K437" s="257"/>
      <c r="L437" s="257"/>
    </row>
    <row r="438">
      <c r="A438" s="200" t="s">
        <v>453</v>
      </c>
      <c r="B438" s="255"/>
      <c r="C438" s="255"/>
      <c r="D438" s="255"/>
      <c r="E438" s="255"/>
      <c r="F438" s="255"/>
      <c r="G438" s="255"/>
      <c r="H438" s="255"/>
      <c r="I438" s="255"/>
      <c r="J438" s="255"/>
      <c r="K438" s="257"/>
      <c r="L438" s="257"/>
    </row>
    <row r="439">
      <c r="A439" s="205" t="s">
        <v>118</v>
      </c>
      <c r="B439" s="226">
        <v>320000.0</v>
      </c>
      <c r="C439" s="226">
        <f>320000+C433</f>
        <v>373333.3333</v>
      </c>
      <c r="D439" s="226">
        <v>200000.0</v>
      </c>
      <c r="E439" s="226">
        <v>270000.0</v>
      </c>
      <c r="F439" s="238">
        <f>F434+F433+F388</f>
        <v>250000</v>
      </c>
      <c r="G439" s="226">
        <f>250000+G434+G433</f>
        <v>281250</v>
      </c>
      <c r="H439" s="226">
        <v>180.0</v>
      </c>
      <c r="I439" s="226">
        <v>300000.0</v>
      </c>
      <c r="J439" s="238">
        <f>200000+J434+J433-J435</f>
        <v>200000</v>
      </c>
      <c r="K439" s="238">
        <f>K389+K434</f>
        <v>260416.6667</v>
      </c>
      <c r="L439" s="206">
        <f>SUM(B439:K439)</f>
        <v>2455180</v>
      </c>
    </row>
    <row r="440">
      <c r="A440" s="126" t="s">
        <v>0</v>
      </c>
      <c r="B440" s="127" t="s">
        <v>90</v>
      </c>
      <c r="C440" s="127" t="s">
        <v>3</v>
      </c>
      <c r="D440" s="183" t="s">
        <v>155</v>
      </c>
      <c r="E440" s="183" t="s">
        <v>195</v>
      </c>
      <c r="F440" s="129" t="s">
        <v>51</v>
      </c>
      <c r="G440" s="129" t="s">
        <v>372</v>
      </c>
      <c r="H440" s="129" t="s">
        <v>477</v>
      </c>
      <c r="I440" s="129" t="s">
        <v>515</v>
      </c>
      <c r="J440" s="129" t="s">
        <v>10</v>
      </c>
      <c r="K440" s="129" t="s">
        <v>289</v>
      </c>
      <c r="L440" s="128" t="s">
        <v>110</v>
      </c>
    </row>
    <row r="441">
      <c r="A441" s="272"/>
      <c r="B441" s="274" t="s">
        <v>541</v>
      </c>
      <c r="C441" s="274" t="s">
        <v>541</v>
      </c>
      <c r="D441" s="247" t="s">
        <v>623</v>
      </c>
      <c r="E441" s="274" t="s">
        <v>375</v>
      </c>
      <c r="F441" s="274" t="s">
        <v>375</v>
      </c>
      <c r="G441" s="247" t="s">
        <v>375</v>
      </c>
      <c r="H441" s="247" t="s">
        <v>624</v>
      </c>
      <c r="I441" s="247" t="s">
        <v>541</v>
      </c>
      <c r="J441" s="247" t="s">
        <v>541</v>
      </c>
      <c r="K441" s="247" t="s">
        <v>375</v>
      </c>
    </row>
    <row r="442">
      <c r="A442" s="272"/>
      <c r="B442" s="273"/>
      <c r="C442" s="273"/>
      <c r="D442" s="376" t="s">
        <v>625</v>
      </c>
      <c r="E442" s="274"/>
      <c r="F442" s="274"/>
      <c r="G442" s="247"/>
      <c r="H442" s="376" t="s">
        <v>625</v>
      </c>
      <c r="I442" s="247"/>
      <c r="J442" s="247"/>
      <c r="K442" s="272"/>
    </row>
    <row r="443">
      <c r="A443" s="272"/>
      <c r="B443" s="273"/>
      <c r="C443" s="273"/>
      <c r="D443" s="274"/>
      <c r="E443" s="274"/>
      <c r="F443" s="274"/>
      <c r="G443" s="247"/>
      <c r="H443" s="247"/>
      <c r="I443" s="247"/>
      <c r="J443" s="247"/>
      <c r="K443" s="272"/>
    </row>
    <row r="444">
      <c r="A444" s="272"/>
      <c r="B444" s="273"/>
      <c r="C444" s="273"/>
      <c r="D444" s="274"/>
      <c r="E444" s="274"/>
      <c r="F444" s="274"/>
      <c r="G444" s="247"/>
      <c r="H444" s="247"/>
      <c r="I444" s="247"/>
      <c r="J444" s="247"/>
      <c r="K444" s="272"/>
    </row>
    <row r="445">
      <c r="A445" s="195" t="s">
        <v>626</v>
      </c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</row>
    <row r="446">
      <c r="A446" s="198" t="s">
        <v>40</v>
      </c>
      <c r="B446" s="221"/>
      <c r="C446" s="221"/>
      <c r="D446" s="211"/>
      <c r="E446" s="221"/>
      <c r="F446" s="211">
        <f>2*F393</f>
        <v>8333.333333</v>
      </c>
      <c r="G446" s="221"/>
      <c r="H446" s="221"/>
      <c r="I446" s="221"/>
      <c r="J446" s="211"/>
      <c r="K446" s="293"/>
      <c r="L446" s="251"/>
    </row>
    <row r="447">
      <c r="A447" s="200" t="s">
        <v>627</v>
      </c>
      <c r="B447" s="221"/>
      <c r="C447" s="221">
        <f>8*C393</f>
        <v>53333.33333</v>
      </c>
      <c r="D447" s="373"/>
      <c r="E447" s="221">
        <f>4*E393</f>
        <v>22500</v>
      </c>
      <c r="F447" s="221">
        <f>8*F393</f>
        <v>33333.33333</v>
      </c>
      <c r="G447" s="221"/>
      <c r="H447" s="255"/>
      <c r="I447" s="211"/>
      <c r="J447" s="221"/>
      <c r="K447" s="252">
        <f>2*K406</f>
        <v>0</v>
      </c>
      <c r="L447" s="252"/>
    </row>
    <row r="448">
      <c r="A448" s="200" t="s">
        <v>628</v>
      </c>
      <c r="B448" s="221"/>
      <c r="C448" s="221"/>
      <c r="D448" s="255"/>
      <c r="E448" s="379"/>
      <c r="F448" s="380"/>
      <c r="G448" s="221">
        <f>4*G393</f>
        <v>20833.33333</v>
      </c>
      <c r="H448" s="255"/>
      <c r="I448" s="221"/>
      <c r="J448" s="221"/>
      <c r="K448" s="221">
        <f>9*K393</f>
        <v>46875</v>
      </c>
      <c r="L448" s="381"/>
    </row>
    <row r="449">
      <c r="A449" s="200" t="s">
        <v>592</v>
      </c>
      <c r="B449" s="255"/>
      <c r="C449" s="255"/>
      <c r="D449" s="255"/>
      <c r="E449" s="256"/>
      <c r="F449" s="319"/>
      <c r="G449" s="255"/>
      <c r="H449" s="255"/>
      <c r="I449" s="255">
        <v>20000.0</v>
      </c>
      <c r="J449" s="255"/>
      <c r="K449" s="257"/>
      <c r="L449" s="257"/>
    </row>
    <row r="450">
      <c r="A450" s="200" t="s">
        <v>149</v>
      </c>
      <c r="B450" s="255"/>
      <c r="C450" s="255"/>
      <c r="D450" s="255"/>
      <c r="E450" s="256"/>
      <c r="F450" s="319"/>
      <c r="G450" s="255"/>
      <c r="H450" s="255"/>
      <c r="I450" s="255"/>
      <c r="J450" s="255"/>
      <c r="K450" s="257"/>
      <c r="L450" s="257"/>
    </row>
    <row r="451">
      <c r="A451" s="200" t="s">
        <v>120</v>
      </c>
      <c r="B451" s="255"/>
      <c r="C451" s="255"/>
      <c r="D451" s="255"/>
      <c r="E451" s="255"/>
      <c r="F451" s="255"/>
      <c r="G451" s="255"/>
      <c r="H451" s="255"/>
      <c r="I451" s="255"/>
      <c r="J451" s="255"/>
      <c r="K451" s="257"/>
      <c r="L451" s="257"/>
    </row>
    <row r="452">
      <c r="A452" s="200" t="s">
        <v>453</v>
      </c>
      <c r="B452" s="255"/>
      <c r="C452" s="255"/>
      <c r="D452" s="255"/>
      <c r="E452" s="255"/>
      <c r="F452" s="255"/>
      <c r="G452" s="255"/>
      <c r="H452" s="255"/>
      <c r="I452" s="255"/>
      <c r="J452" s="255"/>
      <c r="K452" s="257"/>
      <c r="L452" s="257"/>
    </row>
    <row r="453">
      <c r="A453" s="205" t="s">
        <v>118</v>
      </c>
      <c r="B453" s="226">
        <v>320000.0</v>
      </c>
      <c r="C453" s="226">
        <f>320000+C447</f>
        <v>373333.3333</v>
      </c>
      <c r="D453" s="226">
        <v>200000.0</v>
      </c>
      <c r="E453" s="226">
        <f>270000+E447</f>
        <v>292500</v>
      </c>
      <c r="F453" s="238">
        <f>F388+F447+F446</f>
        <v>241666.6667</v>
      </c>
      <c r="G453" s="226">
        <f>250000+G447+G446</f>
        <v>250000</v>
      </c>
      <c r="H453" s="226"/>
      <c r="I453" s="226">
        <f>300000-I449</f>
        <v>280000</v>
      </c>
      <c r="J453" s="238">
        <f>200000+J447+J446-J449</f>
        <v>200000</v>
      </c>
      <c r="K453" s="238">
        <f>K402+K447</f>
        <v>250000</v>
      </c>
      <c r="L453" s="206">
        <f>SUM(B453:K453)</f>
        <v>2407500</v>
      </c>
    </row>
    <row r="454">
      <c r="A454" s="126" t="s">
        <v>0</v>
      </c>
      <c r="B454" s="127" t="s">
        <v>90</v>
      </c>
      <c r="C454" s="127" t="s">
        <v>3</v>
      </c>
      <c r="D454" s="183" t="s">
        <v>155</v>
      </c>
      <c r="E454" s="183" t="s">
        <v>195</v>
      </c>
      <c r="F454" s="129" t="s">
        <v>51</v>
      </c>
      <c r="G454" s="129" t="s">
        <v>372</v>
      </c>
      <c r="H454" s="129"/>
      <c r="I454" s="129" t="s">
        <v>515</v>
      </c>
      <c r="J454" s="129" t="s">
        <v>10</v>
      </c>
      <c r="K454" s="129" t="s">
        <v>289</v>
      </c>
      <c r="L454" s="128" t="s">
        <v>110</v>
      </c>
    </row>
    <row r="455">
      <c r="A455" s="272"/>
      <c r="B455" s="274" t="s">
        <v>541</v>
      </c>
      <c r="C455" s="274" t="s">
        <v>541</v>
      </c>
      <c r="D455" s="247" t="s">
        <v>629</v>
      </c>
      <c r="E455" s="274" t="s">
        <v>375</v>
      </c>
      <c r="F455" s="274" t="s">
        <v>375</v>
      </c>
      <c r="G455" s="247" t="s">
        <v>375</v>
      </c>
      <c r="H455" s="247"/>
      <c r="I455" s="247" t="s">
        <v>541</v>
      </c>
      <c r="J455" s="247" t="s">
        <v>541</v>
      </c>
      <c r="K455" s="247" t="s">
        <v>375</v>
      </c>
    </row>
    <row r="456">
      <c r="A456" s="272"/>
      <c r="B456" s="273"/>
      <c r="C456" s="273"/>
      <c r="D456" s="376" t="s">
        <v>630</v>
      </c>
      <c r="E456" s="274"/>
      <c r="F456" s="274" t="s">
        <v>351</v>
      </c>
      <c r="G456" s="247" t="s">
        <v>351</v>
      </c>
      <c r="H456" s="376"/>
      <c r="I456" s="247"/>
      <c r="J456" s="247"/>
      <c r="K456" s="247" t="s">
        <v>351</v>
      </c>
    </row>
    <row r="457">
      <c r="A457" s="272"/>
      <c r="B457" s="273"/>
      <c r="C457" s="273"/>
      <c r="D457" s="274"/>
      <c r="E457" s="274"/>
      <c r="F457" s="274"/>
      <c r="G457" s="247"/>
      <c r="H457" s="247"/>
      <c r="I457" s="247"/>
      <c r="J457" s="247"/>
      <c r="K457" s="272"/>
    </row>
    <row r="458">
      <c r="A458" s="355" t="s">
        <v>0</v>
      </c>
      <c r="B458" s="356" t="s">
        <v>90</v>
      </c>
      <c r="C458" s="356" t="s">
        <v>3</v>
      </c>
      <c r="D458" s="356" t="s">
        <v>155</v>
      </c>
      <c r="E458" s="356" t="s">
        <v>195</v>
      </c>
      <c r="F458" s="357" t="s">
        <v>51</v>
      </c>
      <c r="G458" s="357" t="s">
        <v>372</v>
      </c>
      <c r="H458" s="357"/>
      <c r="I458" s="357" t="s">
        <v>394</v>
      </c>
      <c r="J458" s="357" t="s">
        <v>10</v>
      </c>
      <c r="K458" s="129" t="s">
        <v>289</v>
      </c>
      <c r="L458" s="359"/>
      <c r="M458" s="359"/>
      <c r="N458" s="357" t="s">
        <v>110</v>
      </c>
      <c r="O458" s="313"/>
      <c r="P458" s="313"/>
      <c r="Q458" s="313"/>
    </row>
    <row r="459">
      <c r="A459" s="375" t="s">
        <v>137</v>
      </c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2"/>
    </row>
    <row r="460">
      <c r="A460" s="361" t="s">
        <v>111</v>
      </c>
      <c r="B460" s="363">
        <v>320000.0</v>
      </c>
      <c r="C460" s="363">
        <v>320000.0</v>
      </c>
      <c r="D460" s="363">
        <v>200000.0</v>
      </c>
      <c r="E460" s="362">
        <v>270000.0</v>
      </c>
      <c r="F460" s="362">
        <v>200000.0</v>
      </c>
      <c r="G460" s="363">
        <v>250000.0</v>
      </c>
      <c r="H460" s="362"/>
      <c r="I460" s="363">
        <v>250000.0</v>
      </c>
      <c r="J460" s="362">
        <v>200000.0</v>
      </c>
      <c r="K460" s="363">
        <v>250000.0</v>
      </c>
      <c r="L460" s="364">
        <f>SUM(B460:K460)</f>
        <v>2260000</v>
      </c>
      <c r="M460" s="313"/>
      <c r="N460" s="313"/>
      <c r="O460" s="313"/>
      <c r="P460" s="313"/>
      <c r="Q460" s="313"/>
    </row>
    <row r="461">
      <c r="A461" s="365"/>
      <c r="B461" s="363">
        <v>320000.0</v>
      </c>
      <c r="C461" s="363">
        <v>320000.0</v>
      </c>
      <c r="D461" s="363">
        <v>200000.0</v>
      </c>
      <c r="E461" s="362">
        <v>270000.0</v>
      </c>
      <c r="F461" s="362">
        <v>200000.0</v>
      </c>
      <c r="G461" s="363">
        <v>250000.0</v>
      </c>
      <c r="H461" s="362"/>
      <c r="I461" s="363">
        <v>250000.0</v>
      </c>
      <c r="J461" s="362">
        <v>200000.0</v>
      </c>
      <c r="K461" s="363">
        <v>250000.0</v>
      </c>
      <c r="L461" s="364">
        <f t="shared" ref="L461:L463" si="129">SUM(B461:J461)</f>
        <v>2010000</v>
      </c>
      <c r="M461" s="313"/>
      <c r="N461" s="313"/>
      <c r="O461" s="366"/>
      <c r="P461" s="313"/>
      <c r="Q461" s="313"/>
    </row>
    <row r="462">
      <c r="A462" s="365"/>
      <c r="B462" s="363">
        <v>320000.0</v>
      </c>
      <c r="C462" s="363">
        <v>320000.0</v>
      </c>
      <c r="D462" s="363">
        <v>200000.0</v>
      </c>
      <c r="E462" s="362">
        <v>270000.0</v>
      </c>
      <c r="F462" s="362">
        <v>200000.0</v>
      </c>
      <c r="G462" s="363">
        <v>250000.0</v>
      </c>
      <c r="H462" s="362"/>
      <c r="I462" s="363">
        <v>250000.0</v>
      </c>
      <c r="J462" s="362">
        <v>200000.0</v>
      </c>
      <c r="K462" s="363">
        <v>250000.0</v>
      </c>
      <c r="L462" s="364">
        <f t="shared" si="129"/>
        <v>2010000</v>
      </c>
      <c r="M462" s="313"/>
      <c r="N462" s="313"/>
      <c r="O462" s="313"/>
      <c r="P462" s="313"/>
      <c r="Q462" s="313"/>
    </row>
    <row r="463">
      <c r="A463" s="367"/>
      <c r="B463" s="363">
        <v>320000.0</v>
      </c>
      <c r="C463" s="363">
        <v>320000.0</v>
      </c>
      <c r="D463" s="363">
        <v>200000.0</v>
      </c>
      <c r="E463" s="362">
        <v>270000.0</v>
      </c>
      <c r="F463" s="362">
        <v>200000.0</v>
      </c>
      <c r="G463" s="363">
        <v>250000.0</v>
      </c>
      <c r="H463" s="362"/>
      <c r="I463" s="363">
        <v>250000.0</v>
      </c>
      <c r="J463" s="362">
        <v>200000.0</v>
      </c>
      <c r="K463" s="363">
        <v>250000.0</v>
      </c>
      <c r="L463" s="364">
        <f t="shared" si="129"/>
        <v>2010000</v>
      </c>
      <c r="M463" s="313"/>
      <c r="N463" s="313"/>
      <c r="O463" s="313"/>
      <c r="P463" s="313"/>
      <c r="Q463" s="313"/>
    </row>
    <row r="464">
      <c r="A464" s="368" t="s">
        <v>113</v>
      </c>
      <c r="B464" s="369">
        <f t="shared" ref="B464:L464" si="130">SUM(B460:B463)</f>
        <v>1280000</v>
      </c>
      <c r="C464" s="369">
        <f t="shared" si="130"/>
        <v>1280000</v>
      </c>
      <c r="D464" s="369">
        <f t="shared" si="130"/>
        <v>800000</v>
      </c>
      <c r="E464" s="369">
        <f t="shared" si="130"/>
        <v>1080000</v>
      </c>
      <c r="F464" s="369">
        <f t="shared" si="130"/>
        <v>800000</v>
      </c>
      <c r="G464" s="369">
        <f t="shared" si="130"/>
        <v>1000000</v>
      </c>
      <c r="H464" s="369">
        <f t="shared" si="130"/>
        <v>0</v>
      </c>
      <c r="I464" s="369">
        <f t="shared" si="130"/>
        <v>1000000</v>
      </c>
      <c r="J464" s="369">
        <f t="shared" si="130"/>
        <v>800000</v>
      </c>
      <c r="K464" s="369">
        <f t="shared" si="130"/>
        <v>1000000</v>
      </c>
      <c r="L464" s="369">
        <f t="shared" si="130"/>
        <v>8290000</v>
      </c>
      <c r="M464" s="313"/>
      <c r="N464" s="313"/>
      <c r="O464" s="313"/>
      <c r="P464" s="313"/>
      <c r="Q464" s="313"/>
    </row>
    <row r="465">
      <c r="A465" s="370" t="s">
        <v>138</v>
      </c>
      <c r="B465" s="371">
        <f>B461/6/8</f>
        <v>6666.666667</v>
      </c>
      <c r="C465" s="371">
        <f t="shared" ref="C465:D465" si="131">C460/8/6</f>
        <v>6666.666667</v>
      </c>
      <c r="D465" s="371">
        <f t="shared" si="131"/>
        <v>4166.666667</v>
      </c>
      <c r="E465" s="371">
        <f t="shared" ref="E465:F465" si="132">E460/6/8</f>
        <v>5625</v>
      </c>
      <c r="F465" s="371">
        <f t="shared" si="132"/>
        <v>4166.666667</v>
      </c>
      <c r="G465" s="371">
        <f>G461/6/8</f>
        <v>5208.333333</v>
      </c>
      <c r="H465" s="371">
        <f>H463/8/6</f>
        <v>0</v>
      </c>
      <c r="I465" s="372">
        <f>I460/6/8</f>
        <v>5208.333333</v>
      </c>
      <c r="J465" s="372">
        <f>J463/6/8</f>
        <v>4166.666667</v>
      </c>
      <c r="K465" s="372">
        <f>K463/8/6</f>
        <v>5208.333333</v>
      </c>
      <c r="L465" s="372"/>
      <c r="M465" s="313"/>
      <c r="N465" s="313"/>
      <c r="O465" s="313"/>
      <c r="P465" s="313"/>
      <c r="Q465" s="313"/>
    </row>
    <row r="466">
      <c r="A466" s="272"/>
      <c r="B466" s="273"/>
      <c r="C466" s="273"/>
      <c r="D466" s="274"/>
      <c r="E466" s="274"/>
      <c r="F466" s="274"/>
      <c r="G466" s="247"/>
      <c r="H466" s="247"/>
      <c r="I466" s="247"/>
      <c r="J466" s="247"/>
      <c r="K466" s="272"/>
    </row>
    <row r="467">
      <c r="A467" s="272"/>
      <c r="B467" s="273"/>
      <c r="C467" s="273"/>
      <c r="D467" s="274"/>
      <c r="E467" s="274"/>
      <c r="F467" s="274"/>
      <c r="G467" s="247"/>
      <c r="H467" s="247"/>
      <c r="I467" s="247"/>
      <c r="J467" s="247"/>
      <c r="K467" s="272"/>
    </row>
    <row r="468">
      <c r="A468" s="195" t="s">
        <v>631</v>
      </c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</row>
    <row r="469">
      <c r="A469" s="198" t="s">
        <v>40</v>
      </c>
      <c r="B469" s="221"/>
      <c r="C469" s="221"/>
      <c r="D469" s="211"/>
      <c r="E469" s="221"/>
      <c r="F469" s="211"/>
      <c r="G469" s="221"/>
      <c r="H469" s="221"/>
      <c r="I469" s="221"/>
      <c r="J469" s="211"/>
      <c r="K469" s="293"/>
      <c r="L469" s="251"/>
    </row>
    <row r="470">
      <c r="A470" s="200" t="s">
        <v>632</v>
      </c>
      <c r="B470" s="221"/>
      <c r="C470" s="221"/>
      <c r="D470" s="373"/>
      <c r="E470" s="222"/>
      <c r="F470" s="221"/>
      <c r="G470" s="221"/>
      <c r="H470" s="255">
        <f>(10*5000)*2</f>
        <v>100000</v>
      </c>
      <c r="I470" s="211"/>
      <c r="J470" s="221"/>
      <c r="K470" s="252">
        <f>2*K429</f>
        <v>0</v>
      </c>
      <c r="L470" s="252"/>
    </row>
    <row r="471">
      <c r="A471" s="200" t="s">
        <v>592</v>
      </c>
      <c r="B471" s="255"/>
      <c r="C471" s="255"/>
      <c r="D471" s="255"/>
      <c r="E471" s="256"/>
      <c r="F471" s="319"/>
      <c r="G471" s="255"/>
      <c r="H471" s="255"/>
      <c r="I471" s="255">
        <v>100000.0</v>
      </c>
      <c r="J471" s="255"/>
      <c r="K471" s="257"/>
      <c r="L471" s="257"/>
    </row>
    <row r="472">
      <c r="A472" s="200" t="s">
        <v>149</v>
      </c>
      <c r="B472" s="255"/>
      <c r="C472" s="255"/>
      <c r="D472" s="255"/>
      <c r="E472" s="256"/>
      <c r="F472" s="319"/>
      <c r="G472" s="255"/>
      <c r="H472" s="255"/>
      <c r="I472" s="255"/>
      <c r="J472" s="255"/>
      <c r="K472" s="257"/>
      <c r="L472" s="257"/>
    </row>
    <row r="473">
      <c r="A473" s="200" t="s">
        <v>120</v>
      </c>
      <c r="B473" s="255"/>
      <c r="C473" s="255"/>
      <c r="D473" s="255"/>
      <c r="E473" s="255"/>
      <c r="F473" s="255">
        <v>200000.0</v>
      </c>
      <c r="G473" s="255">
        <v>250000.0</v>
      </c>
      <c r="H473" s="255"/>
      <c r="I473" s="255"/>
      <c r="J473" s="255"/>
      <c r="K473" s="257"/>
      <c r="L473" s="257"/>
    </row>
    <row r="474">
      <c r="A474" s="200" t="s">
        <v>453</v>
      </c>
      <c r="B474" s="255"/>
      <c r="C474" s="255"/>
      <c r="D474" s="255"/>
      <c r="E474" s="255"/>
      <c r="F474" s="255"/>
      <c r="G474" s="255"/>
      <c r="H474" s="255"/>
      <c r="I474" s="255"/>
      <c r="J474" s="255"/>
      <c r="K474" s="257"/>
      <c r="L474" s="257"/>
    </row>
    <row r="475">
      <c r="A475" s="205" t="s">
        <v>118</v>
      </c>
      <c r="B475" s="226">
        <v>320000.0</v>
      </c>
      <c r="C475" s="226">
        <f>320000+C469</f>
        <v>320000</v>
      </c>
      <c r="D475" s="226">
        <v>200000.0</v>
      </c>
      <c r="E475" s="226">
        <v>270000.0</v>
      </c>
      <c r="F475" s="226">
        <v>200000.0</v>
      </c>
      <c r="G475" s="226">
        <f>250000+G470+G469</f>
        <v>250000</v>
      </c>
      <c r="H475" s="226">
        <f>(5*5000*5)+5000+H470</f>
        <v>230000</v>
      </c>
      <c r="I475" s="226">
        <v>300000.0</v>
      </c>
      <c r="J475" s="238">
        <f>200000+J470+J469-J471</f>
        <v>200000</v>
      </c>
      <c r="K475" s="226">
        <f>K460</f>
        <v>250000</v>
      </c>
      <c r="L475" s="206">
        <f>SUM(B475:K475)</f>
        <v>2540000</v>
      </c>
    </row>
    <row r="476">
      <c r="A476" s="126" t="s">
        <v>0</v>
      </c>
      <c r="B476" s="127" t="s">
        <v>90</v>
      </c>
      <c r="C476" s="127" t="s">
        <v>3</v>
      </c>
      <c r="D476" s="183" t="s">
        <v>155</v>
      </c>
      <c r="E476" s="183" t="s">
        <v>195</v>
      </c>
      <c r="F476" s="129" t="s">
        <v>51</v>
      </c>
      <c r="G476" s="129" t="s">
        <v>372</v>
      </c>
      <c r="H476" s="129" t="s">
        <v>232</v>
      </c>
      <c r="I476" s="129" t="s">
        <v>515</v>
      </c>
      <c r="J476" s="129" t="s">
        <v>10</v>
      </c>
      <c r="K476" s="129" t="s">
        <v>289</v>
      </c>
      <c r="L476" s="128" t="s">
        <v>110</v>
      </c>
    </row>
    <row r="477">
      <c r="A477" s="272"/>
      <c r="B477" s="274" t="s">
        <v>375</v>
      </c>
      <c r="C477" s="274" t="s">
        <v>375</v>
      </c>
      <c r="D477" s="247" t="s">
        <v>633</v>
      </c>
      <c r="E477" s="274" t="s">
        <v>375</v>
      </c>
      <c r="F477" s="274" t="s">
        <v>375</v>
      </c>
      <c r="G477" s="247" t="s">
        <v>375</v>
      </c>
      <c r="H477" s="247" t="s">
        <v>375</v>
      </c>
      <c r="I477" s="247" t="s">
        <v>541</v>
      </c>
      <c r="J477" s="247" t="s">
        <v>541</v>
      </c>
      <c r="K477" s="247" t="s">
        <v>375</v>
      </c>
    </row>
    <row r="478">
      <c r="A478" s="272"/>
      <c r="B478" s="273"/>
      <c r="C478" s="273"/>
      <c r="D478" s="376" t="s">
        <v>634</v>
      </c>
      <c r="E478" s="278"/>
      <c r="F478" s="278" t="s">
        <v>498</v>
      </c>
      <c r="G478" s="247"/>
      <c r="H478" s="247"/>
      <c r="I478" s="247"/>
      <c r="J478" s="247"/>
      <c r="K478" s="272"/>
    </row>
    <row r="479">
      <c r="A479" s="272"/>
      <c r="B479" s="273"/>
      <c r="C479" s="273"/>
      <c r="D479" s="274"/>
      <c r="E479" s="274"/>
      <c r="F479" s="274"/>
      <c r="G479" s="247"/>
      <c r="H479" s="247"/>
      <c r="I479" s="247"/>
      <c r="J479" s="247"/>
      <c r="K479" s="272"/>
    </row>
    <row r="480">
      <c r="A480" s="195" t="s">
        <v>635</v>
      </c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</row>
    <row r="481">
      <c r="A481" s="198" t="s">
        <v>40</v>
      </c>
      <c r="B481" s="221"/>
      <c r="C481" s="221"/>
      <c r="D481" s="211"/>
      <c r="E481" s="221"/>
      <c r="F481" s="211">
        <f>12*F465</f>
        <v>50000</v>
      </c>
      <c r="G481" s="221"/>
      <c r="H481" s="221"/>
      <c r="I481" s="221"/>
      <c r="J481" s="211"/>
      <c r="K481" s="293"/>
      <c r="L481" s="251"/>
    </row>
    <row r="482">
      <c r="A482" s="200" t="s">
        <v>632</v>
      </c>
      <c r="B482" s="221"/>
      <c r="C482" s="221"/>
      <c r="D482" s="373"/>
      <c r="E482" s="222"/>
      <c r="F482" s="221"/>
      <c r="G482" s="221"/>
      <c r="H482" s="255"/>
      <c r="I482" s="211"/>
      <c r="J482" s="221"/>
      <c r="K482" s="252"/>
      <c r="L482" s="252"/>
    </row>
    <row r="483">
      <c r="A483" s="200" t="s">
        <v>592</v>
      </c>
      <c r="B483" s="255"/>
      <c r="C483" s="255"/>
      <c r="D483" s="255"/>
      <c r="E483" s="256"/>
      <c r="F483" s="319"/>
      <c r="G483" s="255"/>
      <c r="H483" s="255"/>
      <c r="I483" s="255">
        <v>100000.0</v>
      </c>
      <c r="J483" s="255"/>
      <c r="K483" s="257"/>
      <c r="L483" s="257"/>
    </row>
    <row r="484">
      <c r="A484" s="200" t="s">
        <v>149</v>
      </c>
      <c r="B484" s="255"/>
      <c r="C484" s="255"/>
      <c r="D484" s="255"/>
      <c r="E484" s="256"/>
      <c r="F484" s="319"/>
      <c r="G484" s="255"/>
      <c r="H484" s="255"/>
      <c r="I484" s="255"/>
      <c r="J484" s="255"/>
      <c r="K484" s="257"/>
      <c r="L484" s="257"/>
    </row>
    <row r="485">
      <c r="A485" s="200" t="s">
        <v>120</v>
      </c>
      <c r="B485" s="255"/>
      <c r="C485" s="255"/>
      <c r="D485" s="255"/>
      <c r="E485" s="255"/>
      <c r="F485" s="255"/>
      <c r="G485" s="255"/>
      <c r="H485" s="255"/>
      <c r="I485" s="255"/>
      <c r="J485" s="255"/>
      <c r="K485" s="257"/>
      <c r="L485" s="257"/>
    </row>
    <row r="486">
      <c r="A486" s="200" t="s">
        <v>453</v>
      </c>
      <c r="B486" s="255"/>
      <c r="C486" s="255"/>
      <c r="D486" s="255"/>
      <c r="E486" s="255"/>
      <c r="F486" s="255"/>
      <c r="G486" s="255"/>
      <c r="H486" s="255"/>
      <c r="I486" s="255"/>
      <c r="J486" s="255"/>
      <c r="K486" s="257"/>
      <c r="L486" s="257"/>
    </row>
    <row r="487">
      <c r="A487" s="205" t="s">
        <v>118</v>
      </c>
      <c r="B487" s="226">
        <v>320000.0</v>
      </c>
      <c r="C487" s="226">
        <f>320000+C481</f>
        <v>320000</v>
      </c>
      <c r="D487" s="226">
        <v>200000.0</v>
      </c>
      <c r="E487" s="226">
        <v>270000.0</v>
      </c>
      <c r="F487" s="226">
        <v>200000.0</v>
      </c>
      <c r="G487" s="226">
        <f>250000+G482+G481</f>
        <v>250000</v>
      </c>
      <c r="H487" s="226"/>
      <c r="I487" s="226">
        <f>300000-100000</f>
        <v>200000</v>
      </c>
      <c r="J487" s="238">
        <f>200000+J482+J481-J483</f>
        <v>200000</v>
      </c>
      <c r="K487" s="226">
        <v>250000.0</v>
      </c>
      <c r="L487" s="206">
        <f>SUM(B487:K487)</f>
        <v>2210000</v>
      </c>
    </row>
    <row r="488">
      <c r="A488" s="126" t="s">
        <v>0</v>
      </c>
      <c r="B488" s="127" t="s">
        <v>90</v>
      </c>
      <c r="C488" s="127" t="s">
        <v>3</v>
      </c>
      <c r="D488" s="183" t="s">
        <v>155</v>
      </c>
      <c r="E488" s="183" t="s">
        <v>195</v>
      </c>
      <c r="F488" s="129" t="s">
        <v>51</v>
      </c>
      <c r="G488" s="129" t="s">
        <v>372</v>
      </c>
      <c r="H488" s="129" t="s">
        <v>232</v>
      </c>
      <c r="I488" s="129" t="s">
        <v>515</v>
      </c>
      <c r="J488" s="129" t="s">
        <v>10</v>
      </c>
      <c r="K488" s="129" t="s">
        <v>289</v>
      </c>
      <c r="L488" s="128" t="s">
        <v>110</v>
      </c>
    </row>
    <row r="489">
      <c r="A489" s="272"/>
      <c r="B489" s="274" t="s">
        <v>375</v>
      </c>
      <c r="C489" s="274" t="s">
        <v>375</v>
      </c>
      <c r="D489" s="247" t="s">
        <v>636</v>
      </c>
      <c r="E489" s="274" t="s">
        <v>375</v>
      </c>
      <c r="F489" s="274" t="s">
        <v>375</v>
      </c>
      <c r="G489" s="247" t="s">
        <v>375</v>
      </c>
      <c r="H489" s="247" t="s">
        <v>375</v>
      </c>
      <c r="I489" s="247" t="s">
        <v>541</v>
      </c>
      <c r="J489" s="247" t="s">
        <v>541</v>
      </c>
      <c r="K489" s="247" t="s">
        <v>375</v>
      </c>
    </row>
    <row r="490">
      <c r="A490" s="272"/>
      <c r="B490" s="273"/>
      <c r="C490" s="273"/>
      <c r="D490" s="376" t="s">
        <v>637</v>
      </c>
      <c r="E490" s="278" t="s">
        <v>498</v>
      </c>
      <c r="F490" s="278" t="s">
        <v>498</v>
      </c>
      <c r="G490" s="247"/>
      <c r="H490" s="247"/>
      <c r="I490" s="247"/>
      <c r="J490" s="247"/>
      <c r="K490" s="278" t="s">
        <v>498</v>
      </c>
    </row>
    <row r="491">
      <c r="A491" s="272"/>
      <c r="B491" s="273"/>
      <c r="C491" s="273"/>
      <c r="D491" s="274"/>
      <c r="E491" s="274"/>
      <c r="F491" s="274"/>
      <c r="G491" s="247"/>
      <c r="H491" s="247"/>
      <c r="I491" s="247"/>
      <c r="J491" s="247"/>
      <c r="K491" s="272"/>
    </row>
    <row r="492">
      <c r="A492" s="195" t="s">
        <v>638</v>
      </c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</row>
    <row r="493">
      <c r="A493" s="198" t="s">
        <v>40</v>
      </c>
      <c r="B493" s="221"/>
      <c r="C493" s="221"/>
      <c r="D493" s="211"/>
      <c r="E493" s="221"/>
      <c r="F493" s="211"/>
      <c r="G493" s="221"/>
      <c r="H493" s="221"/>
      <c r="I493" s="221"/>
      <c r="J493" s="211"/>
      <c r="K493" s="293"/>
      <c r="L493" s="251"/>
    </row>
    <row r="494">
      <c r="A494" s="200" t="s">
        <v>632</v>
      </c>
      <c r="B494" s="221"/>
      <c r="C494" s="221"/>
      <c r="D494" s="373"/>
      <c r="E494" s="222"/>
      <c r="F494" s="221"/>
      <c r="G494" s="221"/>
      <c r="H494" s="255"/>
      <c r="I494" s="211"/>
      <c r="J494" s="221"/>
      <c r="K494" s="252"/>
      <c r="L494" s="252"/>
    </row>
    <row r="495">
      <c r="A495" s="200" t="s">
        <v>592</v>
      </c>
      <c r="B495" s="255"/>
      <c r="C495" s="255"/>
      <c r="D495" s="255"/>
      <c r="E495" s="256"/>
      <c r="F495" s="319"/>
      <c r="G495" s="255"/>
      <c r="H495" s="255"/>
      <c r="I495" s="255"/>
      <c r="J495" s="255"/>
      <c r="K495" s="257"/>
      <c r="L495" s="257"/>
    </row>
    <row r="496">
      <c r="A496" s="200" t="s">
        <v>149</v>
      </c>
      <c r="B496" s="255"/>
      <c r="C496" s="255"/>
      <c r="D496" s="255"/>
      <c r="E496" s="256"/>
      <c r="F496" s="319"/>
      <c r="G496" s="255"/>
      <c r="H496" s="255"/>
      <c r="I496" s="255"/>
      <c r="J496" s="255"/>
      <c r="K496" s="257"/>
      <c r="L496" s="257"/>
    </row>
    <row r="497">
      <c r="A497" s="200" t="s">
        <v>120</v>
      </c>
      <c r="B497" s="255"/>
      <c r="C497" s="255"/>
      <c r="D497" s="255"/>
      <c r="E497" s="255"/>
      <c r="F497" s="255"/>
      <c r="G497" s="255"/>
      <c r="H497" s="255"/>
      <c r="I497" s="255"/>
      <c r="J497" s="255"/>
      <c r="K497" s="257"/>
      <c r="L497" s="257"/>
    </row>
    <row r="498">
      <c r="A498" s="200" t="s">
        <v>453</v>
      </c>
      <c r="B498" s="255"/>
      <c r="C498" s="255"/>
      <c r="D498" s="255"/>
      <c r="E498" s="255"/>
      <c r="F498" s="255"/>
      <c r="G498" s="255"/>
      <c r="H498" s="255"/>
      <c r="I498" s="255"/>
      <c r="J498" s="255"/>
      <c r="K498" s="257"/>
      <c r="L498" s="257"/>
    </row>
    <row r="499">
      <c r="A499" s="205" t="s">
        <v>118</v>
      </c>
      <c r="B499" s="226">
        <v>320000.0</v>
      </c>
      <c r="C499" s="226">
        <f>320000+C493</f>
        <v>320000</v>
      </c>
      <c r="D499" s="226">
        <v>200000.0</v>
      </c>
      <c r="E499" s="226">
        <v>270000.0</v>
      </c>
      <c r="F499" s="226">
        <v>250000.0</v>
      </c>
      <c r="G499" s="226">
        <f>250000+G494+G493</f>
        <v>250000</v>
      </c>
      <c r="H499" s="226"/>
      <c r="I499" s="226">
        <v>300000.0</v>
      </c>
      <c r="J499" s="238">
        <f>200000+J494+J493-J495</f>
        <v>200000</v>
      </c>
      <c r="K499" s="226">
        <v>250000.0</v>
      </c>
      <c r="L499" s="206">
        <f>SUM(B499:K499)</f>
        <v>2360000</v>
      </c>
    </row>
    <row r="500">
      <c r="A500" s="126" t="s">
        <v>0</v>
      </c>
      <c r="B500" s="127" t="s">
        <v>90</v>
      </c>
      <c r="C500" s="127" t="s">
        <v>3</v>
      </c>
      <c r="D500" s="183" t="s">
        <v>155</v>
      </c>
      <c r="E500" s="183" t="s">
        <v>195</v>
      </c>
      <c r="F500" s="129" t="s">
        <v>51</v>
      </c>
      <c r="G500" s="129" t="s">
        <v>372</v>
      </c>
      <c r="H500" s="129" t="s">
        <v>232</v>
      </c>
      <c r="I500" s="129" t="s">
        <v>515</v>
      </c>
      <c r="J500" s="129" t="s">
        <v>10</v>
      </c>
      <c r="K500" s="129" t="s">
        <v>289</v>
      </c>
      <c r="L500" s="128" t="s">
        <v>110</v>
      </c>
    </row>
    <row r="501">
      <c r="A501" s="272"/>
      <c r="B501" s="274" t="s">
        <v>536</v>
      </c>
      <c r="C501" s="274" t="s">
        <v>536</v>
      </c>
      <c r="D501" s="247" t="s">
        <v>639</v>
      </c>
      <c r="E501" s="274" t="s">
        <v>536</v>
      </c>
      <c r="F501" s="274" t="s">
        <v>536</v>
      </c>
      <c r="G501" s="247"/>
      <c r="H501" s="247"/>
      <c r="I501" s="247"/>
      <c r="J501" s="247" t="s">
        <v>541</v>
      </c>
      <c r="K501" s="247"/>
    </row>
    <row r="502">
      <c r="A502" s="272"/>
      <c r="B502" s="273"/>
      <c r="C502" s="273"/>
      <c r="D502" s="376" t="s">
        <v>640</v>
      </c>
      <c r="E502" s="278"/>
      <c r="F502" s="278"/>
      <c r="G502" s="247"/>
      <c r="H502" s="247"/>
      <c r="I502" s="247"/>
      <c r="J502" s="247"/>
      <c r="K502" s="278"/>
    </row>
    <row r="503">
      <c r="A503" s="195" t="s">
        <v>641</v>
      </c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</row>
    <row r="504">
      <c r="A504" s="198" t="s">
        <v>40</v>
      </c>
      <c r="B504" s="221"/>
      <c r="C504" s="221"/>
      <c r="D504" s="211"/>
      <c r="E504" s="221"/>
      <c r="F504" s="211"/>
      <c r="G504" s="221"/>
      <c r="H504" s="221"/>
      <c r="I504" s="221"/>
      <c r="J504" s="211"/>
      <c r="K504" s="293"/>
      <c r="L504" s="251"/>
    </row>
    <row r="505">
      <c r="A505" s="200" t="s">
        <v>632</v>
      </c>
      <c r="B505" s="221"/>
      <c r="C505" s="221"/>
      <c r="D505" s="373"/>
      <c r="E505" s="222"/>
      <c r="F505" s="221"/>
      <c r="G505" s="221"/>
      <c r="H505" s="255"/>
      <c r="I505" s="211"/>
      <c r="J505" s="221"/>
      <c r="K505" s="252"/>
      <c r="L505" s="252"/>
    </row>
    <row r="506">
      <c r="A506" s="200" t="s">
        <v>592</v>
      </c>
      <c r="B506" s="255"/>
      <c r="C506" s="255"/>
      <c r="D506" s="255"/>
      <c r="E506" s="256"/>
      <c r="F506" s="319"/>
      <c r="G506" s="255"/>
      <c r="H506" s="255"/>
      <c r="I506" s="255"/>
      <c r="J506" s="255"/>
      <c r="K506" s="257"/>
      <c r="L506" s="257"/>
    </row>
    <row r="507">
      <c r="A507" s="200" t="s">
        <v>149</v>
      </c>
      <c r="B507" s="255"/>
      <c r="C507" s="255"/>
      <c r="D507" s="255"/>
      <c r="E507" s="256"/>
      <c r="F507" s="319"/>
      <c r="G507" s="255"/>
      <c r="H507" s="255"/>
      <c r="I507" s="255"/>
      <c r="J507" s="255"/>
      <c r="K507" s="257"/>
      <c r="L507" s="257"/>
    </row>
    <row r="508">
      <c r="A508" s="200" t="s">
        <v>120</v>
      </c>
      <c r="B508" s="255"/>
      <c r="C508" s="255"/>
      <c r="D508" s="255"/>
      <c r="E508" s="255"/>
      <c r="F508" s="255"/>
      <c r="G508" s="255"/>
      <c r="H508" s="255"/>
      <c r="I508" s="255"/>
      <c r="J508" s="255"/>
      <c r="K508" s="257"/>
      <c r="L508" s="257"/>
    </row>
    <row r="509">
      <c r="A509" s="200" t="s">
        <v>453</v>
      </c>
      <c r="B509" s="255"/>
      <c r="C509" s="255"/>
      <c r="D509" s="255"/>
      <c r="E509" s="255"/>
      <c r="F509" s="255"/>
      <c r="G509" s="255"/>
      <c r="H509" s="255"/>
      <c r="I509" s="255"/>
      <c r="J509" s="255"/>
      <c r="K509" s="257"/>
      <c r="L509" s="257"/>
    </row>
    <row r="510">
      <c r="A510" s="205" t="s">
        <v>118</v>
      </c>
      <c r="B510" s="226">
        <v>320000.0</v>
      </c>
      <c r="C510" s="226">
        <f>320000+C504</f>
        <v>320000</v>
      </c>
      <c r="D510" s="226">
        <v>200000.0</v>
      </c>
      <c r="E510" s="226">
        <v>270000.0</v>
      </c>
      <c r="F510" s="226">
        <v>250000.0</v>
      </c>
      <c r="G510" s="226">
        <f>250000+G505+G504</f>
        <v>250000</v>
      </c>
      <c r="H510" s="226"/>
      <c r="I510" s="226">
        <v>300000.0</v>
      </c>
      <c r="J510" s="238">
        <f>200000+J505+J504-J506</f>
        <v>200000</v>
      </c>
      <c r="K510" s="226">
        <v>250000.0</v>
      </c>
      <c r="L510" s="206">
        <f>SUM(B510:K510)</f>
        <v>2360000</v>
      </c>
    </row>
    <row r="511">
      <c r="A511" s="126" t="s">
        <v>0</v>
      </c>
      <c r="B511" s="127" t="s">
        <v>90</v>
      </c>
      <c r="C511" s="127" t="s">
        <v>3</v>
      </c>
      <c r="D511" s="183" t="s">
        <v>155</v>
      </c>
      <c r="E511" s="183" t="s">
        <v>195</v>
      </c>
      <c r="F511" s="129" t="s">
        <v>51</v>
      </c>
      <c r="G511" s="129" t="s">
        <v>372</v>
      </c>
      <c r="H511" s="129"/>
      <c r="I511" s="129" t="s">
        <v>515</v>
      </c>
      <c r="J511" s="129" t="s">
        <v>10</v>
      </c>
      <c r="K511" s="129" t="s">
        <v>289</v>
      </c>
      <c r="L511" s="128" t="s">
        <v>110</v>
      </c>
    </row>
    <row r="512">
      <c r="A512" s="272"/>
      <c r="B512" s="274" t="s">
        <v>541</v>
      </c>
      <c r="C512" s="274" t="s">
        <v>541</v>
      </c>
      <c r="D512" s="247" t="s">
        <v>639</v>
      </c>
      <c r="E512" s="274" t="s">
        <v>536</v>
      </c>
      <c r="F512" s="274" t="s">
        <v>536</v>
      </c>
      <c r="G512" s="247" t="s">
        <v>320</v>
      </c>
      <c r="H512" s="247"/>
      <c r="I512" s="247" t="s">
        <v>541</v>
      </c>
      <c r="J512" s="247" t="s">
        <v>320</v>
      </c>
      <c r="K512" s="247" t="s">
        <v>320</v>
      </c>
    </row>
    <row r="513">
      <c r="A513" s="272"/>
      <c r="B513" s="273"/>
      <c r="C513" s="273"/>
      <c r="D513" s="376" t="s">
        <v>642</v>
      </c>
      <c r="E513" s="278"/>
      <c r="F513" s="278"/>
      <c r="G513" s="247"/>
      <c r="H513" s="247"/>
      <c r="I513" s="247"/>
      <c r="J513" s="247"/>
      <c r="K513" s="278"/>
    </row>
    <row r="514">
      <c r="A514" s="272"/>
      <c r="B514" s="273"/>
      <c r="C514" s="273"/>
      <c r="D514" s="274"/>
      <c r="E514" s="274"/>
      <c r="F514" s="274"/>
      <c r="G514" s="247"/>
      <c r="H514" s="247"/>
      <c r="I514" s="247"/>
      <c r="J514" s="247"/>
      <c r="K514" s="272"/>
    </row>
    <row r="515">
      <c r="A515" s="195" t="s">
        <v>643</v>
      </c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</row>
    <row r="516">
      <c r="A516" s="198" t="s">
        <v>40</v>
      </c>
      <c r="B516" s="221"/>
      <c r="C516" s="221"/>
      <c r="D516" s="211"/>
      <c r="E516" s="221"/>
      <c r="F516" s="211"/>
      <c r="G516" s="221"/>
      <c r="H516" s="221"/>
      <c r="I516" s="221"/>
      <c r="J516" s="211"/>
      <c r="K516" s="293"/>
      <c r="L516" s="251"/>
    </row>
    <row r="517">
      <c r="A517" s="200" t="s">
        <v>632</v>
      </c>
      <c r="B517" s="221"/>
      <c r="C517" s="221"/>
      <c r="D517" s="373"/>
      <c r="E517" s="222"/>
      <c r="F517" s="221"/>
      <c r="G517" s="221"/>
      <c r="H517" s="255"/>
      <c r="I517" s="211"/>
      <c r="J517" s="221"/>
      <c r="K517" s="252"/>
      <c r="L517" s="252"/>
    </row>
    <row r="518">
      <c r="A518" s="200" t="s">
        <v>592</v>
      </c>
      <c r="B518" s="255"/>
      <c r="C518" s="255"/>
      <c r="D518" s="255"/>
      <c r="E518" s="256"/>
      <c r="F518" s="319"/>
      <c r="G518" s="255"/>
      <c r="H518" s="255"/>
      <c r="I518" s="255"/>
      <c r="J518" s="255"/>
      <c r="K518" s="257"/>
      <c r="L518" s="257"/>
    </row>
    <row r="519">
      <c r="A519" s="200" t="s">
        <v>149</v>
      </c>
      <c r="B519" s="255"/>
      <c r="C519" s="255"/>
      <c r="D519" s="255"/>
      <c r="E519" s="256"/>
      <c r="F519" s="319"/>
      <c r="G519" s="255"/>
      <c r="H519" s="255"/>
      <c r="I519" s="255"/>
      <c r="J519" s="255"/>
      <c r="K519" s="257"/>
      <c r="L519" s="257"/>
    </row>
    <row r="520">
      <c r="A520" s="200" t="s">
        <v>120</v>
      </c>
      <c r="B520" s="255"/>
      <c r="C520" s="255"/>
      <c r="D520" s="255"/>
      <c r="E520" s="255"/>
      <c r="F520" s="255"/>
      <c r="G520" s="255"/>
      <c r="H520" s="255"/>
      <c r="I520" s="255"/>
      <c r="J520" s="255"/>
      <c r="K520" s="257"/>
      <c r="L520" s="257"/>
    </row>
    <row r="521">
      <c r="A521" s="200" t="s">
        <v>453</v>
      </c>
      <c r="B521" s="255"/>
      <c r="C521" s="255"/>
      <c r="D521" s="255"/>
      <c r="E521" s="255"/>
      <c r="F521" s="255"/>
      <c r="G521" s="255"/>
      <c r="H521" s="255"/>
      <c r="I521" s="255"/>
      <c r="J521" s="255"/>
      <c r="K521" s="257"/>
      <c r="L521" s="257"/>
    </row>
    <row r="522">
      <c r="A522" s="205" t="s">
        <v>118</v>
      </c>
      <c r="B522" s="226">
        <v>320000.0</v>
      </c>
      <c r="C522" s="226">
        <f>320000+C516</f>
        <v>320000</v>
      </c>
      <c r="D522" s="226">
        <v>200000.0</v>
      </c>
      <c r="E522" s="226">
        <v>270000.0</v>
      </c>
      <c r="F522" s="226">
        <v>250000.0</v>
      </c>
      <c r="G522" s="226">
        <f>250000+G517+G516</f>
        <v>250000</v>
      </c>
      <c r="H522" s="226"/>
      <c r="I522" s="226">
        <v>300000.0</v>
      </c>
      <c r="J522" s="238">
        <f>200000+J517+J516-J518</f>
        <v>200000</v>
      </c>
      <c r="K522" s="226">
        <v>250000.0</v>
      </c>
      <c r="L522" s="206">
        <f>SUM(B522:K522)</f>
        <v>2360000</v>
      </c>
    </row>
    <row r="523">
      <c r="A523" s="126" t="s">
        <v>0</v>
      </c>
      <c r="B523" s="127" t="s">
        <v>90</v>
      </c>
      <c r="C523" s="127" t="s">
        <v>3</v>
      </c>
      <c r="D523" s="183" t="s">
        <v>155</v>
      </c>
      <c r="E523" s="183" t="s">
        <v>195</v>
      </c>
      <c r="F523" s="129" t="s">
        <v>51</v>
      </c>
      <c r="G523" s="129" t="s">
        <v>372</v>
      </c>
      <c r="H523" s="129"/>
      <c r="I523" s="129" t="s">
        <v>515</v>
      </c>
      <c r="J523" s="129" t="s">
        <v>10</v>
      </c>
      <c r="K523" s="129" t="s">
        <v>289</v>
      </c>
      <c r="L523" s="128" t="s">
        <v>110</v>
      </c>
    </row>
    <row r="524">
      <c r="A524" s="272"/>
      <c r="B524" s="274" t="s">
        <v>320</v>
      </c>
      <c r="C524" s="274" t="s">
        <v>320</v>
      </c>
      <c r="D524" s="247" t="s">
        <v>639</v>
      </c>
      <c r="E524" s="274"/>
      <c r="F524" s="274" t="s">
        <v>320</v>
      </c>
      <c r="G524" s="247" t="s">
        <v>320</v>
      </c>
      <c r="H524" s="247"/>
      <c r="I524" s="247"/>
      <c r="J524" s="247"/>
      <c r="K524" s="247" t="s">
        <v>320</v>
      </c>
    </row>
    <row r="525">
      <c r="A525" s="272"/>
      <c r="B525" s="273"/>
      <c r="C525" s="273"/>
      <c r="D525" s="274"/>
      <c r="E525" s="274"/>
      <c r="F525" s="274"/>
      <c r="G525" s="247"/>
      <c r="H525" s="247"/>
      <c r="I525" s="247"/>
      <c r="J525" s="247"/>
      <c r="K525" s="272"/>
    </row>
    <row r="526">
      <c r="A526" s="272"/>
      <c r="B526" s="273"/>
      <c r="C526" s="273"/>
      <c r="D526" s="274"/>
      <c r="E526" s="274"/>
      <c r="F526" s="274"/>
      <c r="G526" s="247"/>
      <c r="H526" s="247"/>
      <c r="I526" s="247"/>
      <c r="J526" s="247"/>
      <c r="K526" s="272"/>
    </row>
    <row r="527">
      <c r="A527" s="195" t="s">
        <v>643</v>
      </c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</row>
    <row r="528">
      <c r="A528" s="198" t="s">
        <v>40</v>
      </c>
      <c r="B528" s="221"/>
      <c r="C528" s="221"/>
      <c r="D528" s="211"/>
      <c r="E528" s="221"/>
      <c r="F528" s="211"/>
      <c r="G528" s="221"/>
      <c r="H528" s="221"/>
      <c r="I528" s="221"/>
      <c r="J528" s="211"/>
      <c r="K528" s="211">
        <f>8*K465</f>
        <v>41666.66667</v>
      </c>
      <c r="L528" s="251"/>
    </row>
    <row r="529">
      <c r="A529" s="200" t="s">
        <v>632</v>
      </c>
      <c r="B529" s="221"/>
      <c r="C529" s="221"/>
      <c r="D529" s="373"/>
      <c r="E529" s="222"/>
      <c r="F529" s="221"/>
      <c r="G529" s="221"/>
      <c r="H529" s="255"/>
      <c r="I529" s="211"/>
      <c r="J529" s="221"/>
      <c r="K529" s="252"/>
      <c r="L529" s="252"/>
    </row>
    <row r="530">
      <c r="A530" s="200" t="s">
        <v>592</v>
      </c>
      <c r="B530" s="255"/>
      <c r="C530" s="255"/>
      <c r="D530" s="255"/>
      <c r="E530" s="256"/>
      <c r="F530" s="319"/>
      <c r="G530" s="255"/>
      <c r="H530" s="255"/>
      <c r="I530" s="255"/>
      <c r="J530" s="255"/>
      <c r="K530" s="257"/>
      <c r="L530" s="257"/>
    </row>
    <row r="531">
      <c r="A531" s="200" t="s">
        <v>149</v>
      </c>
      <c r="B531" s="255"/>
      <c r="C531" s="255"/>
      <c r="D531" s="255"/>
      <c r="E531" s="256"/>
      <c r="F531" s="319"/>
      <c r="G531" s="255"/>
      <c r="H531" s="255"/>
      <c r="I531" s="255"/>
      <c r="J531" s="255"/>
      <c r="K531" s="257"/>
      <c r="L531" s="257"/>
    </row>
    <row r="532">
      <c r="A532" s="200" t="s">
        <v>120</v>
      </c>
      <c r="B532" s="255"/>
      <c r="C532" s="255"/>
      <c r="D532" s="255"/>
      <c r="E532" s="255"/>
      <c r="F532" s="255"/>
      <c r="G532" s="255"/>
      <c r="H532" s="255"/>
      <c r="I532" s="255"/>
      <c r="J532" s="255"/>
      <c r="K532" s="257"/>
      <c r="L532" s="257"/>
    </row>
    <row r="533">
      <c r="A533" s="200" t="s">
        <v>453</v>
      </c>
      <c r="B533" s="255"/>
      <c r="C533" s="255"/>
      <c r="D533" s="255"/>
      <c r="E533" s="255"/>
      <c r="F533" s="255"/>
      <c r="G533" s="255"/>
      <c r="H533" s="255"/>
      <c r="I533" s="255"/>
      <c r="J533" s="255"/>
      <c r="K533" s="257"/>
      <c r="L533" s="257"/>
    </row>
    <row r="534">
      <c r="A534" s="205" t="s">
        <v>118</v>
      </c>
      <c r="B534" s="226">
        <v>320000.0</v>
      </c>
      <c r="C534" s="226">
        <f>320000+C528</f>
        <v>320000</v>
      </c>
      <c r="D534" s="226">
        <v>200000.0</v>
      </c>
      <c r="E534" s="226">
        <v>270000.0</v>
      </c>
      <c r="F534" s="226">
        <v>250000.0</v>
      </c>
      <c r="G534" s="226">
        <f>250000+G529+G528</f>
        <v>250000</v>
      </c>
      <c r="H534" s="226"/>
      <c r="I534" s="226">
        <v>300000.0</v>
      </c>
      <c r="J534" s="238">
        <f>200000+J529+J528-J530</f>
        <v>200000</v>
      </c>
      <c r="K534" s="238">
        <f>250000+K528</f>
        <v>291666.6667</v>
      </c>
      <c r="L534" s="206">
        <f>SUM(B534:K534)</f>
        <v>2401666.667</v>
      </c>
    </row>
    <row r="535">
      <c r="A535" s="126" t="s">
        <v>0</v>
      </c>
      <c r="B535" s="127" t="s">
        <v>90</v>
      </c>
      <c r="C535" s="127" t="s">
        <v>3</v>
      </c>
      <c r="D535" s="183" t="s">
        <v>155</v>
      </c>
      <c r="E535" s="183" t="s">
        <v>195</v>
      </c>
      <c r="F535" s="129" t="s">
        <v>51</v>
      </c>
      <c r="G535" s="129" t="s">
        <v>372</v>
      </c>
      <c r="H535" s="129"/>
      <c r="I535" s="129" t="s">
        <v>515</v>
      </c>
      <c r="J535" s="129" t="s">
        <v>10</v>
      </c>
      <c r="K535" s="129" t="s">
        <v>289</v>
      </c>
      <c r="L535" s="128" t="s">
        <v>110</v>
      </c>
    </row>
    <row r="536">
      <c r="A536" s="272"/>
      <c r="B536" s="274" t="s">
        <v>320</v>
      </c>
      <c r="C536" s="274"/>
      <c r="D536" s="247" t="s">
        <v>639</v>
      </c>
      <c r="E536" s="274" t="s">
        <v>320</v>
      </c>
      <c r="F536" s="274" t="s">
        <v>320</v>
      </c>
      <c r="G536" s="247" t="s">
        <v>320</v>
      </c>
      <c r="H536" s="247"/>
      <c r="I536" s="247"/>
      <c r="J536" s="247"/>
      <c r="K536" s="247" t="s">
        <v>320</v>
      </c>
    </row>
    <row r="537">
      <c r="A537" s="272"/>
      <c r="B537" s="273"/>
      <c r="C537" s="273"/>
      <c r="D537" s="274"/>
      <c r="E537" s="274"/>
      <c r="F537" s="274"/>
      <c r="G537" s="247"/>
      <c r="H537" s="247"/>
      <c r="I537" s="247"/>
      <c r="J537" s="247"/>
      <c r="K537" s="272"/>
    </row>
    <row r="538">
      <c r="A538" s="272"/>
      <c r="B538" s="273"/>
      <c r="C538" s="273"/>
      <c r="D538" s="274"/>
      <c r="E538" s="274"/>
      <c r="F538" s="274"/>
      <c r="G538" s="247"/>
      <c r="H538" s="247"/>
      <c r="I538" s="247"/>
      <c r="J538" s="247"/>
      <c r="K538" s="272"/>
    </row>
    <row r="539">
      <c r="A539" s="272"/>
      <c r="B539" s="273"/>
      <c r="C539" s="273"/>
      <c r="D539" s="274"/>
      <c r="E539" s="274"/>
      <c r="F539" s="274"/>
      <c r="G539" s="247"/>
      <c r="H539" s="247"/>
      <c r="I539" s="247"/>
      <c r="J539" s="247"/>
      <c r="K539" s="272"/>
    </row>
    <row r="540">
      <c r="A540" s="272"/>
      <c r="B540" s="273"/>
      <c r="C540" s="273"/>
      <c r="D540" s="274"/>
      <c r="E540" s="274"/>
      <c r="F540" s="274"/>
      <c r="G540" s="247"/>
      <c r="H540" s="247"/>
      <c r="I540" s="247"/>
      <c r="J540" s="247"/>
      <c r="K540" s="272"/>
    </row>
    <row r="541">
      <c r="A541" s="272"/>
      <c r="B541" s="273"/>
      <c r="C541" s="273"/>
      <c r="D541" s="274"/>
      <c r="E541" s="274"/>
      <c r="F541" s="274"/>
      <c r="G541" s="247"/>
      <c r="H541" s="247"/>
      <c r="I541" s="247"/>
      <c r="J541" s="247"/>
      <c r="K541" s="272"/>
    </row>
    <row r="542">
      <c r="A542" s="272"/>
      <c r="B542" s="273"/>
      <c r="C542" s="273"/>
      <c r="D542" s="274"/>
      <c r="E542" s="274"/>
      <c r="F542" s="274"/>
      <c r="G542" s="247"/>
      <c r="H542" s="247"/>
      <c r="I542" s="247"/>
      <c r="J542" s="247"/>
      <c r="K542" s="272"/>
    </row>
    <row r="543">
      <c r="A543" s="272"/>
      <c r="B543" s="273"/>
      <c r="C543" s="273"/>
      <c r="D543" s="274"/>
      <c r="E543" s="274"/>
      <c r="F543" s="274"/>
      <c r="G543" s="247"/>
      <c r="H543" s="247"/>
      <c r="I543" s="247"/>
      <c r="J543" s="247"/>
      <c r="K543" s="272"/>
    </row>
    <row r="544">
      <c r="A544" s="272"/>
      <c r="B544" s="273"/>
      <c r="C544" s="273"/>
      <c r="D544" s="274"/>
      <c r="E544" s="274"/>
      <c r="F544" s="274"/>
      <c r="G544" s="247"/>
      <c r="H544" s="247"/>
      <c r="I544" s="247"/>
      <c r="J544" s="247"/>
      <c r="K544" s="272"/>
    </row>
    <row r="545">
      <c r="A545" s="272"/>
      <c r="B545" s="273"/>
      <c r="C545" s="273"/>
      <c r="D545" s="274"/>
      <c r="E545" s="274"/>
      <c r="F545" s="274"/>
      <c r="G545" s="247"/>
      <c r="H545" s="247"/>
      <c r="I545" s="247"/>
      <c r="J545" s="247"/>
      <c r="K545" s="272"/>
    </row>
    <row r="546">
      <c r="A546" s="272"/>
      <c r="B546" s="273"/>
      <c r="C546" s="273"/>
      <c r="D546" s="274"/>
      <c r="E546" s="274"/>
      <c r="F546" s="274"/>
      <c r="G546" s="247"/>
      <c r="H546" s="247"/>
      <c r="I546" s="247"/>
      <c r="J546" s="247"/>
      <c r="K546" s="272"/>
    </row>
    <row r="547">
      <c r="A547" s="272"/>
      <c r="B547" s="273"/>
      <c r="C547" s="273"/>
      <c r="D547" s="274"/>
      <c r="E547" s="274"/>
      <c r="F547" s="274"/>
      <c r="G547" s="247"/>
      <c r="H547" s="247"/>
      <c r="I547" s="247"/>
      <c r="J547" s="247"/>
      <c r="K547" s="272"/>
    </row>
    <row r="548">
      <c r="A548" s="272"/>
      <c r="B548" s="273"/>
      <c r="C548" s="273"/>
      <c r="D548" s="274"/>
      <c r="E548" s="274"/>
      <c r="F548" s="274"/>
      <c r="G548" s="247"/>
      <c r="H548" s="247"/>
      <c r="I548" s="247"/>
      <c r="J548" s="247"/>
      <c r="K548" s="272"/>
    </row>
    <row r="549">
      <c r="A549" s="272"/>
      <c r="B549" s="273"/>
      <c r="C549" s="273"/>
      <c r="D549" s="274"/>
      <c r="E549" s="274"/>
      <c r="F549" s="274"/>
      <c r="G549" s="247"/>
      <c r="H549" s="247"/>
      <c r="I549" s="247"/>
      <c r="J549" s="247"/>
      <c r="K549" s="272"/>
    </row>
    <row r="550">
      <c r="A550" s="272"/>
      <c r="B550" s="273"/>
      <c r="C550" s="273"/>
      <c r="D550" s="274"/>
      <c r="E550" s="274"/>
      <c r="F550" s="274"/>
      <c r="G550" s="247"/>
      <c r="H550" s="247"/>
      <c r="I550" s="247"/>
      <c r="J550" s="247"/>
      <c r="K550" s="272"/>
    </row>
    <row r="551">
      <c r="A551" s="272"/>
      <c r="B551" s="273"/>
      <c r="C551" s="273"/>
      <c r="D551" s="274"/>
      <c r="E551" s="274"/>
      <c r="F551" s="274"/>
      <c r="G551" s="247"/>
      <c r="H551" s="247"/>
      <c r="I551" s="247"/>
      <c r="J551" s="247"/>
      <c r="K551" s="272"/>
    </row>
    <row r="552">
      <c r="A552" s="272"/>
      <c r="B552" s="273"/>
      <c r="C552" s="273"/>
      <c r="D552" s="274"/>
      <c r="E552" s="274"/>
      <c r="F552" s="274"/>
      <c r="G552" s="247"/>
      <c r="H552" s="247"/>
      <c r="I552" s="247"/>
      <c r="J552" s="247"/>
      <c r="K552" s="272"/>
    </row>
    <row r="553">
      <c r="A553" s="272"/>
      <c r="B553" s="273"/>
      <c r="C553" s="273"/>
      <c r="D553" s="274"/>
      <c r="E553" s="274"/>
      <c r="F553" s="274"/>
      <c r="G553" s="247"/>
      <c r="H553" s="247"/>
      <c r="I553" s="247"/>
      <c r="J553" s="247"/>
      <c r="K553" s="272"/>
    </row>
    <row r="554">
      <c r="A554" s="272"/>
      <c r="B554" s="273"/>
      <c r="C554" s="273"/>
      <c r="D554" s="274"/>
      <c r="E554" s="274"/>
      <c r="F554" s="274"/>
      <c r="G554" s="247"/>
      <c r="H554" s="247"/>
      <c r="I554" s="247"/>
      <c r="J554" s="247"/>
      <c r="K554" s="272"/>
    </row>
    <row r="555">
      <c r="A555" s="264"/>
      <c r="B555" s="303"/>
      <c r="C555" s="303"/>
      <c r="D555" s="304"/>
      <c r="E555" s="304"/>
      <c r="F555" s="304"/>
      <c r="G555" s="267"/>
      <c r="H555" s="267"/>
      <c r="I555" s="267"/>
      <c r="J555" s="267"/>
      <c r="K555" s="264"/>
    </row>
    <row r="556">
      <c r="A556" s="264"/>
      <c r="B556" s="303"/>
      <c r="C556" s="303"/>
      <c r="D556" s="304"/>
      <c r="E556" s="304"/>
      <c r="F556" s="304"/>
      <c r="G556" s="267"/>
      <c r="H556" s="267"/>
      <c r="I556" s="267"/>
      <c r="J556" s="267"/>
      <c r="K556" s="264"/>
    </row>
    <row r="557">
      <c r="A557" s="264"/>
      <c r="B557" s="303"/>
      <c r="C557" s="303"/>
      <c r="D557" s="304"/>
      <c r="E557" s="304"/>
      <c r="F557" s="304"/>
      <c r="G557" s="267"/>
      <c r="H557" s="267"/>
      <c r="I557" s="267"/>
      <c r="J557" s="267"/>
      <c r="K557" s="264"/>
    </row>
    <row r="558">
      <c r="A558" s="264"/>
      <c r="B558" s="303"/>
      <c r="C558" s="303"/>
      <c r="D558" s="304"/>
      <c r="E558" s="304"/>
      <c r="F558" s="304"/>
      <c r="G558" s="267"/>
      <c r="H558" s="267"/>
      <c r="I558" s="267"/>
      <c r="J558" s="267"/>
      <c r="K558" s="264"/>
    </row>
    <row r="559">
      <c r="A559" s="264"/>
      <c r="B559" s="303"/>
      <c r="C559" s="303"/>
      <c r="D559" s="304"/>
      <c r="E559" s="304"/>
      <c r="F559" s="304"/>
      <c r="G559" s="267"/>
      <c r="H559" s="267"/>
      <c r="I559" s="267"/>
      <c r="J559" s="267"/>
      <c r="K559" s="264"/>
    </row>
    <row r="560">
      <c r="A560" s="264"/>
      <c r="B560" s="303"/>
      <c r="C560" s="303"/>
      <c r="D560" s="304"/>
      <c r="E560" s="304"/>
      <c r="F560" s="304"/>
      <c r="G560" s="267"/>
      <c r="H560" s="267"/>
      <c r="I560" s="267"/>
      <c r="J560" s="267"/>
      <c r="K560" s="264"/>
    </row>
    <row r="561">
      <c r="A561" s="264"/>
      <c r="B561" s="303"/>
      <c r="C561" s="303"/>
      <c r="D561" s="304"/>
      <c r="E561" s="304"/>
      <c r="F561" s="304"/>
      <c r="G561" s="267"/>
      <c r="H561" s="267"/>
      <c r="I561" s="267"/>
      <c r="J561" s="267"/>
      <c r="K561" s="264"/>
    </row>
    <row r="562">
      <c r="A562" s="264"/>
      <c r="B562" s="303"/>
      <c r="C562" s="303"/>
      <c r="D562" s="304"/>
      <c r="E562" s="304"/>
      <c r="F562" s="304"/>
      <c r="G562" s="267"/>
      <c r="H562" s="267"/>
      <c r="I562" s="267"/>
      <c r="J562" s="267"/>
      <c r="K562" s="264"/>
    </row>
    <row r="563">
      <c r="A563" s="264"/>
      <c r="B563" s="303"/>
      <c r="C563" s="303"/>
      <c r="D563" s="304"/>
      <c r="E563" s="304"/>
      <c r="F563" s="304"/>
      <c r="G563" s="267"/>
      <c r="H563" s="267"/>
      <c r="I563" s="267"/>
      <c r="J563" s="267"/>
      <c r="K563" s="264"/>
    </row>
    <row r="564">
      <c r="A564" s="264"/>
      <c r="B564" s="303"/>
      <c r="C564" s="303"/>
      <c r="D564" s="304"/>
      <c r="E564" s="304"/>
      <c r="F564" s="304"/>
      <c r="G564" s="267"/>
      <c r="H564" s="267"/>
      <c r="I564" s="267"/>
      <c r="J564" s="267"/>
      <c r="K564" s="264"/>
    </row>
    <row r="565">
      <c r="A565" s="264"/>
      <c r="B565" s="303"/>
      <c r="C565" s="303"/>
      <c r="D565" s="304"/>
      <c r="E565" s="304"/>
      <c r="F565" s="304"/>
      <c r="G565" s="267"/>
      <c r="H565" s="267"/>
      <c r="I565" s="267"/>
      <c r="J565" s="267"/>
      <c r="K565" s="264"/>
    </row>
    <row r="566">
      <c r="A566" s="264"/>
      <c r="B566" s="303"/>
      <c r="C566" s="303"/>
      <c r="D566" s="304"/>
      <c r="E566" s="304"/>
      <c r="F566" s="304"/>
      <c r="G566" s="267"/>
      <c r="H566" s="267"/>
      <c r="I566" s="267"/>
      <c r="J566" s="267"/>
      <c r="K566" s="264"/>
    </row>
    <row r="567">
      <c r="A567" s="264"/>
      <c r="B567" s="303"/>
      <c r="C567" s="303"/>
      <c r="D567" s="304"/>
      <c r="E567" s="304"/>
      <c r="F567" s="304"/>
      <c r="G567" s="267"/>
      <c r="H567" s="267"/>
      <c r="I567" s="267"/>
      <c r="J567" s="267"/>
      <c r="K567" s="264"/>
    </row>
    <row r="568">
      <c r="A568" s="264"/>
      <c r="B568" s="303"/>
      <c r="C568" s="303"/>
      <c r="D568" s="304"/>
      <c r="E568" s="304"/>
      <c r="F568" s="304"/>
      <c r="G568" s="267"/>
      <c r="H568" s="267"/>
      <c r="I568" s="267"/>
      <c r="J568" s="267"/>
      <c r="K568" s="264"/>
    </row>
    <row r="569">
      <c r="A569" s="264"/>
      <c r="B569" s="303"/>
      <c r="C569" s="303"/>
      <c r="D569" s="304"/>
      <c r="E569" s="304"/>
      <c r="F569" s="304"/>
      <c r="G569" s="267"/>
      <c r="H569" s="267"/>
      <c r="I569" s="267"/>
      <c r="J569" s="267"/>
      <c r="K569" s="264"/>
    </row>
    <row r="570">
      <c r="A570" s="264"/>
      <c r="B570" s="303"/>
      <c r="C570" s="303"/>
      <c r="D570" s="304"/>
      <c r="E570" s="304"/>
      <c r="F570" s="304"/>
      <c r="G570" s="267"/>
      <c r="H570" s="267"/>
      <c r="I570" s="267"/>
      <c r="J570" s="267"/>
      <c r="K570" s="264"/>
    </row>
    <row r="571">
      <c r="A571" s="264"/>
      <c r="B571" s="303"/>
      <c r="C571" s="303"/>
      <c r="D571" s="304"/>
      <c r="E571" s="304"/>
      <c r="F571" s="304"/>
      <c r="G571" s="267"/>
      <c r="H571" s="267"/>
      <c r="I571" s="267"/>
      <c r="J571" s="267"/>
      <c r="K571" s="264"/>
    </row>
    <row r="572">
      <c r="A572" s="264"/>
      <c r="B572" s="303"/>
      <c r="C572" s="303"/>
      <c r="D572" s="304"/>
      <c r="E572" s="304"/>
      <c r="F572" s="304"/>
      <c r="G572" s="267"/>
      <c r="H572" s="267"/>
      <c r="I572" s="267"/>
      <c r="J572" s="267"/>
      <c r="K572" s="264"/>
    </row>
    <row r="573">
      <c r="A573" s="264"/>
      <c r="B573" s="303"/>
      <c r="C573" s="303"/>
      <c r="D573" s="304"/>
      <c r="E573" s="304"/>
      <c r="F573" s="304"/>
      <c r="G573" s="267"/>
      <c r="H573" s="267"/>
      <c r="I573" s="267"/>
      <c r="J573" s="267"/>
      <c r="K573" s="264"/>
    </row>
    <row r="574">
      <c r="A574" s="264"/>
      <c r="B574" s="303"/>
      <c r="C574" s="303"/>
      <c r="D574" s="304"/>
      <c r="E574" s="304"/>
      <c r="F574" s="304"/>
      <c r="G574" s="267"/>
      <c r="H574" s="267"/>
      <c r="I574" s="267"/>
      <c r="J574" s="267"/>
      <c r="K574" s="264"/>
    </row>
    <row r="575">
      <c r="A575" s="264"/>
      <c r="B575" s="303"/>
      <c r="C575" s="303"/>
      <c r="D575" s="304"/>
      <c r="E575" s="304"/>
      <c r="F575" s="304"/>
      <c r="G575" s="267"/>
      <c r="H575" s="267"/>
      <c r="I575" s="267"/>
      <c r="J575" s="267"/>
      <c r="K575" s="264"/>
    </row>
    <row r="576">
      <c r="A576" s="264"/>
      <c r="B576" s="303"/>
      <c r="C576" s="303"/>
      <c r="D576" s="304"/>
      <c r="E576" s="304"/>
      <c r="F576" s="304"/>
      <c r="G576" s="267"/>
      <c r="H576" s="267"/>
      <c r="I576" s="267"/>
      <c r="J576" s="267"/>
      <c r="K576" s="264"/>
    </row>
    <row r="577">
      <c r="A577" s="264"/>
      <c r="B577" s="303"/>
      <c r="C577" s="303"/>
      <c r="D577" s="304"/>
      <c r="E577" s="304"/>
      <c r="F577" s="304"/>
      <c r="G577" s="267"/>
      <c r="H577" s="267"/>
      <c r="I577" s="267"/>
      <c r="J577" s="267"/>
      <c r="K577" s="264"/>
    </row>
    <row r="578">
      <c r="A578" s="264"/>
      <c r="B578" s="303"/>
      <c r="C578" s="303"/>
      <c r="D578" s="304"/>
      <c r="E578" s="304"/>
      <c r="F578" s="304"/>
      <c r="G578" s="267"/>
      <c r="H578" s="267"/>
      <c r="I578" s="267"/>
      <c r="J578" s="267"/>
      <c r="K578" s="264"/>
    </row>
    <row r="579">
      <c r="A579" s="264"/>
      <c r="B579" s="303"/>
      <c r="C579" s="303"/>
      <c r="D579" s="304"/>
      <c r="E579" s="304"/>
      <c r="F579" s="304"/>
      <c r="G579" s="267"/>
      <c r="H579" s="267"/>
      <c r="I579" s="267"/>
      <c r="J579" s="267"/>
      <c r="K579" s="264"/>
    </row>
    <row r="580">
      <c r="A580" s="264"/>
      <c r="B580" s="303"/>
      <c r="C580" s="303"/>
      <c r="D580" s="304"/>
      <c r="E580" s="304"/>
      <c r="F580" s="304"/>
      <c r="G580" s="267"/>
      <c r="H580" s="267"/>
      <c r="I580" s="267"/>
      <c r="J580" s="267"/>
      <c r="K580" s="264"/>
    </row>
    <row r="581">
      <c r="A581" s="264"/>
      <c r="B581" s="303"/>
      <c r="C581" s="303"/>
      <c r="D581" s="304"/>
      <c r="E581" s="304"/>
      <c r="F581" s="304"/>
      <c r="G581" s="267"/>
      <c r="H581" s="267"/>
      <c r="I581" s="267"/>
      <c r="J581" s="267"/>
      <c r="K581" s="264"/>
    </row>
    <row r="582">
      <c r="A582" s="264"/>
      <c r="B582" s="303"/>
      <c r="C582" s="303"/>
      <c r="D582" s="304"/>
      <c r="E582" s="304"/>
      <c r="F582" s="304"/>
      <c r="G582" s="267"/>
      <c r="H582" s="267"/>
      <c r="I582" s="267"/>
      <c r="J582" s="267"/>
      <c r="K582" s="264"/>
    </row>
    <row r="583">
      <c r="A583" s="264"/>
      <c r="B583" s="303"/>
      <c r="C583" s="303"/>
      <c r="D583" s="304"/>
      <c r="E583" s="304"/>
      <c r="F583" s="304"/>
      <c r="G583" s="267"/>
      <c r="H583" s="267"/>
      <c r="I583" s="267"/>
      <c r="J583" s="267"/>
      <c r="K583" s="264"/>
    </row>
    <row r="584">
      <c r="A584" s="264"/>
      <c r="B584" s="303"/>
      <c r="C584" s="303"/>
      <c r="D584" s="304"/>
      <c r="E584" s="304"/>
      <c r="F584" s="304"/>
      <c r="G584" s="267"/>
      <c r="H584" s="267"/>
      <c r="I584" s="267"/>
      <c r="J584" s="267"/>
      <c r="K584" s="264"/>
    </row>
    <row r="585">
      <c r="A585" s="264"/>
      <c r="B585" s="303"/>
      <c r="C585" s="303"/>
      <c r="D585" s="304"/>
      <c r="E585" s="304"/>
      <c r="F585" s="304"/>
      <c r="G585" s="267"/>
      <c r="H585" s="267"/>
      <c r="I585" s="267"/>
      <c r="J585" s="267"/>
      <c r="K585" s="264"/>
    </row>
    <row r="586">
      <c r="A586" s="264"/>
      <c r="B586" s="303"/>
      <c r="C586" s="303"/>
      <c r="D586" s="304"/>
      <c r="E586" s="304"/>
      <c r="F586" s="304"/>
      <c r="G586" s="267"/>
      <c r="H586" s="267"/>
      <c r="I586" s="267"/>
      <c r="J586" s="267"/>
      <c r="K586" s="264"/>
    </row>
    <row r="587">
      <c r="A587" s="264"/>
      <c r="B587" s="303"/>
      <c r="C587" s="303"/>
      <c r="D587" s="304"/>
      <c r="E587" s="304"/>
      <c r="F587" s="304"/>
      <c r="G587" s="267"/>
      <c r="H587" s="267"/>
      <c r="I587" s="267"/>
      <c r="J587" s="267"/>
      <c r="K587" s="264"/>
    </row>
    <row r="588">
      <c r="A588" s="264"/>
      <c r="B588" s="303"/>
      <c r="C588" s="303"/>
      <c r="D588" s="304"/>
      <c r="E588" s="304"/>
      <c r="F588" s="304"/>
      <c r="G588" s="267"/>
      <c r="H588" s="267"/>
      <c r="I588" s="267"/>
      <c r="J588" s="267"/>
      <c r="K588" s="264"/>
    </row>
    <row r="589">
      <c r="A589" s="264"/>
      <c r="B589" s="303"/>
      <c r="C589" s="303"/>
      <c r="D589" s="304"/>
      <c r="E589" s="304"/>
      <c r="F589" s="304"/>
      <c r="G589" s="267"/>
      <c r="H589" s="267"/>
      <c r="I589" s="267"/>
      <c r="J589" s="267"/>
      <c r="K589" s="264"/>
    </row>
    <row r="590">
      <c r="A590" s="264"/>
      <c r="B590" s="303"/>
      <c r="C590" s="303"/>
      <c r="D590" s="304"/>
      <c r="E590" s="304"/>
      <c r="F590" s="304"/>
      <c r="G590" s="267"/>
      <c r="H590" s="267"/>
      <c r="I590" s="267"/>
      <c r="J590" s="267"/>
      <c r="K590" s="264"/>
    </row>
    <row r="591">
      <c r="A591" s="264"/>
      <c r="B591" s="303"/>
      <c r="C591" s="303"/>
      <c r="D591" s="304"/>
      <c r="E591" s="304"/>
      <c r="F591" s="304"/>
      <c r="G591" s="267"/>
      <c r="H591" s="267"/>
      <c r="I591" s="267"/>
      <c r="J591" s="267"/>
      <c r="K591" s="264"/>
    </row>
    <row r="592">
      <c r="A592" s="264"/>
      <c r="B592" s="303"/>
      <c r="C592" s="303"/>
      <c r="D592" s="304"/>
      <c r="E592" s="304"/>
      <c r="F592" s="304"/>
      <c r="G592" s="267"/>
      <c r="H592" s="267"/>
      <c r="I592" s="267"/>
      <c r="J592" s="267"/>
      <c r="K592" s="264"/>
    </row>
    <row r="593">
      <c r="A593" s="264"/>
      <c r="B593" s="303"/>
      <c r="C593" s="303"/>
      <c r="D593" s="304"/>
      <c r="E593" s="304"/>
      <c r="F593" s="304"/>
      <c r="G593" s="267"/>
      <c r="H593" s="267"/>
      <c r="I593" s="267"/>
      <c r="J593" s="267"/>
      <c r="K593" s="264"/>
    </row>
    <row r="594">
      <c r="A594" s="264"/>
      <c r="B594" s="303"/>
      <c r="C594" s="303"/>
      <c r="D594" s="304"/>
      <c r="E594" s="304"/>
      <c r="F594" s="304"/>
      <c r="G594" s="267"/>
      <c r="H594" s="267"/>
      <c r="I594" s="267"/>
      <c r="J594" s="267"/>
      <c r="K594" s="264"/>
    </row>
    <row r="595">
      <c r="A595" s="264"/>
      <c r="B595" s="303"/>
      <c r="C595" s="303"/>
      <c r="D595" s="304"/>
      <c r="E595" s="304"/>
      <c r="F595" s="304"/>
      <c r="G595" s="267"/>
      <c r="H595" s="267"/>
      <c r="I595" s="267"/>
      <c r="J595" s="267"/>
      <c r="K595" s="264"/>
    </row>
    <row r="596">
      <c r="A596" s="264"/>
      <c r="B596" s="303"/>
      <c r="C596" s="303"/>
      <c r="D596" s="304"/>
      <c r="E596" s="304"/>
      <c r="F596" s="304"/>
      <c r="G596" s="267"/>
      <c r="H596" s="267"/>
      <c r="I596" s="267"/>
      <c r="J596" s="267"/>
      <c r="K596" s="264"/>
    </row>
    <row r="597">
      <c r="A597" s="264"/>
      <c r="B597" s="303"/>
      <c r="C597" s="303"/>
      <c r="D597" s="304"/>
      <c r="E597" s="304"/>
      <c r="F597" s="304"/>
      <c r="G597" s="267"/>
      <c r="H597" s="267"/>
      <c r="I597" s="267"/>
      <c r="J597" s="267"/>
      <c r="K597" s="264"/>
    </row>
    <row r="598">
      <c r="A598" s="264"/>
      <c r="B598" s="303"/>
      <c r="C598" s="303"/>
      <c r="D598" s="304"/>
      <c r="E598" s="304"/>
      <c r="F598" s="304"/>
      <c r="G598" s="267"/>
      <c r="H598" s="267"/>
      <c r="I598" s="267"/>
      <c r="J598" s="267"/>
      <c r="K598" s="264"/>
    </row>
    <row r="599">
      <c r="A599" s="264"/>
      <c r="B599" s="303"/>
      <c r="C599" s="303"/>
      <c r="D599" s="304"/>
      <c r="E599" s="304"/>
      <c r="F599" s="304"/>
      <c r="G599" s="267"/>
      <c r="H599" s="267"/>
      <c r="I599" s="267"/>
      <c r="J599" s="267"/>
      <c r="K599" s="264"/>
    </row>
    <row r="600">
      <c r="A600" s="264"/>
      <c r="B600" s="303"/>
      <c r="C600" s="303"/>
      <c r="D600" s="304"/>
      <c r="E600" s="304"/>
      <c r="F600" s="304"/>
      <c r="G600" s="267"/>
      <c r="H600" s="267"/>
      <c r="I600" s="267"/>
      <c r="J600" s="267"/>
      <c r="K600" s="264"/>
    </row>
    <row r="601">
      <c r="A601" s="264"/>
      <c r="B601" s="303"/>
      <c r="C601" s="303"/>
      <c r="D601" s="304"/>
      <c r="E601" s="304"/>
      <c r="F601" s="304"/>
      <c r="G601" s="267"/>
      <c r="H601" s="267"/>
      <c r="I601" s="267"/>
      <c r="J601" s="267"/>
      <c r="K601" s="264"/>
    </row>
    <row r="602">
      <c r="A602" s="264"/>
      <c r="B602" s="303"/>
      <c r="C602" s="303"/>
      <c r="D602" s="304"/>
      <c r="E602" s="304"/>
      <c r="F602" s="304"/>
      <c r="G602" s="267"/>
      <c r="H602" s="267"/>
      <c r="I602" s="267"/>
      <c r="J602" s="267"/>
      <c r="K602" s="264"/>
    </row>
    <row r="603">
      <c r="A603" s="264"/>
      <c r="B603" s="303"/>
      <c r="C603" s="303"/>
      <c r="D603" s="304"/>
      <c r="E603" s="304"/>
      <c r="F603" s="304"/>
      <c r="G603" s="267"/>
      <c r="H603" s="267"/>
      <c r="I603" s="267"/>
      <c r="J603" s="267"/>
      <c r="K603" s="264"/>
    </row>
    <row r="604">
      <c r="A604" s="264"/>
      <c r="B604" s="303"/>
      <c r="C604" s="303"/>
      <c r="D604" s="304"/>
      <c r="E604" s="304"/>
      <c r="F604" s="304"/>
      <c r="G604" s="267"/>
      <c r="H604" s="267"/>
      <c r="I604" s="267"/>
      <c r="J604" s="267"/>
      <c r="K604" s="264"/>
    </row>
    <row r="605">
      <c r="A605" s="264"/>
      <c r="B605" s="303"/>
      <c r="C605" s="303"/>
      <c r="D605" s="304"/>
      <c r="E605" s="304"/>
      <c r="F605" s="304"/>
      <c r="G605" s="267"/>
      <c r="H605" s="267"/>
      <c r="I605" s="267"/>
      <c r="J605" s="267"/>
      <c r="K605" s="264"/>
    </row>
    <row r="606">
      <c r="A606" s="264"/>
      <c r="B606" s="303"/>
      <c r="C606" s="303"/>
      <c r="D606" s="304"/>
      <c r="E606" s="304"/>
      <c r="F606" s="304"/>
      <c r="G606" s="267"/>
      <c r="H606" s="267"/>
      <c r="I606" s="267"/>
      <c r="J606" s="267"/>
      <c r="K606" s="264"/>
    </row>
    <row r="607">
      <c r="A607" s="264"/>
      <c r="B607" s="303"/>
      <c r="C607" s="303"/>
      <c r="D607" s="304"/>
      <c r="E607" s="304"/>
      <c r="F607" s="304"/>
      <c r="G607" s="267"/>
      <c r="H607" s="267"/>
      <c r="I607" s="267"/>
      <c r="J607" s="267"/>
      <c r="K607" s="264"/>
    </row>
    <row r="608">
      <c r="A608" s="264"/>
      <c r="B608" s="303"/>
      <c r="C608" s="303"/>
      <c r="D608" s="304"/>
      <c r="E608" s="304"/>
      <c r="F608" s="304"/>
      <c r="G608" s="267"/>
      <c r="H608" s="267"/>
      <c r="I608" s="267"/>
      <c r="J608" s="267"/>
      <c r="K608" s="264"/>
    </row>
    <row r="609">
      <c r="A609" s="264"/>
      <c r="B609" s="303"/>
      <c r="C609" s="303"/>
      <c r="D609" s="304"/>
      <c r="E609" s="304"/>
      <c r="F609" s="304"/>
      <c r="G609" s="267"/>
      <c r="H609" s="267"/>
      <c r="I609" s="267"/>
      <c r="J609" s="267"/>
      <c r="K609" s="264"/>
    </row>
    <row r="610">
      <c r="A610" s="264"/>
      <c r="B610" s="303"/>
      <c r="C610" s="303"/>
      <c r="D610" s="304"/>
      <c r="E610" s="304"/>
      <c r="F610" s="304"/>
      <c r="G610" s="267"/>
      <c r="H610" s="267"/>
      <c r="I610" s="267"/>
      <c r="J610" s="267"/>
      <c r="K610" s="264"/>
    </row>
    <row r="611">
      <c r="A611" s="264"/>
      <c r="B611" s="303"/>
      <c r="C611" s="303"/>
      <c r="D611" s="304"/>
      <c r="E611" s="304"/>
      <c r="F611" s="304"/>
      <c r="G611" s="267"/>
      <c r="H611" s="267"/>
      <c r="I611" s="267"/>
      <c r="J611" s="267"/>
      <c r="K611" s="264"/>
    </row>
    <row r="612">
      <c r="A612" s="264"/>
      <c r="B612" s="303"/>
      <c r="C612" s="303"/>
      <c r="D612" s="304"/>
      <c r="E612" s="304"/>
      <c r="F612" s="304"/>
      <c r="G612" s="267"/>
      <c r="H612" s="267"/>
      <c r="I612" s="267"/>
      <c r="J612" s="267"/>
      <c r="K612" s="264"/>
    </row>
    <row r="613">
      <c r="A613" s="264"/>
      <c r="B613" s="303"/>
      <c r="C613" s="303"/>
      <c r="D613" s="304"/>
      <c r="E613" s="304"/>
      <c r="F613" s="304"/>
      <c r="G613" s="267"/>
      <c r="H613" s="267"/>
      <c r="I613" s="267"/>
      <c r="J613" s="267"/>
      <c r="K613" s="264"/>
    </row>
    <row r="614">
      <c r="A614" s="264"/>
      <c r="B614" s="303"/>
      <c r="C614" s="303"/>
      <c r="D614" s="304"/>
      <c r="E614" s="304"/>
      <c r="F614" s="304"/>
      <c r="G614" s="267"/>
      <c r="H614" s="267"/>
      <c r="I614" s="267"/>
      <c r="J614" s="267"/>
      <c r="K614" s="264"/>
    </row>
    <row r="615">
      <c r="A615" s="264"/>
      <c r="B615" s="303"/>
      <c r="C615" s="303"/>
      <c r="D615" s="304"/>
      <c r="E615" s="304"/>
      <c r="F615" s="304"/>
      <c r="G615" s="267"/>
      <c r="H615" s="267"/>
      <c r="I615" s="267"/>
      <c r="J615" s="267"/>
      <c r="K615" s="264"/>
    </row>
    <row r="616">
      <c r="A616" s="264"/>
      <c r="B616" s="303"/>
      <c r="C616" s="303"/>
      <c r="D616" s="304"/>
      <c r="E616" s="304"/>
      <c r="F616" s="304"/>
      <c r="G616" s="267"/>
      <c r="H616" s="267"/>
      <c r="I616" s="267"/>
      <c r="J616" s="267"/>
      <c r="K616" s="264"/>
    </row>
    <row r="617">
      <c r="A617" s="264"/>
      <c r="B617" s="303"/>
      <c r="C617" s="303"/>
      <c r="D617" s="304"/>
      <c r="E617" s="304"/>
      <c r="F617" s="304"/>
      <c r="G617" s="267"/>
      <c r="H617" s="267"/>
      <c r="I617" s="267"/>
      <c r="J617" s="267"/>
      <c r="K617" s="264"/>
    </row>
    <row r="618">
      <c r="A618" s="264"/>
      <c r="B618" s="303"/>
      <c r="C618" s="303"/>
      <c r="D618" s="304"/>
      <c r="E618" s="304"/>
      <c r="F618" s="304"/>
      <c r="G618" s="267"/>
      <c r="H618" s="267"/>
      <c r="I618" s="267"/>
      <c r="J618" s="267"/>
      <c r="K618" s="264"/>
    </row>
    <row r="619">
      <c r="A619" s="264"/>
      <c r="B619" s="303"/>
      <c r="C619" s="303"/>
      <c r="D619" s="304"/>
      <c r="E619" s="304"/>
      <c r="F619" s="304"/>
      <c r="G619" s="267"/>
      <c r="H619" s="267"/>
      <c r="I619" s="267"/>
      <c r="J619" s="267"/>
      <c r="K619" s="264"/>
    </row>
    <row r="620">
      <c r="A620" s="264"/>
      <c r="B620" s="303"/>
      <c r="C620" s="303"/>
      <c r="D620" s="304"/>
      <c r="E620" s="304"/>
      <c r="F620" s="304"/>
      <c r="G620" s="267"/>
      <c r="H620" s="267"/>
      <c r="I620" s="267"/>
      <c r="J620" s="267"/>
      <c r="K620" s="264"/>
    </row>
    <row r="621">
      <c r="A621" s="264"/>
      <c r="B621" s="303"/>
      <c r="C621" s="303"/>
      <c r="D621" s="304"/>
      <c r="E621" s="304"/>
      <c r="F621" s="304"/>
      <c r="G621" s="267"/>
      <c r="H621" s="267"/>
      <c r="I621" s="267"/>
      <c r="J621" s="267"/>
      <c r="K621" s="264"/>
    </row>
    <row r="622">
      <c r="A622" s="264"/>
      <c r="B622" s="303"/>
      <c r="C622" s="303"/>
      <c r="D622" s="304"/>
      <c r="E622" s="304"/>
      <c r="F622" s="304"/>
      <c r="G622" s="267"/>
      <c r="H622" s="267"/>
      <c r="I622" s="267"/>
      <c r="J622" s="267"/>
      <c r="K622" s="264"/>
    </row>
    <row r="623">
      <c r="A623" s="264"/>
      <c r="B623" s="303"/>
      <c r="C623" s="303"/>
      <c r="D623" s="304"/>
      <c r="E623" s="304"/>
      <c r="F623" s="304"/>
      <c r="G623" s="267"/>
      <c r="H623" s="267"/>
      <c r="I623" s="267"/>
      <c r="J623" s="267"/>
      <c r="K623" s="264"/>
    </row>
    <row r="624">
      <c r="A624" s="264"/>
      <c r="B624" s="303"/>
      <c r="C624" s="303"/>
      <c r="D624" s="304"/>
      <c r="E624" s="304"/>
      <c r="F624" s="304"/>
      <c r="G624" s="267"/>
      <c r="H624" s="267"/>
      <c r="I624" s="267"/>
      <c r="J624" s="267"/>
      <c r="K624" s="264"/>
    </row>
    <row r="625">
      <c r="A625" s="264"/>
      <c r="B625" s="303"/>
      <c r="C625" s="303"/>
      <c r="D625" s="304"/>
      <c r="E625" s="304"/>
      <c r="F625" s="304"/>
      <c r="G625" s="267"/>
      <c r="H625" s="267"/>
      <c r="I625" s="267"/>
      <c r="J625" s="267"/>
      <c r="K625" s="264"/>
    </row>
    <row r="626">
      <c r="A626" s="264"/>
      <c r="B626" s="303"/>
      <c r="C626" s="303"/>
      <c r="D626" s="304"/>
      <c r="E626" s="304"/>
      <c r="F626" s="304"/>
      <c r="G626" s="267"/>
      <c r="H626" s="267"/>
      <c r="I626" s="267"/>
      <c r="J626" s="267"/>
      <c r="K626" s="264"/>
    </row>
    <row r="627">
      <c r="A627" s="264"/>
      <c r="B627" s="303"/>
      <c r="C627" s="303"/>
      <c r="D627" s="304"/>
      <c r="E627" s="304"/>
      <c r="F627" s="304"/>
      <c r="G627" s="267"/>
      <c r="H627" s="267"/>
      <c r="I627" s="267"/>
      <c r="J627" s="267"/>
      <c r="K627" s="264"/>
    </row>
    <row r="628">
      <c r="A628" s="264"/>
      <c r="B628" s="303"/>
      <c r="C628" s="303"/>
      <c r="D628" s="304"/>
      <c r="E628" s="304"/>
      <c r="F628" s="304"/>
      <c r="G628" s="267"/>
      <c r="H628" s="267"/>
      <c r="I628" s="267"/>
      <c r="J628" s="267"/>
      <c r="K628" s="264"/>
    </row>
    <row r="629">
      <c r="A629" s="264"/>
      <c r="B629" s="303"/>
      <c r="C629" s="303"/>
      <c r="D629" s="304"/>
      <c r="E629" s="304"/>
      <c r="F629" s="304"/>
      <c r="G629" s="267"/>
      <c r="H629" s="267"/>
      <c r="I629" s="267"/>
      <c r="J629" s="267"/>
      <c r="K629" s="264"/>
    </row>
    <row r="630">
      <c r="A630" s="264"/>
      <c r="B630" s="303"/>
      <c r="C630" s="303"/>
      <c r="D630" s="304"/>
      <c r="E630" s="304"/>
      <c r="F630" s="304"/>
      <c r="G630" s="267"/>
      <c r="H630" s="267"/>
      <c r="I630" s="267"/>
      <c r="J630" s="267"/>
      <c r="K630" s="264"/>
    </row>
    <row r="631">
      <c r="A631" s="264"/>
      <c r="B631" s="303"/>
      <c r="C631" s="303"/>
      <c r="D631" s="304"/>
      <c r="E631" s="304"/>
      <c r="F631" s="304"/>
      <c r="G631" s="267"/>
      <c r="H631" s="267"/>
      <c r="I631" s="267"/>
      <c r="J631" s="267"/>
      <c r="K631" s="264"/>
    </row>
    <row r="632">
      <c r="A632" s="264"/>
      <c r="B632" s="303"/>
      <c r="C632" s="303"/>
      <c r="D632" s="304"/>
      <c r="E632" s="304"/>
      <c r="F632" s="304"/>
      <c r="G632" s="267"/>
      <c r="H632" s="267"/>
      <c r="I632" s="267"/>
      <c r="J632" s="267"/>
      <c r="K632" s="264"/>
    </row>
    <row r="633">
      <c r="A633" s="264"/>
      <c r="B633" s="303"/>
      <c r="C633" s="303"/>
      <c r="D633" s="304"/>
      <c r="E633" s="304"/>
      <c r="F633" s="304"/>
      <c r="G633" s="267"/>
      <c r="H633" s="267"/>
      <c r="I633" s="267"/>
      <c r="J633" s="267"/>
      <c r="K633" s="264"/>
    </row>
    <row r="634">
      <c r="A634" s="264"/>
      <c r="B634" s="303"/>
      <c r="C634" s="303"/>
      <c r="D634" s="304"/>
      <c r="E634" s="304"/>
      <c r="F634" s="304"/>
      <c r="G634" s="267"/>
      <c r="H634" s="267"/>
      <c r="I634" s="267"/>
      <c r="J634" s="267"/>
      <c r="K634" s="264"/>
    </row>
    <row r="635">
      <c r="A635" s="264"/>
      <c r="B635" s="303"/>
      <c r="C635" s="303"/>
      <c r="D635" s="304"/>
      <c r="E635" s="304"/>
      <c r="F635" s="304"/>
      <c r="G635" s="267"/>
      <c r="H635" s="267"/>
      <c r="I635" s="267"/>
      <c r="J635" s="267"/>
      <c r="K635" s="264"/>
    </row>
    <row r="636">
      <c r="A636" s="264"/>
      <c r="B636" s="303"/>
      <c r="C636" s="303"/>
      <c r="D636" s="304"/>
      <c r="E636" s="304"/>
      <c r="F636" s="304"/>
      <c r="G636" s="267"/>
      <c r="H636" s="267"/>
      <c r="I636" s="267"/>
      <c r="J636" s="267"/>
      <c r="K636" s="264"/>
    </row>
    <row r="637">
      <c r="A637" s="264"/>
      <c r="B637" s="303"/>
      <c r="C637" s="303"/>
      <c r="D637" s="304"/>
      <c r="E637" s="304"/>
      <c r="F637" s="304"/>
      <c r="G637" s="267"/>
      <c r="H637" s="267"/>
      <c r="I637" s="267"/>
      <c r="J637" s="267"/>
      <c r="K637" s="264"/>
    </row>
    <row r="638">
      <c r="A638" s="264"/>
      <c r="B638" s="303"/>
      <c r="C638" s="303"/>
      <c r="D638" s="304"/>
      <c r="E638" s="304"/>
      <c r="F638" s="304"/>
      <c r="G638" s="267"/>
      <c r="H638" s="267"/>
      <c r="I638" s="267"/>
      <c r="J638" s="267"/>
      <c r="K638" s="264"/>
    </row>
    <row r="639">
      <c r="A639" s="264"/>
      <c r="B639" s="303"/>
      <c r="C639" s="303"/>
      <c r="D639" s="304"/>
      <c r="E639" s="304"/>
      <c r="F639" s="304"/>
      <c r="G639" s="267"/>
      <c r="H639" s="267"/>
      <c r="I639" s="267"/>
      <c r="J639" s="267"/>
      <c r="K639" s="264"/>
    </row>
    <row r="640">
      <c r="A640" s="264"/>
      <c r="B640" s="303"/>
      <c r="C640" s="303"/>
      <c r="D640" s="304"/>
      <c r="E640" s="304"/>
      <c r="F640" s="304"/>
      <c r="G640" s="267"/>
      <c r="H640" s="267"/>
      <c r="I640" s="267"/>
      <c r="J640" s="267"/>
      <c r="K640" s="264"/>
    </row>
    <row r="641">
      <c r="A641" s="264"/>
      <c r="B641" s="303"/>
      <c r="C641" s="303"/>
      <c r="D641" s="304"/>
      <c r="E641" s="304"/>
      <c r="F641" s="304"/>
      <c r="G641" s="267"/>
      <c r="H641" s="267"/>
      <c r="I641" s="267"/>
      <c r="J641" s="267"/>
      <c r="K641" s="264"/>
    </row>
    <row r="642">
      <c r="A642" s="264"/>
      <c r="B642" s="303"/>
      <c r="C642" s="303"/>
      <c r="D642" s="304"/>
      <c r="E642" s="304"/>
      <c r="F642" s="304"/>
      <c r="G642" s="267"/>
      <c r="H642" s="267"/>
      <c r="I642" s="267"/>
      <c r="J642" s="267"/>
      <c r="K642" s="264"/>
    </row>
    <row r="643">
      <c r="A643" s="264"/>
      <c r="B643" s="303"/>
      <c r="C643" s="303"/>
      <c r="D643" s="304"/>
      <c r="E643" s="304"/>
      <c r="F643" s="304"/>
      <c r="G643" s="267"/>
      <c r="H643" s="267"/>
      <c r="I643" s="267"/>
      <c r="J643" s="267"/>
      <c r="K643" s="264"/>
    </row>
    <row r="644">
      <c r="A644" s="264"/>
      <c r="B644" s="303"/>
      <c r="C644" s="303"/>
      <c r="D644" s="304"/>
      <c r="E644" s="304"/>
      <c r="F644" s="304"/>
      <c r="G644" s="267"/>
      <c r="H644" s="267"/>
      <c r="I644" s="267"/>
      <c r="J644" s="267"/>
      <c r="K644" s="264"/>
    </row>
    <row r="645">
      <c r="A645" s="264"/>
      <c r="B645" s="303"/>
      <c r="C645" s="303"/>
      <c r="D645" s="304"/>
      <c r="E645" s="304"/>
      <c r="F645" s="304"/>
      <c r="G645" s="267"/>
      <c r="H645" s="267"/>
      <c r="I645" s="267"/>
      <c r="J645" s="267"/>
      <c r="K645" s="264"/>
    </row>
    <row r="646">
      <c r="A646" s="264"/>
      <c r="B646" s="303"/>
      <c r="C646" s="303"/>
      <c r="D646" s="304"/>
      <c r="E646" s="304"/>
      <c r="F646" s="304"/>
      <c r="G646" s="267"/>
      <c r="H646" s="267"/>
      <c r="I646" s="267"/>
      <c r="J646" s="267"/>
      <c r="K646" s="264"/>
    </row>
    <row r="647">
      <c r="A647" s="264"/>
      <c r="B647" s="303"/>
      <c r="C647" s="303"/>
      <c r="D647" s="304"/>
      <c r="E647" s="304"/>
      <c r="F647" s="304"/>
      <c r="G647" s="267"/>
      <c r="H647" s="267"/>
      <c r="I647" s="267"/>
      <c r="J647" s="267"/>
      <c r="K647" s="264"/>
    </row>
    <row r="648">
      <c r="A648" s="264"/>
      <c r="B648" s="303"/>
      <c r="C648" s="303"/>
      <c r="D648" s="304"/>
      <c r="E648" s="304"/>
      <c r="F648" s="304"/>
      <c r="G648" s="267"/>
      <c r="H648" s="267"/>
      <c r="I648" s="267"/>
      <c r="J648" s="267"/>
      <c r="K648" s="264"/>
    </row>
    <row r="649">
      <c r="A649" s="264"/>
      <c r="B649" s="303"/>
      <c r="C649" s="303"/>
      <c r="D649" s="304"/>
      <c r="E649" s="304"/>
      <c r="F649" s="304"/>
      <c r="G649" s="267"/>
      <c r="H649" s="267"/>
      <c r="I649" s="267"/>
      <c r="J649" s="267"/>
      <c r="K649" s="264"/>
    </row>
    <row r="650">
      <c r="A650" s="264"/>
      <c r="B650" s="303"/>
      <c r="C650" s="303"/>
      <c r="D650" s="304"/>
      <c r="E650" s="304"/>
      <c r="F650" s="304"/>
      <c r="G650" s="267"/>
      <c r="H650" s="267"/>
      <c r="I650" s="267"/>
      <c r="J650" s="267"/>
      <c r="K650" s="264"/>
    </row>
    <row r="651">
      <c r="A651" s="264"/>
      <c r="B651" s="303"/>
      <c r="C651" s="303"/>
      <c r="D651" s="304"/>
      <c r="E651" s="304"/>
      <c r="F651" s="304"/>
      <c r="G651" s="267"/>
      <c r="H651" s="267"/>
      <c r="I651" s="267"/>
      <c r="J651" s="267"/>
      <c r="K651" s="264"/>
    </row>
    <row r="652">
      <c r="A652" s="264"/>
      <c r="B652" s="303"/>
      <c r="C652" s="303"/>
      <c r="D652" s="304"/>
      <c r="E652" s="304"/>
      <c r="F652" s="304"/>
      <c r="G652" s="267"/>
      <c r="H652" s="267"/>
      <c r="I652" s="267"/>
      <c r="J652" s="267"/>
      <c r="K652" s="264"/>
    </row>
    <row r="653">
      <c r="A653" s="264"/>
      <c r="B653" s="303"/>
      <c r="C653" s="303"/>
      <c r="D653" s="304"/>
      <c r="E653" s="304"/>
      <c r="F653" s="304"/>
      <c r="G653" s="267"/>
      <c r="H653" s="267"/>
      <c r="I653" s="267"/>
      <c r="J653" s="267"/>
      <c r="K653" s="264"/>
    </row>
    <row r="654">
      <c r="A654" s="264"/>
      <c r="B654" s="303"/>
      <c r="C654" s="303"/>
      <c r="D654" s="304"/>
      <c r="E654" s="304"/>
      <c r="F654" s="304"/>
      <c r="G654" s="267"/>
      <c r="H654" s="267"/>
      <c r="I654" s="267"/>
      <c r="J654" s="267"/>
      <c r="K654" s="264"/>
    </row>
    <row r="655">
      <c r="A655" s="264"/>
      <c r="B655" s="303"/>
      <c r="C655" s="303"/>
      <c r="D655" s="304"/>
      <c r="E655" s="304"/>
      <c r="F655" s="304"/>
      <c r="G655" s="267"/>
      <c r="H655" s="267"/>
      <c r="I655" s="267"/>
      <c r="J655" s="267"/>
      <c r="K655" s="264"/>
    </row>
    <row r="656">
      <c r="A656" s="264"/>
      <c r="B656" s="303"/>
      <c r="C656" s="303"/>
      <c r="D656" s="304"/>
      <c r="E656" s="304"/>
      <c r="F656" s="304"/>
      <c r="G656" s="267"/>
      <c r="H656" s="267"/>
      <c r="I656" s="267"/>
      <c r="J656" s="267"/>
      <c r="K656" s="264"/>
    </row>
    <row r="657">
      <c r="A657" s="264"/>
      <c r="B657" s="303"/>
      <c r="C657" s="303"/>
      <c r="D657" s="304"/>
      <c r="E657" s="304"/>
      <c r="F657" s="304"/>
      <c r="G657" s="267"/>
      <c r="H657" s="267"/>
      <c r="I657" s="267"/>
      <c r="J657" s="267"/>
      <c r="K657" s="264"/>
    </row>
    <row r="658">
      <c r="A658" s="264"/>
      <c r="B658" s="303"/>
      <c r="C658" s="303"/>
      <c r="D658" s="304"/>
      <c r="E658" s="304"/>
      <c r="F658" s="304"/>
      <c r="G658" s="267"/>
      <c r="H658" s="267"/>
      <c r="I658" s="267"/>
      <c r="J658" s="267"/>
      <c r="K658" s="264"/>
    </row>
    <row r="659">
      <c r="A659" s="264"/>
      <c r="B659" s="303"/>
      <c r="C659" s="303"/>
      <c r="D659" s="304"/>
      <c r="E659" s="304"/>
      <c r="F659" s="304"/>
      <c r="G659" s="267"/>
      <c r="H659" s="267"/>
      <c r="I659" s="267"/>
      <c r="J659" s="267"/>
      <c r="K659" s="264"/>
    </row>
    <row r="660">
      <c r="A660" s="264"/>
      <c r="B660" s="303"/>
      <c r="C660" s="303"/>
      <c r="D660" s="304"/>
      <c r="E660" s="304"/>
      <c r="F660" s="304"/>
      <c r="G660" s="267"/>
      <c r="H660" s="267"/>
      <c r="I660" s="267"/>
      <c r="J660" s="267"/>
      <c r="K660" s="264"/>
    </row>
    <row r="661">
      <c r="A661" s="264"/>
      <c r="B661" s="303"/>
      <c r="C661" s="303"/>
      <c r="D661" s="304"/>
      <c r="E661" s="304"/>
      <c r="F661" s="304"/>
      <c r="G661" s="267"/>
      <c r="H661" s="267"/>
      <c r="I661" s="267"/>
      <c r="J661" s="267"/>
      <c r="K661" s="264"/>
    </row>
    <row r="662">
      <c r="A662" s="264"/>
      <c r="B662" s="303"/>
      <c r="C662" s="303"/>
      <c r="D662" s="304"/>
      <c r="E662" s="304"/>
      <c r="F662" s="304"/>
      <c r="G662" s="267"/>
      <c r="H662" s="267"/>
      <c r="I662" s="267"/>
      <c r="J662" s="267"/>
      <c r="K662" s="264"/>
    </row>
    <row r="663">
      <c r="A663" s="264"/>
      <c r="B663" s="303"/>
      <c r="C663" s="303"/>
      <c r="D663" s="304"/>
      <c r="E663" s="304"/>
      <c r="F663" s="304"/>
      <c r="G663" s="267"/>
      <c r="H663" s="267"/>
      <c r="I663" s="267"/>
      <c r="J663" s="267"/>
      <c r="K663" s="264"/>
    </row>
    <row r="664">
      <c r="A664" s="264"/>
      <c r="B664" s="303"/>
      <c r="C664" s="303"/>
      <c r="D664" s="304"/>
      <c r="E664" s="304"/>
      <c r="F664" s="304"/>
      <c r="G664" s="267"/>
      <c r="H664" s="267"/>
      <c r="I664" s="267"/>
      <c r="J664" s="267"/>
      <c r="K664" s="264"/>
    </row>
    <row r="665">
      <c r="A665" s="264"/>
      <c r="B665" s="303"/>
      <c r="C665" s="303"/>
      <c r="D665" s="304"/>
      <c r="E665" s="304"/>
      <c r="F665" s="304"/>
      <c r="G665" s="267"/>
      <c r="H665" s="267"/>
      <c r="I665" s="267"/>
      <c r="J665" s="267"/>
      <c r="K665" s="264"/>
    </row>
    <row r="666">
      <c r="A666" s="264"/>
      <c r="B666" s="303"/>
      <c r="C666" s="303"/>
      <c r="D666" s="304"/>
      <c r="E666" s="304"/>
      <c r="F666" s="304"/>
      <c r="G666" s="267"/>
      <c r="H666" s="267"/>
      <c r="I666" s="267"/>
      <c r="J666" s="267"/>
      <c r="K666" s="264"/>
    </row>
    <row r="667">
      <c r="A667" s="264"/>
      <c r="B667" s="303"/>
      <c r="C667" s="303"/>
      <c r="D667" s="304"/>
      <c r="E667" s="304"/>
      <c r="F667" s="304"/>
      <c r="G667" s="267"/>
      <c r="H667" s="267"/>
      <c r="I667" s="267"/>
      <c r="J667" s="267"/>
      <c r="K667" s="264"/>
    </row>
    <row r="668">
      <c r="A668" s="264"/>
      <c r="B668" s="303"/>
      <c r="C668" s="303"/>
      <c r="D668" s="304"/>
      <c r="E668" s="304"/>
      <c r="F668" s="304"/>
      <c r="G668" s="267"/>
      <c r="H668" s="267"/>
      <c r="I668" s="267"/>
      <c r="J668" s="267"/>
      <c r="K668" s="264"/>
    </row>
    <row r="669">
      <c r="A669" s="264"/>
      <c r="B669" s="303"/>
      <c r="C669" s="303"/>
      <c r="D669" s="304"/>
      <c r="E669" s="304"/>
      <c r="F669" s="304"/>
      <c r="G669" s="267"/>
      <c r="H669" s="267"/>
      <c r="I669" s="267"/>
      <c r="J669" s="267"/>
      <c r="K669" s="264"/>
    </row>
    <row r="670">
      <c r="A670" s="264"/>
      <c r="B670" s="303"/>
      <c r="C670" s="303"/>
      <c r="D670" s="304"/>
      <c r="E670" s="304"/>
      <c r="F670" s="304"/>
      <c r="G670" s="267"/>
      <c r="H670" s="267"/>
      <c r="I670" s="267"/>
      <c r="J670" s="267"/>
      <c r="K670" s="264"/>
    </row>
    <row r="671">
      <c r="A671" s="264"/>
      <c r="B671" s="303"/>
      <c r="C671" s="303"/>
      <c r="D671" s="304"/>
      <c r="E671" s="304"/>
      <c r="F671" s="304"/>
      <c r="G671" s="267"/>
      <c r="H671" s="267"/>
      <c r="I671" s="267"/>
      <c r="J671" s="267"/>
      <c r="K671" s="264"/>
    </row>
    <row r="672">
      <c r="A672" s="264"/>
      <c r="B672" s="303"/>
      <c r="C672" s="303"/>
      <c r="D672" s="304"/>
      <c r="E672" s="304"/>
      <c r="F672" s="304"/>
      <c r="G672" s="267"/>
      <c r="H672" s="267"/>
      <c r="I672" s="267"/>
      <c r="J672" s="267"/>
      <c r="K672" s="264"/>
    </row>
    <row r="673">
      <c r="A673" s="264"/>
      <c r="B673" s="303"/>
      <c r="C673" s="303"/>
      <c r="D673" s="304"/>
      <c r="E673" s="304"/>
      <c r="F673" s="304"/>
      <c r="G673" s="267"/>
      <c r="H673" s="267"/>
      <c r="I673" s="267"/>
      <c r="J673" s="267"/>
      <c r="K673" s="264"/>
    </row>
    <row r="674">
      <c r="A674" s="264"/>
      <c r="B674" s="303"/>
      <c r="C674" s="303"/>
      <c r="D674" s="304"/>
      <c r="E674" s="304"/>
      <c r="F674" s="304"/>
      <c r="G674" s="267"/>
      <c r="H674" s="267"/>
      <c r="I674" s="267"/>
      <c r="J674" s="267"/>
      <c r="K674" s="264"/>
    </row>
    <row r="675">
      <c r="A675" s="264"/>
      <c r="B675" s="303"/>
      <c r="C675" s="303"/>
      <c r="D675" s="304"/>
      <c r="E675" s="304"/>
      <c r="F675" s="304"/>
      <c r="G675" s="267"/>
      <c r="H675" s="267"/>
      <c r="I675" s="267"/>
      <c r="J675" s="267"/>
      <c r="K675" s="264"/>
    </row>
    <row r="676">
      <c r="A676" s="264"/>
      <c r="B676" s="303"/>
      <c r="C676" s="303"/>
      <c r="D676" s="304"/>
      <c r="E676" s="304"/>
      <c r="F676" s="304"/>
      <c r="G676" s="267"/>
      <c r="H676" s="267"/>
      <c r="I676" s="267"/>
      <c r="J676" s="267"/>
      <c r="K676" s="264"/>
    </row>
    <row r="677">
      <c r="A677" s="264"/>
      <c r="B677" s="303"/>
      <c r="C677" s="303"/>
      <c r="D677" s="304"/>
      <c r="E677" s="304"/>
      <c r="F677" s="304"/>
      <c r="G677" s="267"/>
      <c r="H677" s="267"/>
      <c r="I677" s="267"/>
      <c r="J677" s="267"/>
      <c r="K677" s="264"/>
    </row>
    <row r="678">
      <c r="A678" s="264"/>
      <c r="B678" s="303"/>
      <c r="C678" s="303"/>
      <c r="D678" s="304"/>
      <c r="E678" s="304"/>
      <c r="F678" s="304"/>
      <c r="G678" s="267"/>
      <c r="H678" s="267"/>
      <c r="I678" s="267"/>
      <c r="J678" s="267"/>
      <c r="K678" s="264"/>
    </row>
    <row r="679">
      <c r="A679" s="264"/>
      <c r="B679" s="303"/>
      <c r="C679" s="303"/>
      <c r="D679" s="304"/>
      <c r="E679" s="304"/>
      <c r="F679" s="304"/>
      <c r="G679" s="267"/>
      <c r="H679" s="267"/>
      <c r="I679" s="267"/>
      <c r="J679" s="267"/>
      <c r="K679" s="264"/>
    </row>
    <row r="680">
      <c r="A680" s="264"/>
      <c r="B680" s="303"/>
      <c r="C680" s="303"/>
      <c r="D680" s="304"/>
      <c r="E680" s="304"/>
      <c r="F680" s="304"/>
      <c r="G680" s="267"/>
      <c r="H680" s="267"/>
      <c r="I680" s="267"/>
      <c r="J680" s="267"/>
      <c r="K680" s="264"/>
    </row>
    <row r="681">
      <c r="A681" s="264"/>
      <c r="B681" s="303"/>
      <c r="C681" s="303"/>
      <c r="D681" s="304"/>
      <c r="E681" s="304"/>
      <c r="F681" s="304"/>
      <c r="G681" s="267"/>
      <c r="H681" s="267"/>
      <c r="I681" s="267"/>
      <c r="J681" s="267"/>
      <c r="K681" s="264"/>
    </row>
    <row r="682">
      <c r="A682" s="264"/>
      <c r="B682" s="303"/>
      <c r="C682" s="303"/>
      <c r="D682" s="304"/>
      <c r="E682" s="304"/>
      <c r="F682" s="304"/>
      <c r="G682" s="267"/>
      <c r="H682" s="267"/>
      <c r="I682" s="267"/>
      <c r="J682" s="267"/>
      <c r="K682" s="264"/>
    </row>
    <row r="683">
      <c r="A683" s="264"/>
      <c r="B683" s="303"/>
      <c r="C683" s="303"/>
      <c r="D683" s="304"/>
      <c r="E683" s="304"/>
      <c r="F683" s="304"/>
      <c r="G683" s="267"/>
      <c r="H683" s="267"/>
      <c r="I683" s="267"/>
      <c r="J683" s="267"/>
      <c r="K683" s="264"/>
    </row>
    <row r="684">
      <c r="A684" s="264"/>
      <c r="B684" s="303"/>
      <c r="C684" s="303"/>
      <c r="D684" s="304"/>
      <c r="E684" s="304"/>
      <c r="F684" s="304"/>
      <c r="G684" s="267"/>
      <c r="H684" s="267"/>
      <c r="I684" s="267"/>
      <c r="J684" s="267"/>
      <c r="K684" s="264"/>
    </row>
    <row r="685">
      <c r="A685" s="264"/>
      <c r="B685" s="303"/>
      <c r="C685" s="303"/>
      <c r="D685" s="304"/>
      <c r="E685" s="304"/>
      <c r="F685" s="304"/>
      <c r="G685" s="267"/>
      <c r="H685" s="267"/>
      <c r="I685" s="267"/>
      <c r="J685" s="267"/>
      <c r="K685" s="264"/>
    </row>
    <row r="686">
      <c r="A686" s="264"/>
      <c r="B686" s="303"/>
      <c r="C686" s="303"/>
      <c r="D686" s="304"/>
      <c r="E686" s="304"/>
      <c r="F686" s="304"/>
      <c r="G686" s="267"/>
      <c r="H686" s="267"/>
      <c r="I686" s="267"/>
      <c r="J686" s="267"/>
      <c r="K686" s="264"/>
    </row>
    <row r="687">
      <c r="A687" s="264"/>
      <c r="B687" s="303"/>
      <c r="C687" s="303"/>
      <c r="D687" s="304"/>
      <c r="E687" s="304"/>
      <c r="F687" s="304"/>
      <c r="G687" s="267"/>
      <c r="H687" s="267"/>
      <c r="I687" s="267"/>
      <c r="J687" s="267"/>
      <c r="K687" s="264"/>
    </row>
    <row r="688">
      <c r="A688" s="264"/>
      <c r="B688" s="303"/>
      <c r="C688" s="303"/>
      <c r="D688" s="304"/>
      <c r="E688" s="304"/>
      <c r="F688" s="304"/>
      <c r="G688" s="267"/>
      <c r="H688" s="267"/>
      <c r="I688" s="267"/>
      <c r="J688" s="267"/>
      <c r="K688" s="264"/>
    </row>
    <row r="689">
      <c r="A689" s="264"/>
      <c r="B689" s="303"/>
      <c r="C689" s="303"/>
      <c r="D689" s="304"/>
      <c r="E689" s="304"/>
      <c r="F689" s="304"/>
      <c r="G689" s="267"/>
      <c r="H689" s="267"/>
      <c r="I689" s="267"/>
      <c r="J689" s="267"/>
      <c r="K689" s="264"/>
    </row>
    <row r="690">
      <c r="A690" s="264"/>
      <c r="B690" s="303"/>
      <c r="C690" s="303"/>
      <c r="D690" s="304"/>
      <c r="E690" s="304"/>
      <c r="F690" s="304"/>
      <c r="G690" s="267"/>
      <c r="H690" s="267"/>
      <c r="I690" s="267"/>
      <c r="J690" s="267"/>
      <c r="K690" s="264"/>
    </row>
    <row r="691">
      <c r="A691" s="264"/>
      <c r="B691" s="303"/>
      <c r="C691" s="303"/>
      <c r="D691" s="304"/>
      <c r="E691" s="304"/>
      <c r="F691" s="304"/>
      <c r="G691" s="267"/>
      <c r="H691" s="267"/>
      <c r="I691" s="267"/>
      <c r="J691" s="267"/>
      <c r="K691" s="264"/>
    </row>
    <row r="692">
      <c r="A692" s="264"/>
      <c r="B692" s="303"/>
      <c r="C692" s="303"/>
      <c r="D692" s="304"/>
      <c r="E692" s="304"/>
      <c r="F692" s="304"/>
      <c r="G692" s="267"/>
      <c r="H692" s="267"/>
      <c r="I692" s="267"/>
      <c r="J692" s="267"/>
      <c r="K692" s="264"/>
    </row>
    <row r="693">
      <c r="A693" s="264"/>
      <c r="B693" s="303"/>
      <c r="C693" s="303"/>
      <c r="D693" s="304"/>
      <c r="E693" s="304"/>
      <c r="F693" s="304"/>
      <c r="G693" s="267"/>
      <c r="H693" s="267"/>
      <c r="I693" s="267"/>
      <c r="J693" s="267"/>
      <c r="K693" s="264"/>
    </row>
    <row r="694">
      <c r="A694" s="264"/>
      <c r="B694" s="303"/>
      <c r="C694" s="303"/>
      <c r="D694" s="304"/>
      <c r="E694" s="304"/>
      <c r="F694" s="304"/>
      <c r="G694" s="267"/>
      <c r="H694" s="267"/>
      <c r="I694" s="267"/>
      <c r="J694" s="267"/>
      <c r="K694" s="264"/>
    </row>
    <row r="695">
      <c r="A695" s="264"/>
      <c r="B695" s="303"/>
      <c r="C695" s="303"/>
      <c r="D695" s="304"/>
      <c r="E695" s="304"/>
      <c r="F695" s="304"/>
      <c r="G695" s="267"/>
      <c r="H695" s="267"/>
      <c r="I695" s="267"/>
      <c r="J695" s="267"/>
      <c r="K695" s="264"/>
    </row>
    <row r="696">
      <c r="A696" s="264"/>
      <c r="B696" s="303"/>
      <c r="C696" s="303"/>
      <c r="D696" s="304"/>
      <c r="E696" s="304"/>
      <c r="F696" s="304"/>
      <c r="G696" s="267"/>
      <c r="H696" s="267"/>
      <c r="I696" s="267"/>
      <c r="J696" s="267"/>
      <c r="K696" s="264"/>
    </row>
    <row r="697">
      <c r="A697" s="264"/>
      <c r="B697" s="303"/>
      <c r="C697" s="303"/>
      <c r="D697" s="304"/>
      <c r="E697" s="304"/>
      <c r="F697" s="304"/>
      <c r="G697" s="267"/>
      <c r="H697" s="267"/>
      <c r="I697" s="267"/>
      <c r="J697" s="267"/>
      <c r="K697" s="264"/>
    </row>
    <row r="698">
      <c r="A698" s="264"/>
      <c r="B698" s="303"/>
      <c r="C698" s="303"/>
      <c r="D698" s="304"/>
      <c r="E698" s="304"/>
      <c r="F698" s="304"/>
      <c r="G698" s="267"/>
      <c r="H698" s="267"/>
      <c r="I698" s="267"/>
      <c r="J698" s="267"/>
      <c r="K698" s="264"/>
    </row>
    <row r="699">
      <c r="A699" s="264"/>
      <c r="B699" s="303"/>
      <c r="C699" s="303"/>
      <c r="D699" s="304"/>
      <c r="E699" s="304"/>
      <c r="F699" s="304"/>
      <c r="G699" s="267"/>
      <c r="H699" s="267"/>
      <c r="I699" s="267"/>
      <c r="J699" s="267"/>
      <c r="K699" s="264"/>
    </row>
    <row r="700">
      <c r="A700" s="264"/>
      <c r="B700" s="303"/>
      <c r="C700" s="303"/>
      <c r="D700" s="304"/>
      <c r="E700" s="304"/>
      <c r="F700" s="304"/>
      <c r="G700" s="267"/>
      <c r="H700" s="267"/>
      <c r="I700" s="267"/>
      <c r="J700" s="267"/>
      <c r="K700" s="264"/>
    </row>
    <row r="701">
      <c r="A701" s="264"/>
      <c r="B701" s="303"/>
      <c r="C701" s="303"/>
      <c r="D701" s="304"/>
      <c r="E701" s="304"/>
      <c r="F701" s="304"/>
      <c r="G701" s="267"/>
      <c r="H701" s="267"/>
      <c r="I701" s="267"/>
      <c r="J701" s="267"/>
      <c r="K701" s="264"/>
    </row>
    <row r="702">
      <c r="A702" s="264"/>
      <c r="B702" s="303"/>
      <c r="C702" s="303"/>
      <c r="D702" s="304"/>
      <c r="E702" s="304"/>
      <c r="F702" s="304"/>
      <c r="G702" s="267"/>
      <c r="H702" s="267"/>
      <c r="I702" s="267"/>
      <c r="J702" s="267"/>
      <c r="K702" s="264"/>
    </row>
    <row r="703">
      <c r="A703" s="264"/>
      <c r="B703" s="303"/>
      <c r="C703" s="303"/>
      <c r="D703" s="304"/>
      <c r="E703" s="304"/>
      <c r="F703" s="304"/>
      <c r="G703" s="267"/>
      <c r="H703" s="267"/>
      <c r="I703" s="267"/>
      <c r="J703" s="267"/>
      <c r="K703" s="264"/>
    </row>
    <row r="704">
      <c r="A704" s="264"/>
      <c r="B704" s="303"/>
      <c r="C704" s="303"/>
      <c r="D704" s="304"/>
      <c r="E704" s="304"/>
      <c r="F704" s="304"/>
      <c r="G704" s="267"/>
      <c r="H704" s="267"/>
      <c r="I704" s="267"/>
      <c r="J704" s="267"/>
      <c r="K704" s="264"/>
    </row>
    <row r="705">
      <c r="A705" s="264"/>
      <c r="B705" s="303"/>
      <c r="C705" s="303"/>
      <c r="D705" s="304"/>
      <c r="E705" s="304"/>
      <c r="F705" s="304"/>
      <c r="G705" s="267"/>
      <c r="H705" s="267"/>
      <c r="I705" s="267"/>
      <c r="J705" s="267"/>
      <c r="K705" s="264"/>
    </row>
    <row r="706">
      <c r="A706" s="264"/>
      <c r="B706" s="303"/>
      <c r="C706" s="303"/>
      <c r="D706" s="304"/>
      <c r="E706" s="304"/>
      <c r="F706" s="304"/>
      <c r="G706" s="267"/>
      <c r="H706" s="267"/>
      <c r="I706" s="267"/>
      <c r="J706" s="267"/>
      <c r="K706" s="264"/>
    </row>
    <row r="707">
      <c r="A707" s="264"/>
      <c r="B707" s="303"/>
      <c r="C707" s="303"/>
      <c r="D707" s="304"/>
      <c r="E707" s="304"/>
      <c r="F707" s="304"/>
      <c r="G707" s="267"/>
      <c r="H707" s="267"/>
      <c r="I707" s="267"/>
      <c r="J707" s="267"/>
      <c r="K707" s="264"/>
    </row>
    <row r="708">
      <c r="A708" s="264"/>
      <c r="B708" s="303"/>
      <c r="C708" s="303"/>
      <c r="D708" s="304"/>
      <c r="E708" s="304"/>
      <c r="F708" s="304"/>
      <c r="G708" s="267"/>
      <c r="H708" s="267"/>
      <c r="I708" s="267"/>
      <c r="J708" s="267"/>
      <c r="K708" s="264"/>
    </row>
    <row r="709">
      <c r="A709" s="264"/>
      <c r="B709" s="303"/>
      <c r="C709" s="303"/>
      <c r="D709" s="304"/>
      <c r="E709" s="304"/>
      <c r="F709" s="304"/>
      <c r="G709" s="267"/>
      <c r="H709" s="267"/>
      <c r="I709" s="267"/>
      <c r="J709" s="267"/>
      <c r="K709" s="264"/>
    </row>
    <row r="710">
      <c r="A710" s="264"/>
      <c r="B710" s="303"/>
      <c r="C710" s="303"/>
      <c r="D710" s="304"/>
      <c r="E710" s="304"/>
      <c r="F710" s="304"/>
      <c r="G710" s="267"/>
      <c r="H710" s="267"/>
      <c r="I710" s="267"/>
      <c r="J710" s="267"/>
      <c r="K710" s="264"/>
    </row>
    <row r="711">
      <c r="A711" s="264"/>
      <c r="B711" s="303"/>
      <c r="C711" s="303"/>
      <c r="D711" s="304"/>
      <c r="E711" s="304"/>
      <c r="F711" s="304"/>
      <c r="G711" s="267"/>
      <c r="H711" s="267"/>
      <c r="I711" s="267"/>
      <c r="J711" s="267"/>
      <c r="K711" s="264"/>
    </row>
    <row r="712">
      <c r="A712" s="264"/>
      <c r="B712" s="303"/>
      <c r="C712" s="303"/>
      <c r="D712" s="304"/>
      <c r="E712" s="304"/>
      <c r="F712" s="304"/>
      <c r="G712" s="267"/>
      <c r="H712" s="267"/>
      <c r="I712" s="267"/>
      <c r="J712" s="267"/>
      <c r="K712" s="264"/>
    </row>
    <row r="713">
      <c r="A713" s="264"/>
      <c r="B713" s="303"/>
      <c r="C713" s="303"/>
      <c r="D713" s="304"/>
      <c r="E713" s="304"/>
      <c r="F713" s="304"/>
      <c r="G713" s="267"/>
      <c r="H713" s="267"/>
      <c r="I713" s="267"/>
      <c r="J713" s="267"/>
      <c r="K713" s="264"/>
    </row>
    <row r="714">
      <c r="A714" s="264"/>
      <c r="B714" s="303"/>
      <c r="C714" s="303"/>
      <c r="D714" s="304"/>
      <c r="E714" s="304"/>
      <c r="F714" s="304"/>
      <c r="G714" s="267"/>
      <c r="H714" s="267"/>
      <c r="I714" s="267"/>
      <c r="J714" s="267"/>
      <c r="K714" s="264"/>
    </row>
    <row r="715">
      <c r="A715" s="264"/>
      <c r="B715" s="303"/>
      <c r="C715" s="303"/>
      <c r="D715" s="304"/>
      <c r="E715" s="304"/>
      <c r="F715" s="304"/>
      <c r="G715" s="267"/>
      <c r="H715" s="267"/>
      <c r="I715" s="267"/>
      <c r="J715" s="267"/>
      <c r="K715" s="264"/>
    </row>
    <row r="716">
      <c r="A716" s="264"/>
      <c r="B716" s="303"/>
      <c r="C716" s="303"/>
      <c r="D716" s="304"/>
      <c r="E716" s="304"/>
      <c r="F716" s="304"/>
      <c r="G716" s="267"/>
      <c r="H716" s="267"/>
      <c r="I716" s="267"/>
      <c r="J716" s="267"/>
      <c r="K716" s="264"/>
    </row>
    <row r="717">
      <c r="A717" s="264"/>
      <c r="B717" s="303"/>
      <c r="C717" s="303"/>
      <c r="D717" s="304"/>
      <c r="E717" s="304"/>
      <c r="F717" s="304"/>
      <c r="G717" s="267"/>
      <c r="H717" s="267"/>
      <c r="I717" s="267"/>
      <c r="J717" s="267"/>
      <c r="K717" s="264"/>
    </row>
    <row r="718">
      <c r="A718" s="264"/>
      <c r="B718" s="303"/>
      <c r="C718" s="303"/>
      <c r="D718" s="304"/>
      <c r="E718" s="304"/>
      <c r="F718" s="304"/>
      <c r="G718" s="267"/>
      <c r="H718" s="267"/>
      <c r="I718" s="267"/>
      <c r="J718" s="267"/>
      <c r="K718" s="264"/>
    </row>
    <row r="719">
      <c r="A719" s="264"/>
      <c r="B719" s="303"/>
      <c r="C719" s="303"/>
      <c r="D719" s="304"/>
      <c r="E719" s="304"/>
      <c r="F719" s="304"/>
      <c r="G719" s="267"/>
      <c r="H719" s="267"/>
      <c r="I719" s="267"/>
      <c r="J719" s="267"/>
      <c r="K719" s="264"/>
    </row>
    <row r="720">
      <c r="A720" s="264"/>
      <c r="B720" s="303"/>
      <c r="C720" s="303"/>
      <c r="D720" s="304"/>
      <c r="E720" s="304"/>
      <c r="F720" s="304"/>
      <c r="G720" s="267"/>
      <c r="H720" s="267"/>
      <c r="I720" s="267"/>
      <c r="J720" s="267"/>
      <c r="K720" s="264"/>
    </row>
    <row r="721">
      <c r="A721" s="264"/>
      <c r="B721" s="303"/>
      <c r="C721" s="303"/>
      <c r="D721" s="304"/>
      <c r="E721" s="304"/>
      <c r="F721" s="304"/>
      <c r="G721" s="267"/>
      <c r="H721" s="267"/>
      <c r="I721" s="267"/>
      <c r="J721" s="267"/>
      <c r="K721" s="264"/>
    </row>
    <row r="722">
      <c r="A722" s="264"/>
      <c r="B722" s="303"/>
      <c r="C722" s="303"/>
      <c r="D722" s="304"/>
      <c r="E722" s="304"/>
      <c r="F722" s="304"/>
      <c r="G722" s="267"/>
      <c r="H722" s="267"/>
      <c r="I722" s="267"/>
      <c r="J722" s="267"/>
      <c r="K722" s="264"/>
    </row>
    <row r="723">
      <c r="A723" s="264"/>
      <c r="B723" s="303"/>
      <c r="C723" s="303"/>
      <c r="D723" s="304"/>
      <c r="E723" s="304"/>
      <c r="F723" s="304"/>
      <c r="G723" s="267"/>
      <c r="H723" s="267"/>
      <c r="I723" s="267"/>
      <c r="J723" s="267"/>
      <c r="K723" s="264"/>
    </row>
    <row r="724">
      <c r="A724" s="264"/>
      <c r="B724" s="303"/>
      <c r="C724" s="303"/>
      <c r="D724" s="304"/>
      <c r="E724" s="304"/>
      <c r="F724" s="304"/>
      <c r="G724" s="267"/>
      <c r="H724" s="267"/>
      <c r="I724" s="267"/>
      <c r="J724" s="267"/>
      <c r="K724" s="264"/>
    </row>
    <row r="725">
      <c r="A725" s="264"/>
      <c r="B725" s="303"/>
      <c r="C725" s="303"/>
      <c r="D725" s="304"/>
      <c r="E725" s="304"/>
      <c r="F725" s="304"/>
      <c r="G725" s="267"/>
      <c r="H725" s="267"/>
      <c r="I725" s="267"/>
      <c r="J725" s="267"/>
      <c r="K725" s="264"/>
    </row>
    <row r="726">
      <c r="A726" s="264"/>
      <c r="B726" s="303"/>
      <c r="C726" s="303"/>
      <c r="D726" s="304"/>
      <c r="E726" s="304"/>
      <c r="F726" s="304"/>
      <c r="G726" s="267"/>
      <c r="H726" s="267"/>
      <c r="I726" s="267"/>
      <c r="J726" s="267"/>
      <c r="K726" s="264"/>
    </row>
    <row r="727">
      <c r="A727" s="264"/>
      <c r="B727" s="303"/>
      <c r="C727" s="303"/>
      <c r="D727" s="304"/>
      <c r="E727" s="304"/>
      <c r="F727" s="304"/>
      <c r="G727" s="267"/>
      <c r="H727" s="267"/>
      <c r="I727" s="267"/>
      <c r="J727" s="267"/>
      <c r="K727" s="264"/>
    </row>
    <row r="728">
      <c r="A728" s="264"/>
      <c r="B728" s="303"/>
      <c r="C728" s="303"/>
      <c r="D728" s="304"/>
      <c r="E728" s="304"/>
      <c r="F728" s="304"/>
      <c r="G728" s="267"/>
      <c r="H728" s="267"/>
      <c r="I728" s="267"/>
      <c r="J728" s="267"/>
      <c r="K728" s="264"/>
    </row>
    <row r="729">
      <c r="A729" s="264"/>
      <c r="B729" s="303"/>
      <c r="C729" s="303"/>
      <c r="D729" s="304"/>
      <c r="E729" s="304"/>
      <c r="F729" s="304"/>
      <c r="G729" s="267"/>
      <c r="H729" s="267"/>
      <c r="I729" s="267"/>
      <c r="J729" s="267"/>
      <c r="K729" s="264"/>
    </row>
    <row r="730">
      <c r="A730" s="264"/>
      <c r="B730" s="303"/>
      <c r="C730" s="303"/>
      <c r="D730" s="304"/>
      <c r="E730" s="304"/>
      <c r="F730" s="304"/>
      <c r="G730" s="267"/>
      <c r="H730" s="267"/>
      <c r="I730" s="267"/>
      <c r="J730" s="267"/>
      <c r="K730" s="264"/>
    </row>
    <row r="731">
      <c r="A731" s="264"/>
      <c r="B731" s="303"/>
      <c r="C731" s="303"/>
      <c r="D731" s="304"/>
      <c r="E731" s="304"/>
      <c r="F731" s="304"/>
      <c r="G731" s="267"/>
      <c r="H731" s="267"/>
      <c r="I731" s="267"/>
      <c r="J731" s="267"/>
      <c r="K731" s="264"/>
    </row>
    <row r="732">
      <c r="A732" s="264"/>
      <c r="B732" s="303"/>
      <c r="C732" s="303"/>
      <c r="D732" s="304"/>
      <c r="E732" s="304"/>
      <c r="F732" s="304"/>
      <c r="G732" s="267"/>
      <c r="H732" s="267"/>
      <c r="I732" s="267"/>
      <c r="J732" s="267"/>
      <c r="K732" s="264"/>
    </row>
    <row r="733">
      <c r="A733" s="264"/>
      <c r="B733" s="303"/>
      <c r="C733" s="303"/>
      <c r="D733" s="304"/>
      <c r="E733" s="304"/>
      <c r="F733" s="304"/>
      <c r="G733" s="267"/>
      <c r="H733" s="267"/>
      <c r="I733" s="267"/>
      <c r="J733" s="267"/>
      <c r="K733" s="264"/>
    </row>
    <row r="734">
      <c r="A734" s="264"/>
      <c r="B734" s="303"/>
      <c r="C734" s="303"/>
      <c r="D734" s="304"/>
      <c r="E734" s="304"/>
      <c r="F734" s="304"/>
      <c r="G734" s="267"/>
      <c r="H734" s="267"/>
      <c r="I734" s="267"/>
      <c r="J734" s="267"/>
      <c r="K734" s="264"/>
    </row>
    <row r="735">
      <c r="A735" s="264"/>
      <c r="B735" s="303"/>
      <c r="C735" s="303"/>
      <c r="D735" s="304"/>
      <c r="E735" s="304"/>
      <c r="F735" s="304"/>
      <c r="G735" s="267"/>
      <c r="H735" s="267"/>
      <c r="I735" s="267"/>
      <c r="J735" s="267"/>
      <c r="K735" s="264"/>
    </row>
    <row r="736">
      <c r="A736" s="264"/>
      <c r="B736" s="303"/>
      <c r="C736" s="303"/>
      <c r="D736" s="304"/>
      <c r="E736" s="304"/>
      <c r="F736" s="304"/>
      <c r="G736" s="267"/>
      <c r="H736" s="267"/>
      <c r="I736" s="267"/>
      <c r="J736" s="267"/>
      <c r="K736" s="264"/>
    </row>
    <row r="737">
      <c r="A737" s="264"/>
      <c r="B737" s="303"/>
      <c r="C737" s="303"/>
      <c r="D737" s="304"/>
      <c r="E737" s="304"/>
      <c r="F737" s="304"/>
      <c r="G737" s="267"/>
      <c r="H737" s="267"/>
      <c r="I737" s="267"/>
      <c r="J737" s="267"/>
      <c r="K737" s="264"/>
    </row>
    <row r="738">
      <c r="A738" s="264"/>
      <c r="B738" s="303"/>
      <c r="C738" s="303"/>
      <c r="D738" s="304"/>
      <c r="E738" s="304"/>
      <c r="F738" s="304"/>
      <c r="G738" s="267"/>
      <c r="H738" s="267"/>
      <c r="I738" s="267"/>
      <c r="J738" s="267"/>
      <c r="K738" s="264"/>
    </row>
    <row r="739">
      <c r="A739" s="264"/>
      <c r="B739" s="303"/>
      <c r="C739" s="303"/>
      <c r="D739" s="304"/>
      <c r="E739" s="304"/>
      <c r="F739" s="304"/>
      <c r="G739" s="267"/>
      <c r="H739" s="267"/>
      <c r="I739" s="267"/>
      <c r="J739" s="267"/>
      <c r="K739" s="264"/>
    </row>
    <row r="740">
      <c r="A740" s="264"/>
      <c r="B740" s="303"/>
      <c r="C740" s="303"/>
      <c r="D740" s="304"/>
      <c r="E740" s="304"/>
      <c r="F740" s="304"/>
      <c r="G740" s="267"/>
      <c r="H740" s="267"/>
      <c r="I740" s="267"/>
      <c r="J740" s="267"/>
      <c r="K740" s="264"/>
    </row>
    <row r="741">
      <c r="A741" s="264"/>
      <c r="B741" s="303"/>
      <c r="C741" s="303"/>
      <c r="D741" s="304"/>
      <c r="E741" s="304"/>
      <c r="F741" s="304"/>
      <c r="G741" s="267"/>
      <c r="H741" s="267"/>
      <c r="I741" s="267"/>
      <c r="J741" s="267"/>
      <c r="K741" s="264"/>
    </row>
    <row r="742">
      <c r="A742" s="264"/>
      <c r="B742" s="303"/>
      <c r="C742" s="303"/>
      <c r="D742" s="304"/>
      <c r="E742" s="304"/>
      <c r="F742" s="304"/>
      <c r="G742" s="267"/>
      <c r="H742" s="267"/>
      <c r="I742" s="267"/>
      <c r="J742" s="267"/>
      <c r="K742" s="264"/>
    </row>
    <row r="743">
      <c r="A743" s="264"/>
      <c r="B743" s="303"/>
      <c r="C743" s="303"/>
      <c r="D743" s="304"/>
      <c r="E743" s="304"/>
      <c r="F743" s="304"/>
      <c r="G743" s="267"/>
      <c r="H743" s="267"/>
      <c r="I743" s="267"/>
      <c r="J743" s="267"/>
      <c r="K743" s="264"/>
    </row>
    <row r="744">
      <c r="A744" s="264"/>
      <c r="B744" s="303"/>
      <c r="C744" s="303"/>
      <c r="D744" s="304"/>
      <c r="E744" s="304"/>
      <c r="F744" s="304"/>
      <c r="G744" s="267"/>
      <c r="H744" s="267"/>
      <c r="I744" s="267"/>
      <c r="J744" s="267"/>
      <c r="K744" s="264"/>
    </row>
    <row r="745">
      <c r="A745" s="264"/>
      <c r="B745" s="303"/>
      <c r="C745" s="303"/>
      <c r="D745" s="304"/>
      <c r="E745" s="304"/>
      <c r="F745" s="304"/>
      <c r="G745" s="267"/>
      <c r="H745" s="267"/>
      <c r="I745" s="267"/>
      <c r="J745" s="267"/>
      <c r="K745" s="264"/>
    </row>
    <row r="746">
      <c r="A746" s="264"/>
      <c r="B746" s="303"/>
      <c r="C746" s="303"/>
      <c r="D746" s="304"/>
      <c r="E746" s="304"/>
      <c r="F746" s="304"/>
      <c r="G746" s="267"/>
      <c r="H746" s="267"/>
      <c r="I746" s="267"/>
      <c r="J746" s="267"/>
      <c r="K746" s="264"/>
    </row>
    <row r="747">
      <c r="A747" s="264"/>
      <c r="B747" s="303"/>
      <c r="C747" s="303"/>
      <c r="D747" s="304"/>
      <c r="E747" s="304"/>
      <c r="F747" s="304"/>
      <c r="G747" s="267"/>
      <c r="H747" s="267"/>
      <c r="I747" s="267"/>
      <c r="J747" s="267"/>
      <c r="K747" s="264"/>
    </row>
    <row r="748">
      <c r="A748" s="264"/>
      <c r="B748" s="303"/>
      <c r="C748" s="303"/>
      <c r="D748" s="304"/>
      <c r="E748" s="304"/>
      <c r="F748" s="304"/>
      <c r="G748" s="267"/>
      <c r="H748" s="267"/>
      <c r="I748" s="267"/>
      <c r="J748" s="267"/>
      <c r="K748" s="264"/>
    </row>
    <row r="749">
      <c r="A749" s="264"/>
      <c r="B749" s="303"/>
      <c r="C749" s="303"/>
      <c r="D749" s="304"/>
      <c r="E749" s="304"/>
      <c r="F749" s="304"/>
      <c r="G749" s="267"/>
      <c r="H749" s="267"/>
      <c r="I749" s="267"/>
      <c r="J749" s="267"/>
      <c r="K749" s="264"/>
    </row>
    <row r="750">
      <c r="A750" s="264"/>
      <c r="B750" s="303"/>
      <c r="C750" s="303"/>
      <c r="D750" s="304"/>
      <c r="E750" s="304"/>
      <c r="F750" s="304"/>
      <c r="G750" s="267"/>
      <c r="H750" s="267"/>
      <c r="I750" s="267"/>
      <c r="J750" s="267"/>
      <c r="K750" s="264"/>
    </row>
    <row r="751">
      <c r="A751" s="264"/>
      <c r="B751" s="303"/>
      <c r="C751" s="303"/>
      <c r="D751" s="304"/>
      <c r="E751" s="304"/>
      <c r="F751" s="304"/>
      <c r="G751" s="267"/>
      <c r="H751" s="267"/>
      <c r="I751" s="267"/>
      <c r="J751" s="267"/>
      <c r="K751" s="264"/>
    </row>
    <row r="752">
      <c r="A752" s="264"/>
      <c r="B752" s="303"/>
      <c r="C752" s="303"/>
      <c r="D752" s="304"/>
      <c r="E752" s="304"/>
      <c r="F752" s="304"/>
      <c r="G752" s="267"/>
      <c r="H752" s="267"/>
      <c r="I752" s="267"/>
      <c r="J752" s="267"/>
      <c r="K752" s="264"/>
    </row>
    <row r="753">
      <c r="A753" s="264"/>
      <c r="B753" s="303"/>
      <c r="C753" s="303"/>
      <c r="D753" s="304"/>
      <c r="E753" s="304"/>
      <c r="F753" s="304"/>
      <c r="G753" s="267"/>
      <c r="H753" s="267"/>
      <c r="I753" s="267"/>
      <c r="J753" s="267"/>
      <c r="K753" s="264"/>
    </row>
    <row r="754">
      <c r="A754" s="264"/>
      <c r="B754" s="303"/>
      <c r="C754" s="303"/>
      <c r="D754" s="304"/>
      <c r="E754" s="304"/>
      <c r="F754" s="304"/>
      <c r="G754" s="267"/>
      <c r="H754" s="267"/>
      <c r="I754" s="267"/>
      <c r="J754" s="267"/>
      <c r="K754" s="264"/>
    </row>
    <row r="755">
      <c r="A755" s="264"/>
      <c r="B755" s="303"/>
      <c r="C755" s="303"/>
      <c r="D755" s="304"/>
      <c r="E755" s="304"/>
      <c r="F755" s="304"/>
      <c r="G755" s="267"/>
      <c r="H755" s="267"/>
      <c r="I755" s="267"/>
      <c r="J755" s="267"/>
      <c r="K755" s="264"/>
    </row>
    <row r="756">
      <c r="A756" s="264"/>
      <c r="B756" s="303"/>
      <c r="C756" s="303"/>
      <c r="D756" s="304"/>
      <c r="E756" s="304"/>
      <c r="F756" s="304"/>
      <c r="G756" s="267"/>
      <c r="H756" s="267"/>
      <c r="I756" s="267"/>
      <c r="J756" s="267"/>
      <c r="K756" s="264"/>
    </row>
    <row r="757">
      <c r="A757" s="264"/>
      <c r="B757" s="303"/>
      <c r="C757" s="303"/>
      <c r="D757" s="304"/>
      <c r="E757" s="304"/>
      <c r="F757" s="304"/>
      <c r="G757" s="267"/>
      <c r="H757" s="267"/>
      <c r="I757" s="267"/>
      <c r="J757" s="267"/>
      <c r="K757" s="264"/>
    </row>
    <row r="758">
      <c r="A758" s="264"/>
      <c r="B758" s="303"/>
      <c r="C758" s="303"/>
      <c r="D758" s="304"/>
      <c r="E758" s="304"/>
      <c r="F758" s="304"/>
      <c r="G758" s="267"/>
      <c r="H758" s="267"/>
      <c r="I758" s="267"/>
      <c r="J758" s="267"/>
      <c r="K758" s="264"/>
    </row>
    <row r="759">
      <c r="A759" s="264"/>
      <c r="B759" s="303"/>
      <c r="C759" s="303"/>
      <c r="D759" s="304"/>
      <c r="E759" s="304"/>
      <c r="F759" s="304"/>
      <c r="G759" s="267"/>
      <c r="H759" s="267"/>
      <c r="I759" s="267"/>
      <c r="J759" s="267"/>
      <c r="K759" s="264"/>
    </row>
    <row r="760">
      <c r="A760" s="264"/>
      <c r="B760" s="303"/>
      <c r="C760" s="303"/>
      <c r="D760" s="304"/>
      <c r="E760" s="304"/>
      <c r="F760" s="304"/>
      <c r="G760" s="267"/>
      <c r="H760" s="267"/>
      <c r="I760" s="267"/>
      <c r="J760" s="267"/>
      <c r="K760" s="264"/>
    </row>
    <row r="761">
      <c r="A761" s="264"/>
      <c r="B761" s="303"/>
      <c r="C761" s="303"/>
      <c r="D761" s="304"/>
      <c r="E761" s="304"/>
      <c r="F761" s="304"/>
      <c r="G761" s="267"/>
      <c r="H761" s="267"/>
      <c r="I761" s="267"/>
      <c r="J761" s="267"/>
      <c r="K761" s="264"/>
    </row>
    <row r="762">
      <c r="A762" s="264"/>
      <c r="B762" s="303"/>
      <c r="C762" s="303"/>
      <c r="D762" s="304"/>
      <c r="E762" s="304"/>
      <c r="F762" s="304"/>
      <c r="G762" s="267"/>
      <c r="H762" s="267"/>
      <c r="I762" s="267"/>
      <c r="J762" s="267"/>
      <c r="K762" s="264"/>
    </row>
    <row r="763">
      <c r="A763" s="264"/>
      <c r="B763" s="303"/>
      <c r="C763" s="303"/>
      <c r="D763" s="304"/>
      <c r="E763" s="304"/>
      <c r="F763" s="304"/>
      <c r="G763" s="267"/>
      <c r="H763" s="267"/>
      <c r="I763" s="267"/>
      <c r="J763" s="267"/>
      <c r="K763" s="264"/>
    </row>
    <row r="764">
      <c r="A764" s="264"/>
      <c r="B764" s="303"/>
      <c r="C764" s="303"/>
      <c r="D764" s="304"/>
      <c r="E764" s="304"/>
      <c r="F764" s="304"/>
      <c r="G764" s="267"/>
      <c r="H764" s="267"/>
      <c r="I764" s="267"/>
      <c r="J764" s="267"/>
      <c r="K764" s="264"/>
    </row>
    <row r="765">
      <c r="A765" s="264"/>
      <c r="B765" s="303"/>
      <c r="C765" s="303"/>
      <c r="D765" s="304"/>
      <c r="E765" s="304"/>
      <c r="F765" s="304"/>
      <c r="G765" s="267"/>
      <c r="H765" s="267"/>
      <c r="I765" s="267"/>
      <c r="J765" s="267"/>
      <c r="K765" s="264"/>
    </row>
    <row r="766">
      <c r="A766" s="264"/>
      <c r="B766" s="303"/>
      <c r="C766" s="303"/>
      <c r="D766" s="304"/>
      <c r="E766" s="304"/>
      <c r="F766" s="304"/>
      <c r="G766" s="267"/>
      <c r="H766" s="267"/>
      <c r="I766" s="267"/>
      <c r="J766" s="267"/>
      <c r="K766" s="264"/>
    </row>
    <row r="767">
      <c r="A767" s="264"/>
      <c r="B767" s="303"/>
      <c r="C767" s="303"/>
      <c r="D767" s="304"/>
      <c r="E767" s="304"/>
      <c r="F767" s="304"/>
      <c r="G767" s="267"/>
      <c r="H767" s="267"/>
      <c r="I767" s="267"/>
      <c r="J767" s="267"/>
      <c r="K767" s="264"/>
    </row>
    <row r="768">
      <c r="A768" s="264"/>
      <c r="B768" s="303"/>
      <c r="C768" s="303"/>
      <c r="D768" s="304"/>
      <c r="E768" s="304"/>
      <c r="F768" s="304"/>
      <c r="G768" s="267"/>
      <c r="H768" s="267"/>
      <c r="I768" s="267"/>
      <c r="J768" s="267"/>
      <c r="K768" s="264"/>
    </row>
    <row r="769">
      <c r="A769" s="264"/>
      <c r="B769" s="303"/>
      <c r="C769" s="303"/>
      <c r="D769" s="304"/>
      <c r="E769" s="304"/>
      <c r="F769" s="304"/>
      <c r="G769" s="267"/>
      <c r="H769" s="267"/>
      <c r="I769" s="267"/>
      <c r="J769" s="267"/>
      <c r="K769" s="264"/>
    </row>
    <row r="770">
      <c r="A770" s="264"/>
      <c r="B770" s="303"/>
      <c r="C770" s="303"/>
      <c r="D770" s="304"/>
      <c r="E770" s="304"/>
      <c r="F770" s="304"/>
      <c r="G770" s="267"/>
      <c r="H770" s="267"/>
      <c r="I770" s="267"/>
      <c r="J770" s="267"/>
      <c r="K770" s="264"/>
    </row>
    <row r="771">
      <c r="A771" s="264"/>
      <c r="B771" s="303"/>
      <c r="C771" s="303"/>
      <c r="D771" s="304"/>
      <c r="E771" s="304"/>
      <c r="F771" s="304"/>
      <c r="G771" s="267"/>
      <c r="H771" s="267"/>
      <c r="I771" s="267"/>
      <c r="J771" s="267"/>
      <c r="K771" s="264"/>
    </row>
    <row r="772">
      <c r="A772" s="264"/>
      <c r="B772" s="303"/>
      <c r="C772" s="303"/>
      <c r="D772" s="304"/>
      <c r="E772" s="304"/>
      <c r="F772" s="304"/>
      <c r="G772" s="267"/>
      <c r="H772" s="267"/>
      <c r="I772" s="267"/>
      <c r="J772" s="267"/>
      <c r="K772" s="264"/>
    </row>
    <row r="773">
      <c r="A773" s="264"/>
      <c r="B773" s="303"/>
      <c r="C773" s="303"/>
      <c r="D773" s="304"/>
      <c r="E773" s="304"/>
      <c r="F773" s="304"/>
      <c r="G773" s="267"/>
      <c r="H773" s="267"/>
      <c r="I773" s="267"/>
      <c r="J773" s="267"/>
      <c r="K773" s="264"/>
    </row>
    <row r="774">
      <c r="A774" s="264"/>
      <c r="B774" s="303"/>
      <c r="C774" s="303"/>
      <c r="D774" s="304"/>
      <c r="E774" s="304"/>
      <c r="F774" s="304"/>
      <c r="G774" s="267"/>
      <c r="H774" s="267"/>
      <c r="I774" s="267"/>
      <c r="J774" s="267"/>
      <c r="K774" s="264"/>
    </row>
    <row r="775">
      <c r="A775" s="264"/>
      <c r="B775" s="303"/>
      <c r="C775" s="303"/>
      <c r="D775" s="304"/>
      <c r="E775" s="304"/>
      <c r="F775" s="304"/>
      <c r="G775" s="267"/>
      <c r="H775" s="267"/>
      <c r="I775" s="267"/>
      <c r="J775" s="267"/>
      <c r="K775" s="264"/>
    </row>
    <row r="776">
      <c r="A776" s="264"/>
      <c r="B776" s="303"/>
      <c r="C776" s="303"/>
      <c r="D776" s="304"/>
      <c r="E776" s="304"/>
      <c r="F776" s="304"/>
      <c r="G776" s="267"/>
      <c r="H776" s="267"/>
      <c r="I776" s="267"/>
      <c r="J776" s="267"/>
      <c r="K776" s="264"/>
    </row>
    <row r="777">
      <c r="A777" s="264"/>
      <c r="B777" s="303"/>
      <c r="C777" s="303"/>
      <c r="D777" s="304"/>
      <c r="E777" s="304"/>
      <c r="F777" s="304"/>
      <c r="G777" s="267"/>
      <c r="H777" s="267"/>
      <c r="I777" s="267"/>
      <c r="J777" s="267"/>
      <c r="K777" s="264"/>
    </row>
    <row r="778">
      <c r="A778" s="264"/>
      <c r="B778" s="303"/>
      <c r="C778" s="303"/>
      <c r="D778" s="304"/>
      <c r="E778" s="304"/>
      <c r="F778" s="304"/>
      <c r="G778" s="267"/>
      <c r="H778" s="267"/>
      <c r="I778" s="267"/>
      <c r="J778" s="267"/>
      <c r="K778" s="264"/>
    </row>
    <row r="779">
      <c r="A779" s="264"/>
      <c r="B779" s="303"/>
      <c r="C779" s="303"/>
      <c r="D779" s="304"/>
      <c r="E779" s="304"/>
      <c r="F779" s="304"/>
      <c r="G779" s="267"/>
      <c r="H779" s="267"/>
      <c r="I779" s="267"/>
      <c r="J779" s="267"/>
      <c r="K779" s="264"/>
    </row>
    <row r="780">
      <c r="A780" s="264"/>
      <c r="B780" s="303"/>
      <c r="C780" s="303"/>
      <c r="D780" s="304"/>
      <c r="E780" s="304"/>
      <c r="F780" s="304"/>
      <c r="G780" s="267"/>
      <c r="H780" s="267"/>
      <c r="I780" s="267"/>
      <c r="J780" s="267"/>
      <c r="K780" s="264"/>
    </row>
    <row r="781">
      <c r="A781" s="264"/>
      <c r="B781" s="303"/>
      <c r="C781" s="303"/>
      <c r="D781" s="304"/>
      <c r="E781" s="304"/>
      <c r="F781" s="304"/>
      <c r="G781" s="267"/>
      <c r="H781" s="267"/>
      <c r="I781" s="267"/>
      <c r="J781" s="267"/>
      <c r="K781" s="264"/>
    </row>
    <row r="782">
      <c r="A782" s="264"/>
      <c r="B782" s="303"/>
      <c r="C782" s="303"/>
      <c r="D782" s="304"/>
      <c r="E782" s="304"/>
      <c r="F782" s="304"/>
      <c r="G782" s="267"/>
      <c r="H782" s="267"/>
      <c r="I782" s="267"/>
      <c r="J782" s="267"/>
      <c r="K782" s="264"/>
    </row>
    <row r="783">
      <c r="A783" s="264"/>
      <c r="B783" s="303"/>
      <c r="C783" s="303"/>
      <c r="D783" s="304"/>
      <c r="E783" s="304"/>
      <c r="F783" s="304"/>
      <c r="G783" s="267"/>
      <c r="H783" s="267"/>
      <c r="I783" s="267"/>
      <c r="J783" s="267"/>
      <c r="K783" s="264"/>
    </row>
    <row r="784">
      <c r="A784" s="264"/>
      <c r="B784" s="303"/>
      <c r="C784" s="303"/>
      <c r="D784" s="304"/>
      <c r="E784" s="304"/>
      <c r="F784" s="304"/>
      <c r="G784" s="267"/>
      <c r="H784" s="267"/>
      <c r="I784" s="267"/>
      <c r="J784" s="267"/>
      <c r="K784" s="264"/>
    </row>
    <row r="785">
      <c r="A785" s="264"/>
      <c r="B785" s="303"/>
      <c r="C785" s="303"/>
      <c r="D785" s="304"/>
      <c r="E785" s="304"/>
      <c r="F785" s="304"/>
      <c r="G785" s="267"/>
      <c r="H785" s="267"/>
      <c r="I785" s="267"/>
      <c r="J785" s="267"/>
      <c r="K785" s="264"/>
    </row>
    <row r="786">
      <c r="A786" s="264"/>
      <c r="B786" s="303"/>
      <c r="C786" s="303"/>
      <c r="D786" s="304"/>
      <c r="E786" s="304"/>
      <c r="F786" s="304"/>
      <c r="G786" s="267"/>
      <c r="H786" s="267"/>
      <c r="I786" s="267"/>
      <c r="J786" s="267"/>
      <c r="K786" s="264"/>
    </row>
    <row r="787">
      <c r="A787" s="264"/>
      <c r="B787" s="303"/>
      <c r="C787" s="303"/>
      <c r="D787" s="304"/>
      <c r="E787" s="304"/>
      <c r="F787" s="304"/>
      <c r="G787" s="267"/>
      <c r="H787" s="267"/>
      <c r="I787" s="267"/>
      <c r="J787" s="267"/>
      <c r="K787" s="264"/>
    </row>
    <row r="788">
      <c r="A788" s="264"/>
      <c r="B788" s="303"/>
      <c r="C788" s="303"/>
      <c r="D788" s="304"/>
      <c r="E788" s="304"/>
      <c r="F788" s="304"/>
      <c r="G788" s="267"/>
      <c r="H788" s="267"/>
      <c r="I788" s="267"/>
      <c r="J788" s="267"/>
      <c r="K788" s="264"/>
    </row>
    <row r="789">
      <c r="A789" s="264"/>
      <c r="B789" s="303"/>
      <c r="C789" s="303"/>
      <c r="D789" s="304"/>
      <c r="E789" s="304"/>
      <c r="F789" s="304"/>
      <c r="G789" s="267"/>
      <c r="H789" s="267"/>
      <c r="I789" s="267"/>
      <c r="J789" s="267"/>
      <c r="K789" s="264"/>
    </row>
    <row r="790">
      <c r="A790" s="264"/>
      <c r="B790" s="303"/>
      <c r="C790" s="303"/>
      <c r="D790" s="304"/>
      <c r="E790" s="304"/>
      <c r="F790" s="304"/>
      <c r="G790" s="267"/>
      <c r="H790" s="267"/>
      <c r="I790" s="267"/>
      <c r="J790" s="267"/>
      <c r="K790" s="264"/>
    </row>
    <row r="791">
      <c r="A791" s="264"/>
      <c r="B791" s="303"/>
      <c r="C791" s="303"/>
      <c r="D791" s="304"/>
      <c r="E791" s="304"/>
      <c r="F791" s="304"/>
      <c r="G791" s="267"/>
      <c r="H791" s="267"/>
      <c r="I791" s="267"/>
      <c r="J791" s="267"/>
      <c r="K791" s="264"/>
    </row>
    <row r="792">
      <c r="A792" s="264"/>
      <c r="B792" s="303"/>
      <c r="C792" s="303"/>
      <c r="D792" s="304"/>
      <c r="E792" s="304"/>
      <c r="F792" s="304"/>
      <c r="G792" s="267"/>
      <c r="H792" s="267"/>
      <c r="I792" s="267"/>
      <c r="J792" s="267"/>
      <c r="K792" s="264"/>
    </row>
    <row r="793">
      <c r="A793" s="264"/>
      <c r="B793" s="303"/>
      <c r="C793" s="303"/>
      <c r="D793" s="304"/>
      <c r="E793" s="304"/>
      <c r="F793" s="304"/>
      <c r="G793" s="267"/>
      <c r="H793" s="267"/>
      <c r="I793" s="267"/>
      <c r="J793" s="267"/>
      <c r="K793" s="264"/>
    </row>
    <row r="794">
      <c r="A794" s="264"/>
      <c r="B794" s="303"/>
      <c r="C794" s="303"/>
      <c r="D794" s="304"/>
      <c r="E794" s="304"/>
      <c r="F794" s="304"/>
      <c r="G794" s="267"/>
      <c r="H794" s="267"/>
      <c r="I794" s="267"/>
      <c r="J794" s="267"/>
      <c r="K794" s="264"/>
    </row>
    <row r="795">
      <c r="A795" s="264"/>
      <c r="B795" s="303"/>
      <c r="C795" s="303"/>
      <c r="D795" s="304"/>
      <c r="E795" s="304"/>
      <c r="F795" s="304"/>
      <c r="G795" s="267"/>
      <c r="H795" s="267"/>
      <c r="I795" s="267"/>
      <c r="J795" s="267"/>
      <c r="K795" s="264"/>
    </row>
    <row r="796">
      <c r="A796" s="264"/>
      <c r="B796" s="303"/>
      <c r="C796" s="303"/>
      <c r="D796" s="304"/>
      <c r="E796" s="304"/>
      <c r="F796" s="304"/>
      <c r="G796" s="267"/>
      <c r="H796" s="267"/>
      <c r="I796" s="267"/>
      <c r="J796" s="267"/>
      <c r="K796" s="264"/>
    </row>
    <row r="797">
      <c r="A797" s="264"/>
      <c r="B797" s="303"/>
      <c r="C797" s="303"/>
      <c r="D797" s="304"/>
      <c r="E797" s="304"/>
      <c r="F797" s="304"/>
      <c r="G797" s="267"/>
      <c r="H797" s="267"/>
      <c r="I797" s="267"/>
      <c r="J797" s="267"/>
      <c r="K797" s="264"/>
    </row>
    <row r="798">
      <c r="A798" s="264"/>
      <c r="B798" s="303"/>
      <c r="C798" s="303"/>
      <c r="D798" s="304"/>
      <c r="E798" s="304"/>
      <c r="F798" s="304"/>
      <c r="G798" s="267"/>
      <c r="H798" s="267"/>
      <c r="I798" s="267"/>
      <c r="J798" s="267"/>
      <c r="K798" s="264"/>
    </row>
    <row r="799">
      <c r="A799" s="264"/>
      <c r="B799" s="303"/>
      <c r="C799" s="303"/>
      <c r="D799" s="304"/>
      <c r="E799" s="304"/>
      <c r="F799" s="304"/>
      <c r="G799" s="267"/>
      <c r="H799" s="267"/>
      <c r="I799" s="267"/>
      <c r="J799" s="267"/>
      <c r="K799" s="264"/>
    </row>
    <row r="800">
      <c r="A800" s="264"/>
      <c r="B800" s="303"/>
      <c r="C800" s="303"/>
      <c r="D800" s="304"/>
      <c r="E800" s="304"/>
      <c r="F800" s="304"/>
      <c r="G800" s="267"/>
      <c r="H800" s="267"/>
      <c r="I800" s="267"/>
      <c r="J800" s="267"/>
      <c r="K800" s="264"/>
    </row>
    <row r="801">
      <c r="A801" s="264"/>
      <c r="B801" s="303"/>
      <c r="C801" s="303"/>
      <c r="D801" s="304"/>
      <c r="E801" s="304"/>
      <c r="F801" s="304"/>
      <c r="G801" s="267"/>
      <c r="H801" s="267"/>
      <c r="I801" s="267"/>
      <c r="J801" s="267"/>
      <c r="K801" s="264"/>
    </row>
    <row r="802">
      <c r="A802" s="264"/>
      <c r="B802" s="303"/>
      <c r="C802" s="303"/>
      <c r="D802" s="304"/>
      <c r="E802" s="304"/>
      <c r="F802" s="304"/>
      <c r="G802" s="267"/>
      <c r="H802" s="267"/>
      <c r="I802" s="267"/>
      <c r="J802" s="267"/>
      <c r="K802" s="264"/>
    </row>
    <row r="803">
      <c r="A803" s="264"/>
      <c r="B803" s="303"/>
      <c r="C803" s="303"/>
      <c r="D803" s="304"/>
      <c r="E803" s="304"/>
      <c r="F803" s="304"/>
      <c r="G803" s="267"/>
      <c r="H803" s="267"/>
      <c r="I803" s="267"/>
      <c r="J803" s="267"/>
      <c r="K803" s="264"/>
    </row>
    <row r="804">
      <c r="A804" s="264"/>
      <c r="B804" s="303"/>
      <c r="C804" s="303"/>
      <c r="D804" s="304"/>
      <c r="E804" s="304"/>
      <c r="F804" s="304"/>
      <c r="G804" s="267"/>
      <c r="H804" s="267"/>
      <c r="I804" s="267"/>
      <c r="J804" s="267"/>
      <c r="K804" s="264"/>
    </row>
    <row r="805">
      <c r="A805" s="264"/>
      <c r="B805" s="303"/>
      <c r="C805" s="303"/>
      <c r="D805" s="304"/>
      <c r="E805" s="304"/>
      <c r="F805" s="304"/>
      <c r="G805" s="267"/>
      <c r="H805" s="267"/>
      <c r="I805" s="267"/>
      <c r="J805" s="267"/>
      <c r="K805" s="264"/>
    </row>
    <row r="806">
      <c r="A806" s="264"/>
      <c r="B806" s="303"/>
      <c r="C806" s="303"/>
      <c r="D806" s="304"/>
      <c r="E806" s="304"/>
      <c r="F806" s="304"/>
      <c r="G806" s="267"/>
      <c r="H806" s="267"/>
      <c r="I806" s="267"/>
      <c r="J806" s="267"/>
      <c r="K806" s="264"/>
    </row>
    <row r="807">
      <c r="A807" s="264"/>
      <c r="B807" s="303"/>
      <c r="C807" s="303"/>
      <c r="D807" s="304"/>
      <c r="E807" s="304"/>
      <c r="F807" s="304"/>
      <c r="G807" s="267"/>
      <c r="H807" s="267"/>
      <c r="I807" s="267"/>
      <c r="J807" s="267"/>
      <c r="K807" s="264"/>
    </row>
    <row r="808">
      <c r="A808" s="264"/>
      <c r="B808" s="303"/>
      <c r="C808" s="303"/>
      <c r="D808" s="304"/>
      <c r="E808" s="304"/>
      <c r="F808" s="304"/>
      <c r="G808" s="267"/>
      <c r="H808" s="267"/>
      <c r="I808" s="267"/>
      <c r="J808" s="267"/>
      <c r="K808" s="264"/>
    </row>
    <row r="809">
      <c r="A809" s="264"/>
      <c r="B809" s="303"/>
      <c r="C809" s="303"/>
      <c r="D809" s="304"/>
      <c r="E809" s="304"/>
      <c r="F809" s="304"/>
      <c r="G809" s="267"/>
      <c r="H809" s="267"/>
      <c r="I809" s="267"/>
      <c r="J809" s="267"/>
      <c r="K809" s="264"/>
    </row>
    <row r="810">
      <c r="A810" s="264"/>
      <c r="B810" s="303"/>
      <c r="C810" s="303"/>
      <c r="D810" s="304"/>
      <c r="E810" s="304"/>
      <c r="F810" s="304"/>
      <c r="G810" s="267"/>
      <c r="H810" s="267"/>
      <c r="I810" s="267"/>
      <c r="J810" s="267"/>
      <c r="K810" s="264"/>
    </row>
    <row r="811">
      <c r="A811" s="264"/>
      <c r="B811" s="303"/>
      <c r="C811" s="303"/>
      <c r="D811" s="304"/>
      <c r="E811" s="304"/>
      <c r="F811" s="304"/>
      <c r="G811" s="267"/>
      <c r="H811" s="267"/>
      <c r="I811" s="267"/>
      <c r="J811" s="267"/>
      <c r="K811" s="264"/>
    </row>
    <row r="812">
      <c r="A812" s="264"/>
      <c r="B812" s="303"/>
      <c r="C812" s="303"/>
      <c r="D812" s="304"/>
      <c r="E812" s="304"/>
      <c r="F812" s="304"/>
      <c r="G812" s="267"/>
      <c r="H812" s="267"/>
      <c r="I812" s="267"/>
      <c r="J812" s="267"/>
      <c r="K812" s="264"/>
    </row>
    <row r="813">
      <c r="A813" s="264"/>
      <c r="B813" s="303"/>
      <c r="C813" s="303"/>
      <c r="D813" s="304"/>
      <c r="E813" s="304"/>
      <c r="F813" s="304"/>
      <c r="G813" s="267"/>
      <c r="H813" s="267"/>
      <c r="I813" s="267"/>
      <c r="J813" s="267"/>
      <c r="K813" s="264"/>
    </row>
    <row r="814">
      <c r="A814" s="264"/>
      <c r="B814" s="303"/>
      <c r="C814" s="303"/>
      <c r="D814" s="304"/>
      <c r="E814" s="304"/>
      <c r="F814" s="304"/>
      <c r="G814" s="267"/>
      <c r="H814" s="267"/>
      <c r="I814" s="267"/>
      <c r="J814" s="267"/>
      <c r="K814" s="264"/>
    </row>
    <row r="815">
      <c r="A815" s="264"/>
      <c r="B815" s="303"/>
      <c r="C815" s="303"/>
      <c r="D815" s="304"/>
      <c r="E815" s="304"/>
      <c r="F815" s="304"/>
      <c r="G815" s="267"/>
      <c r="H815" s="267"/>
      <c r="I815" s="267"/>
      <c r="J815" s="267"/>
      <c r="K815" s="264"/>
    </row>
    <row r="816">
      <c r="A816" s="264"/>
      <c r="B816" s="303"/>
      <c r="C816" s="303"/>
      <c r="D816" s="304"/>
      <c r="E816" s="304"/>
      <c r="F816" s="304"/>
      <c r="G816" s="267"/>
      <c r="H816" s="267"/>
      <c r="I816" s="267"/>
      <c r="J816" s="267"/>
      <c r="K816" s="264"/>
    </row>
    <row r="817">
      <c r="A817" s="264"/>
      <c r="B817" s="303"/>
      <c r="C817" s="303"/>
      <c r="D817" s="304"/>
      <c r="E817" s="304"/>
      <c r="F817" s="304"/>
      <c r="G817" s="267"/>
      <c r="H817" s="267"/>
      <c r="I817" s="267"/>
      <c r="J817" s="267"/>
      <c r="K817" s="264"/>
    </row>
    <row r="818">
      <c r="A818" s="264"/>
      <c r="B818" s="303"/>
      <c r="C818" s="303"/>
      <c r="D818" s="304"/>
      <c r="E818" s="304"/>
      <c r="F818" s="304"/>
      <c r="G818" s="267"/>
      <c r="H818" s="267"/>
      <c r="I818" s="267"/>
      <c r="J818" s="267"/>
      <c r="K818" s="264"/>
    </row>
    <row r="819">
      <c r="A819" s="264"/>
      <c r="B819" s="303"/>
      <c r="C819" s="303"/>
      <c r="D819" s="304"/>
      <c r="E819" s="304"/>
      <c r="F819" s="304"/>
      <c r="G819" s="267"/>
      <c r="H819" s="267"/>
      <c r="I819" s="267"/>
      <c r="J819" s="267"/>
      <c r="K819" s="264"/>
    </row>
    <row r="820">
      <c r="A820" s="264"/>
      <c r="B820" s="303"/>
      <c r="C820" s="303"/>
      <c r="D820" s="304"/>
      <c r="E820" s="304"/>
      <c r="F820" s="304"/>
      <c r="G820" s="267"/>
      <c r="H820" s="267"/>
      <c r="I820" s="267"/>
      <c r="J820" s="267"/>
      <c r="K820" s="264"/>
    </row>
    <row r="821">
      <c r="A821" s="264"/>
      <c r="B821" s="303"/>
      <c r="C821" s="303"/>
      <c r="D821" s="304"/>
      <c r="E821" s="304"/>
      <c r="F821" s="304"/>
      <c r="G821" s="267"/>
      <c r="H821" s="267"/>
      <c r="I821" s="267"/>
      <c r="J821" s="267"/>
      <c r="K821" s="264"/>
    </row>
    <row r="822">
      <c r="A822" s="264"/>
      <c r="B822" s="303"/>
      <c r="C822" s="303"/>
      <c r="D822" s="304"/>
      <c r="E822" s="304"/>
      <c r="F822" s="304"/>
      <c r="G822" s="267"/>
      <c r="H822" s="267"/>
      <c r="I822" s="267"/>
      <c r="J822" s="267"/>
      <c r="K822" s="264"/>
    </row>
    <row r="823">
      <c r="A823" s="264"/>
      <c r="B823" s="303"/>
      <c r="C823" s="303"/>
      <c r="D823" s="304"/>
      <c r="E823" s="304"/>
      <c r="F823" s="304"/>
      <c r="G823" s="267"/>
      <c r="H823" s="267"/>
      <c r="I823" s="267"/>
      <c r="J823" s="267"/>
      <c r="K823" s="264"/>
    </row>
    <row r="824">
      <c r="A824" s="264"/>
      <c r="B824" s="303"/>
      <c r="C824" s="303"/>
      <c r="D824" s="304"/>
      <c r="E824" s="304"/>
      <c r="F824" s="304"/>
      <c r="G824" s="267"/>
      <c r="H824" s="267"/>
      <c r="I824" s="267"/>
      <c r="J824" s="267"/>
      <c r="K824" s="264"/>
    </row>
    <row r="825">
      <c r="A825" s="264"/>
      <c r="B825" s="303"/>
      <c r="C825" s="303"/>
      <c r="D825" s="304"/>
      <c r="E825" s="304"/>
      <c r="F825" s="304"/>
      <c r="G825" s="267"/>
      <c r="H825" s="267"/>
      <c r="I825" s="267"/>
      <c r="J825" s="267"/>
      <c r="K825" s="264"/>
    </row>
    <row r="826">
      <c r="A826" s="264"/>
      <c r="B826" s="303"/>
      <c r="C826" s="303"/>
      <c r="D826" s="304"/>
      <c r="E826" s="304"/>
      <c r="F826" s="304"/>
      <c r="G826" s="267"/>
      <c r="H826" s="267"/>
      <c r="I826" s="267"/>
      <c r="J826" s="267"/>
      <c r="K826" s="264"/>
    </row>
    <row r="827">
      <c r="A827" s="264"/>
      <c r="B827" s="303"/>
      <c r="C827" s="303"/>
      <c r="D827" s="304"/>
      <c r="E827" s="304"/>
      <c r="F827" s="304"/>
      <c r="G827" s="267"/>
      <c r="H827" s="267"/>
      <c r="I827" s="267"/>
      <c r="J827" s="267"/>
      <c r="K827" s="264"/>
    </row>
    <row r="828">
      <c r="A828" s="264"/>
      <c r="B828" s="303"/>
      <c r="C828" s="303"/>
      <c r="D828" s="304"/>
      <c r="E828" s="304"/>
      <c r="F828" s="304"/>
      <c r="G828" s="267"/>
      <c r="H828" s="267"/>
      <c r="I828" s="267"/>
      <c r="J828" s="267"/>
      <c r="K828" s="264"/>
    </row>
    <row r="829">
      <c r="A829" s="264"/>
      <c r="B829" s="303"/>
      <c r="C829" s="303"/>
      <c r="D829" s="304"/>
      <c r="E829" s="304"/>
      <c r="F829" s="304"/>
      <c r="G829" s="267"/>
      <c r="H829" s="267"/>
      <c r="I829" s="267"/>
      <c r="J829" s="267"/>
      <c r="K829" s="264"/>
    </row>
    <row r="830">
      <c r="A830" s="264"/>
      <c r="B830" s="303"/>
      <c r="C830" s="303"/>
      <c r="D830" s="304"/>
      <c r="E830" s="304"/>
      <c r="F830" s="304"/>
      <c r="G830" s="267"/>
      <c r="H830" s="267"/>
      <c r="I830" s="267"/>
      <c r="J830" s="267"/>
      <c r="K830" s="264"/>
    </row>
    <row r="831">
      <c r="A831" s="264"/>
      <c r="B831" s="303"/>
      <c r="C831" s="303"/>
      <c r="D831" s="304"/>
      <c r="E831" s="304"/>
      <c r="F831" s="304"/>
      <c r="G831" s="267"/>
      <c r="H831" s="267"/>
      <c r="I831" s="267"/>
      <c r="J831" s="267"/>
      <c r="K831" s="264"/>
    </row>
    <row r="832">
      <c r="A832" s="264"/>
      <c r="B832" s="303"/>
      <c r="C832" s="303"/>
      <c r="D832" s="304"/>
      <c r="E832" s="304"/>
      <c r="F832" s="304"/>
      <c r="G832" s="267"/>
      <c r="H832" s="267"/>
      <c r="I832" s="267"/>
      <c r="J832" s="267"/>
      <c r="K832" s="264"/>
    </row>
    <row r="833">
      <c r="A833" s="264"/>
      <c r="B833" s="303"/>
      <c r="C833" s="303"/>
      <c r="D833" s="304"/>
      <c r="E833" s="304"/>
      <c r="F833" s="304"/>
      <c r="G833" s="267"/>
      <c r="H833" s="267"/>
      <c r="I833" s="267"/>
      <c r="J833" s="267"/>
      <c r="K833" s="264"/>
    </row>
    <row r="834">
      <c r="A834" s="264"/>
      <c r="B834" s="303"/>
      <c r="C834" s="303"/>
      <c r="D834" s="304"/>
      <c r="E834" s="304"/>
      <c r="F834" s="304"/>
      <c r="G834" s="267"/>
      <c r="H834" s="267"/>
      <c r="I834" s="267"/>
      <c r="J834" s="267"/>
      <c r="K834" s="264"/>
    </row>
    <row r="835">
      <c r="A835" s="264"/>
      <c r="B835" s="303"/>
      <c r="C835" s="303"/>
      <c r="D835" s="304"/>
      <c r="E835" s="304"/>
      <c r="F835" s="304"/>
      <c r="G835" s="267"/>
      <c r="H835" s="267"/>
      <c r="I835" s="267"/>
      <c r="J835" s="267"/>
      <c r="K835" s="264"/>
    </row>
    <row r="836">
      <c r="A836" s="264"/>
      <c r="B836" s="303"/>
      <c r="C836" s="303"/>
      <c r="D836" s="304"/>
      <c r="E836" s="304"/>
      <c r="F836" s="304"/>
      <c r="G836" s="267"/>
      <c r="H836" s="267"/>
      <c r="I836" s="267"/>
      <c r="J836" s="267"/>
      <c r="K836" s="264"/>
    </row>
    <row r="837">
      <c r="A837" s="264"/>
      <c r="B837" s="303"/>
      <c r="C837" s="303"/>
      <c r="D837" s="304"/>
      <c r="E837" s="304"/>
      <c r="F837" s="304"/>
      <c r="G837" s="267"/>
      <c r="H837" s="267"/>
      <c r="I837" s="267"/>
      <c r="J837" s="267"/>
      <c r="K837" s="264"/>
    </row>
    <row r="838">
      <c r="A838" s="264"/>
      <c r="B838" s="303"/>
      <c r="C838" s="303"/>
      <c r="D838" s="304"/>
      <c r="E838" s="304"/>
      <c r="F838" s="304"/>
      <c r="G838" s="267"/>
      <c r="H838" s="267"/>
      <c r="I838" s="267"/>
      <c r="J838" s="267"/>
      <c r="K838" s="264"/>
    </row>
    <row r="839">
      <c r="A839" s="264"/>
      <c r="B839" s="303"/>
      <c r="C839" s="303"/>
      <c r="D839" s="304"/>
      <c r="E839" s="304"/>
      <c r="F839" s="304"/>
      <c r="G839" s="267"/>
      <c r="H839" s="267"/>
      <c r="I839" s="267"/>
      <c r="J839" s="267"/>
      <c r="K839" s="264"/>
    </row>
    <row r="840">
      <c r="A840" s="264"/>
      <c r="B840" s="303"/>
      <c r="C840" s="303"/>
      <c r="D840" s="304"/>
      <c r="E840" s="304"/>
      <c r="F840" s="304"/>
      <c r="G840" s="267"/>
      <c r="H840" s="267"/>
      <c r="I840" s="267"/>
      <c r="J840" s="267"/>
      <c r="K840" s="264"/>
    </row>
    <row r="841">
      <c r="A841" s="264"/>
      <c r="B841" s="303"/>
      <c r="C841" s="303"/>
      <c r="D841" s="304"/>
      <c r="E841" s="304"/>
      <c r="F841" s="304"/>
      <c r="G841" s="267"/>
      <c r="H841" s="267"/>
      <c r="I841" s="267"/>
      <c r="J841" s="267"/>
      <c r="K841" s="264"/>
    </row>
    <row r="842">
      <c r="A842" s="264"/>
      <c r="B842" s="303"/>
      <c r="C842" s="303"/>
      <c r="D842" s="304"/>
      <c r="E842" s="304"/>
      <c r="F842" s="304"/>
      <c r="G842" s="267"/>
      <c r="H842" s="267"/>
      <c r="I842" s="267"/>
      <c r="J842" s="267"/>
      <c r="K842" s="264"/>
    </row>
    <row r="843">
      <c r="A843" s="264"/>
      <c r="B843" s="303"/>
      <c r="C843" s="303"/>
      <c r="D843" s="304"/>
      <c r="E843" s="304"/>
      <c r="F843" s="304"/>
      <c r="G843" s="267"/>
      <c r="H843" s="267"/>
      <c r="I843" s="267"/>
      <c r="J843" s="267"/>
      <c r="K843" s="264"/>
    </row>
    <row r="844">
      <c r="A844" s="264"/>
      <c r="B844" s="303"/>
      <c r="C844" s="303"/>
      <c r="D844" s="304"/>
      <c r="E844" s="304"/>
      <c r="F844" s="304"/>
      <c r="G844" s="267"/>
      <c r="H844" s="267"/>
      <c r="I844" s="267"/>
      <c r="J844" s="267"/>
      <c r="K844" s="264"/>
    </row>
    <row r="845">
      <c r="A845" s="264"/>
      <c r="B845" s="303"/>
      <c r="C845" s="303"/>
      <c r="D845" s="304"/>
      <c r="E845" s="304"/>
      <c r="F845" s="304"/>
      <c r="G845" s="267"/>
      <c r="H845" s="267"/>
      <c r="I845" s="267"/>
      <c r="J845" s="267"/>
      <c r="K845" s="264"/>
    </row>
    <row r="846">
      <c r="A846" s="264"/>
      <c r="B846" s="303"/>
      <c r="C846" s="303"/>
      <c r="D846" s="304"/>
      <c r="E846" s="304"/>
      <c r="F846" s="304"/>
      <c r="G846" s="267"/>
      <c r="H846" s="267"/>
      <c r="I846" s="267"/>
      <c r="J846" s="267"/>
      <c r="K846" s="264"/>
    </row>
    <row r="847">
      <c r="A847" s="264"/>
      <c r="B847" s="303"/>
      <c r="C847" s="303"/>
      <c r="D847" s="304"/>
      <c r="E847" s="304"/>
      <c r="F847" s="304"/>
      <c r="G847" s="267"/>
      <c r="H847" s="267"/>
      <c r="I847" s="267"/>
      <c r="J847" s="267"/>
      <c r="K847" s="264"/>
    </row>
    <row r="848">
      <c r="A848" s="264"/>
      <c r="B848" s="303"/>
      <c r="C848" s="303"/>
      <c r="D848" s="304"/>
      <c r="E848" s="304"/>
      <c r="F848" s="304"/>
      <c r="G848" s="267"/>
      <c r="H848" s="267"/>
      <c r="I848" s="267"/>
      <c r="J848" s="267"/>
      <c r="K848" s="264"/>
    </row>
    <row r="849">
      <c r="A849" s="264"/>
      <c r="B849" s="303"/>
      <c r="C849" s="303"/>
      <c r="D849" s="304"/>
      <c r="E849" s="304"/>
      <c r="F849" s="304"/>
      <c r="G849" s="267"/>
      <c r="H849" s="267"/>
      <c r="I849" s="267"/>
      <c r="J849" s="267"/>
      <c r="K849" s="264"/>
    </row>
    <row r="850">
      <c r="A850" s="264"/>
      <c r="B850" s="303"/>
      <c r="C850" s="303"/>
      <c r="D850" s="304"/>
      <c r="E850" s="304"/>
      <c r="F850" s="304"/>
      <c r="G850" s="267"/>
      <c r="H850" s="267"/>
      <c r="I850" s="267"/>
      <c r="J850" s="267"/>
      <c r="K850" s="264"/>
    </row>
    <row r="851">
      <c r="A851" s="264"/>
      <c r="B851" s="303"/>
      <c r="C851" s="303"/>
      <c r="D851" s="304"/>
      <c r="E851" s="304"/>
      <c r="F851" s="304"/>
      <c r="G851" s="267"/>
      <c r="H851" s="267"/>
      <c r="I851" s="267"/>
      <c r="J851" s="267"/>
      <c r="K851" s="264"/>
    </row>
    <row r="852">
      <c r="A852" s="264"/>
      <c r="B852" s="303"/>
      <c r="C852" s="303"/>
      <c r="D852" s="304"/>
      <c r="E852" s="304"/>
      <c r="F852" s="304"/>
      <c r="G852" s="267"/>
      <c r="H852" s="267"/>
      <c r="I852" s="267"/>
      <c r="J852" s="267"/>
      <c r="K852" s="264"/>
    </row>
    <row r="853">
      <c r="A853" s="264"/>
      <c r="B853" s="303"/>
      <c r="C853" s="303"/>
      <c r="D853" s="304"/>
      <c r="E853" s="304"/>
      <c r="F853" s="304"/>
      <c r="G853" s="267"/>
      <c r="H853" s="267"/>
      <c r="I853" s="267"/>
      <c r="J853" s="267"/>
      <c r="K853" s="264"/>
    </row>
    <row r="854">
      <c r="A854" s="264"/>
      <c r="B854" s="303"/>
      <c r="C854" s="303"/>
      <c r="D854" s="304"/>
      <c r="E854" s="304"/>
      <c r="F854" s="304"/>
      <c r="G854" s="267"/>
      <c r="H854" s="267"/>
      <c r="I854" s="267"/>
      <c r="J854" s="267"/>
      <c r="K854" s="264"/>
    </row>
    <row r="855">
      <c r="A855" s="264"/>
      <c r="B855" s="303"/>
      <c r="C855" s="303"/>
      <c r="D855" s="304"/>
      <c r="E855" s="304"/>
      <c r="F855" s="304"/>
      <c r="G855" s="267"/>
      <c r="H855" s="267"/>
      <c r="I855" s="267"/>
      <c r="J855" s="267"/>
      <c r="K855" s="264"/>
    </row>
    <row r="856">
      <c r="A856" s="264"/>
      <c r="B856" s="303"/>
      <c r="C856" s="303"/>
      <c r="D856" s="304"/>
      <c r="E856" s="304"/>
      <c r="F856" s="304"/>
      <c r="G856" s="267"/>
      <c r="H856" s="267"/>
      <c r="I856" s="267"/>
      <c r="J856" s="267"/>
      <c r="K856" s="264"/>
    </row>
    <row r="857">
      <c r="A857" s="264"/>
      <c r="B857" s="303"/>
      <c r="C857" s="303"/>
      <c r="D857" s="304"/>
      <c r="E857" s="304"/>
      <c r="F857" s="304"/>
      <c r="G857" s="267"/>
      <c r="H857" s="267"/>
      <c r="I857" s="267"/>
      <c r="J857" s="267"/>
      <c r="K857" s="264"/>
    </row>
    <row r="858">
      <c r="A858" s="264"/>
      <c r="B858" s="303"/>
      <c r="C858" s="303"/>
      <c r="D858" s="304"/>
      <c r="E858" s="304"/>
      <c r="F858" s="304"/>
      <c r="G858" s="267"/>
      <c r="H858" s="267"/>
      <c r="I858" s="267"/>
      <c r="J858" s="267"/>
      <c r="K858" s="264"/>
    </row>
    <row r="859">
      <c r="A859" s="264"/>
      <c r="B859" s="303"/>
      <c r="C859" s="303"/>
      <c r="D859" s="304"/>
      <c r="E859" s="304"/>
      <c r="F859" s="304"/>
      <c r="G859" s="267"/>
      <c r="H859" s="267"/>
      <c r="I859" s="267"/>
      <c r="J859" s="267"/>
      <c r="K859" s="264"/>
    </row>
    <row r="860">
      <c r="A860" s="264"/>
      <c r="B860" s="303"/>
      <c r="C860" s="303"/>
      <c r="D860" s="304"/>
      <c r="E860" s="304"/>
      <c r="F860" s="304"/>
      <c r="G860" s="267"/>
      <c r="H860" s="267"/>
      <c r="I860" s="267"/>
      <c r="J860" s="267"/>
      <c r="K860" s="264"/>
    </row>
    <row r="861">
      <c r="A861" s="264"/>
      <c r="B861" s="303"/>
      <c r="C861" s="303"/>
      <c r="D861" s="304"/>
      <c r="E861" s="304"/>
      <c r="F861" s="304"/>
      <c r="G861" s="267"/>
      <c r="H861" s="267"/>
      <c r="I861" s="267"/>
      <c r="J861" s="267"/>
      <c r="K861" s="264"/>
    </row>
    <row r="862">
      <c r="A862" s="264"/>
      <c r="B862" s="303"/>
      <c r="C862" s="303"/>
      <c r="D862" s="304"/>
      <c r="E862" s="304"/>
      <c r="F862" s="304"/>
      <c r="G862" s="267"/>
      <c r="H862" s="267"/>
      <c r="I862" s="267"/>
      <c r="J862" s="267"/>
      <c r="K862" s="264"/>
    </row>
    <row r="863">
      <c r="A863" s="264"/>
      <c r="B863" s="303"/>
      <c r="C863" s="303"/>
      <c r="D863" s="304"/>
      <c r="E863" s="304"/>
      <c r="F863" s="304"/>
      <c r="G863" s="267"/>
      <c r="H863" s="267"/>
      <c r="I863" s="267"/>
      <c r="J863" s="267"/>
      <c r="K863" s="264"/>
    </row>
    <row r="864">
      <c r="A864" s="264"/>
      <c r="B864" s="303"/>
      <c r="C864" s="303"/>
      <c r="D864" s="304"/>
      <c r="E864" s="304"/>
      <c r="F864" s="304"/>
      <c r="G864" s="267"/>
      <c r="H864" s="267"/>
      <c r="I864" s="267"/>
      <c r="J864" s="267"/>
      <c r="K864" s="264"/>
    </row>
    <row r="865">
      <c r="A865" s="264"/>
      <c r="B865" s="303"/>
      <c r="C865" s="303"/>
      <c r="D865" s="304"/>
      <c r="E865" s="304"/>
      <c r="F865" s="304"/>
      <c r="G865" s="267"/>
      <c r="H865" s="267"/>
      <c r="I865" s="267"/>
      <c r="J865" s="267"/>
      <c r="K865" s="264"/>
    </row>
    <row r="866">
      <c r="A866" s="264"/>
      <c r="B866" s="303"/>
      <c r="C866" s="303"/>
      <c r="D866" s="304"/>
      <c r="E866" s="304"/>
      <c r="F866" s="304"/>
      <c r="G866" s="267"/>
      <c r="H866" s="267"/>
      <c r="I866" s="267"/>
      <c r="J866" s="267"/>
      <c r="K866" s="264"/>
    </row>
    <row r="867">
      <c r="A867" s="264"/>
      <c r="B867" s="303"/>
      <c r="C867" s="303"/>
      <c r="D867" s="304"/>
      <c r="E867" s="304"/>
      <c r="F867" s="304"/>
      <c r="G867" s="267"/>
      <c r="H867" s="267"/>
      <c r="I867" s="267"/>
      <c r="J867" s="267"/>
      <c r="K867" s="264"/>
    </row>
    <row r="868">
      <c r="A868" s="264"/>
      <c r="B868" s="303"/>
      <c r="C868" s="303"/>
      <c r="D868" s="304"/>
      <c r="E868" s="304"/>
      <c r="F868" s="304"/>
      <c r="G868" s="267"/>
      <c r="H868" s="267"/>
      <c r="I868" s="267"/>
      <c r="J868" s="267"/>
      <c r="K868" s="264"/>
    </row>
    <row r="869">
      <c r="A869" s="264"/>
      <c r="B869" s="303"/>
      <c r="C869" s="303"/>
      <c r="D869" s="304"/>
      <c r="E869" s="304"/>
      <c r="F869" s="304"/>
      <c r="G869" s="267"/>
      <c r="H869" s="267"/>
      <c r="I869" s="267"/>
      <c r="J869" s="267"/>
      <c r="K869" s="264"/>
    </row>
    <row r="870">
      <c r="A870" s="264"/>
      <c r="B870" s="303"/>
      <c r="C870" s="303"/>
      <c r="D870" s="304"/>
      <c r="E870" s="304"/>
      <c r="F870" s="304"/>
      <c r="G870" s="267"/>
      <c r="H870" s="267"/>
      <c r="I870" s="267"/>
      <c r="J870" s="267"/>
      <c r="K870" s="264"/>
    </row>
    <row r="871">
      <c r="A871" s="264"/>
      <c r="B871" s="303"/>
      <c r="C871" s="303"/>
      <c r="D871" s="304"/>
      <c r="E871" s="304"/>
      <c r="F871" s="304"/>
      <c r="G871" s="267"/>
      <c r="H871" s="267"/>
      <c r="I871" s="267"/>
      <c r="J871" s="267"/>
      <c r="K871" s="264"/>
    </row>
    <row r="872">
      <c r="A872" s="264"/>
      <c r="B872" s="303"/>
      <c r="C872" s="303"/>
      <c r="D872" s="304"/>
      <c r="E872" s="304"/>
      <c r="F872" s="304"/>
      <c r="G872" s="267"/>
      <c r="H872" s="267"/>
      <c r="I872" s="267"/>
      <c r="J872" s="267"/>
      <c r="K872" s="264"/>
    </row>
    <row r="873">
      <c r="A873" s="264"/>
      <c r="B873" s="303"/>
      <c r="C873" s="303"/>
      <c r="D873" s="304"/>
      <c r="E873" s="304"/>
      <c r="F873" s="304"/>
      <c r="G873" s="267"/>
      <c r="H873" s="267"/>
      <c r="I873" s="267"/>
      <c r="J873" s="267"/>
      <c r="K873" s="264"/>
    </row>
    <row r="874">
      <c r="A874" s="264"/>
      <c r="B874" s="303"/>
      <c r="C874" s="303"/>
      <c r="D874" s="304"/>
      <c r="E874" s="304"/>
      <c r="F874" s="304"/>
      <c r="G874" s="267"/>
      <c r="H874" s="267"/>
      <c r="I874" s="267"/>
      <c r="J874" s="267"/>
      <c r="K874" s="264"/>
    </row>
    <row r="875">
      <c r="A875" s="264"/>
      <c r="B875" s="303"/>
      <c r="C875" s="303"/>
      <c r="D875" s="304"/>
      <c r="E875" s="304"/>
      <c r="F875" s="304"/>
      <c r="G875" s="267"/>
      <c r="H875" s="267"/>
      <c r="I875" s="267"/>
      <c r="J875" s="267"/>
      <c r="K875" s="264"/>
    </row>
    <row r="876">
      <c r="A876" s="264"/>
      <c r="B876" s="303"/>
      <c r="C876" s="303"/>
      <c r="D876" s="304"/>
      <c r="E876" s="304"/>
      <c r="F876" s="304"/>
      <c r="G876" s="267"/>
      <c r="H876" s="267"/>
      <c r="I876" s="267"/>
      <c r="J876" s="267"/>
      <c r="K876" s="264"/>
    </row>
    <row r="877">
      <c r="A877" s="264"/>
      <c r="B877" s="303"/>
      <c r="C877" s="303"/>
      <c r="D877" s="304"/>
      <c r="E877" s="304"/>
      <c r="F877" s="304"/>
      <c r="G877" s="267"/>
      <c r="H877" s="267"/>
      <c r="I877" s="267"/>
      <c r="J877" s="267"/>
      <c r="K877" s="264"/>
    </row>
    <row r="878">
      <c r="A878" s="264"/>
      <c r="B878" s="303"/>
      <c r="C878" s="303"/>
      <c r="D878" s="304"/>
      <c r="E878" s="304"/>
      <c r="F878" s="304"/>
      <c r="G878" s="267"/>
      <c r="H878" s="267"/>
      <c r="I878" s="267"/>
      <c r="J878" s="267"/>
      <c r="K878" s="264"/>
    </row>
    <row r="879">
      <c r="A879" s="264"/>
      <c r="B879" s="303"/>
      <c r="C879" s="303"/>
      <c r="D879" s="304"/>
      <c r="E879" s="304"/>
      <c r="F879" s="304"/>
      <c r="G879" s="267"/>
      <c r="H879" s="267"/>
      <c r="I879" s="267"/>
      <c r="J879" s="267"/>
      <c r="K879" s="264"/>
    </row>
    <row r="880">
      <c r="A880" s="264"/>
      <c r="B880" s="303"/>
      <c r="C880" s="303"/>
      <c r="D880" s="304"/>
      <c r="E880" s="304"/>
      <c r="F880" s="304"/>
      <c r="G880" s="267"/>
      <c r="H880" s="267"/>
      <c r="I880" s="267"/>
      <c r="J880" s="267"/>
      <c r="K880" s="264"/>
    </row>
    <row r="881">
      <c r="A881" s="264"/>
      <c r="B881" s="303"/>
      <c r="C881" s="303"/>
      <c r="D881" s="304"/>
      <c r="E881" s="304"/>
      <c r="F881" s="304"/>
      <c r="G881" s="267"/>
      <c r="H881" s="267"/>
      <c r="I881" s="267"/>
      <c r="J881" s="267"/>
      <c r="K881" s="264"/>
    </row>
    <row r="882">
      <c r="A882" s="264"/>
      <c r="B882" s="303"/>
      <c r="C882" s="303"/>
      <c r="D882" s="304"/>
      <c r="E882" s="304"/>
      <c r="F882" s="304"/>
      <c r="G882" s="267"/>
      <c r="H882" s="267"/>
      <c r="I882" s="267"/>
      <c r="J882" s="267"/>
      <c r="K882" s="264"/>
    </row>
    <row r="883">
      <c r="A883" s="264"/>
      <c r="B883" s="303"/>
      <c r="C883" s="303"/>
      <c r="D883" s="304"/>
      <c r="E883" s="304"/>
      <c r="F883" s="304"/>
      <c r="G883" s="267"/>
      <c r="H883" s="267"/>
      <c r="I883" s="267"/>
      <c r="J883" s="267"/>
      <c r="K883" s="264"/>
    </row>
    <row r="884">
      <c r="A884" s="264"/>
      <c r="B884" s="303"/>
      <c r="C884" s="303"/>
      <c r="D884" s="304"/>
      <c r="E884" s="304"/>
      <c r="F884" s="304"/>
      <c r="G884" s="267"/>
      <c r="H884" s="267"/>
      <c r="I884" s="267"/>
      <c r="J884" s="267"/>
      <c r="K884" s="264"/>
    </row>
    <row r="885">
      <c r="A885" s="264"/>
      <c r="B885" s="303"/>
      <c r="C885" s="303"/>
      <c r="D885" s="304"/>
      <c r="E885" s="304"/>
      <c r="F885" s="304"/>
      <c r="G885" s="267"/>
      <c r="H885" s="267"/>
      <c r="I885" s="267"/>
      <c r="J885" s="267"/>
      <c r="K885" s="264"/>
    </row>
    <row r="886">
      <c r="A886" s="264"/>
      <c r="B886" s="303"/>
      <c r="C886" s="303"/>
      <c r="D886" s="304"/>
      <c r="E886" s="304"/>
      <c r="F886" s="304"/>
      <c r="G886" s="267"/>
      <c r="H886" s="267"/>
      <c r="I886" s="267"/>
      <c r="J886" s="267"/>
      <c r="K886" s="264"/>
    </row>
    <row r="887">
      <c r="A887" s="264"/>
      <c r="B887" s="303"/>
      <c r="C887" s="303"/>
      <c r="D887" s="304"/>
      <c r="E887" s="304"/>
      <c r="F887" s="304"/>
      <c r="G887" s="267"/>
      <c r="H887" s="267"/>
      <c r="I887" s="267"/>
      <c r="J887" s="267"/>
      <c r="K887" s="264"/>
    </row>
    <row r="888">
      <c r="A888" s="264"/>
      <c r="B888" s="303"/>
      <c r="C888" s="303"/>
      <c r="D888" s="304"/>
      <c r="E888" s="304"/>
      <c r="F888" s="304"/>
      <c r="G888" s="267"/>
      <c r="H888" s="267"/>
      <c r="I888" s="267"/>
      <c r="J888" s="267"/>
      <c r="K888" s="264"/>
    </row>
    <row r="889">
      <c r="A889" s="264"/>
      <c r="B889" s="303"/>
      <c r="C889" s="303"/>
      <c r="D889" s="304"/>
      <c r="E889" s="304"/>
      <c r="F889" s="304"/>
      <c r="G889" s="267"/>
      <c r="H889" s="267"/>
      <c r="I889" s="267"/>
      <c r="J889" s="267"/>
      <c r="K889" s="264"/>
    </row>
    <row r="890">
      <c r="A890" s="264"/>
      <c r="B890" s="303"/>
      <c r="C890" s="303"/>
      <c r="D890" s="304"/>
      <c r="E890" s="304"/>
      <c r="F890" s="304"/>
      <c r="G890" s="267"/>
      <c r="H890" s="267"/>
      <c r="I890" s="267"/>
      <c r="J890" s="267"/>
      <c r="K890" s="264"/>
    </row>
    <row r="891">
      <c r="A891" s="264"/>
      <c r="B891" s="303"/>
      <c r="C891" s="303"/>
      <c r="D891" s="304"/>
      <c r="E891" s="304"/>
      <c r="F891" s="304"/>
      <c r="G891" s="267"/>
      <c r="H891" s="267"/>
      <c r="I891" s="267"/>
      <c r="J891" s="267"/>
      <c r="K891" s="264"/>
    </row>
    <row r="892">
      <c r="A892" s="264"/>
      <c r="B892" s="303"/>
      <c r="C892" s="303"/>
      <c r="D892" s="304"/>
      <c r="E892" s="304"/>
      <c r="F892" s="304"/>
      <c r="G892" s="267"/>
      <c r="H892" s="267"/>
      <c r="I892" s="267"/>
      <c r="J892" s="267"/>
      <c r="K892" s="264"/>
    </row>
    <row r="893">
      <c r="A893" s="264"/>
      <c r="B893" s="303"/>
      <c r="C893" s="303"/>
      <c r="D893" s="304"/>
      <c r="E893" s="304"/>
      <c r="F893" s="304"/>
      <c r="G893" s="267"/>
      <c r="H893" s="267"/>
      <c r="I893" s="267"/>
      <c r="J893" s="267"/>
      <c r="K893" s="264"/>
    </row>
    <row r="894">
      <c r="A894" s="264"/>
      <c r="B894" s="303"/>
      <c r="C894" s="303"/>
      <c r="D894" s="304"/>
      <c r="E894" s="304"/>
      <c r="F894" s="304"/>
      <c r="G894" s="267"/>
      <c r="H894" s="267"/>
      <c r="I894" s="267"/>
      <c r="J894" s="267"/>
      <c r="K894" s="264"/>
    </row>
    <row r="895">
      <c r="A895" s="264"/>
      <c r="B895" s="303"/>
      <c r="C895" s="303"/>
      <c r="D895" s="304"/>
      <c r="E895" s="304"/>
      <c r="F895" s="304"/>
      <c r="G895" s="267"/>
      <c r="H895" s="267"/>
      <c r="I895" s="267"/>
      <c r="J895" s="267"/>
      <c r="K895" s="264"/>
    </row>
    <row r="896">
      <c r="A896" s="264"/>
      <c r="B896" s="303"/>
      <c r="C896" s="303"/>
      <c r="D896" s="304"/>
      <c r="E896" s="304"/>
      <c r="F896" s="304"/>
      <c r="G896" s="267"/>
      <c r="H896" s="267"/>
      <c r="I896" s="267"/>
      <c r="J896" s="267"/>
      <c r="K896" s="264"/>
    </row>
    <row r="897">
      <c r="A897" s="264"/>
      <c r="B897" s="303"/>
      <c r="C897" s="303"/>
      <c r="D897" s="304"/>
      <c r="E897" s="304"/>
      <c r="F897" s="304"/>
      <c r="G897" s="267"/>
      <c r="H897" s="267"/>
      <c r="I897" s="267"/>
      <c r="J897" s="267"/>
      <c r="K897" s="264"/>
    </row>
    <row r="898">
      <c r="A898" s="264"/>
      <c r="B898" s="303"/>
      <c r="C898" s="303"/>
      <c r="D898" s="304"/>
      <c r="E898" s="304"/>
      <c r="F898" s="304"/>
      <c r="G898" s="267"/>
      <c r="H898" s="267"/>
      <c r="I898" s="267"/>
      <c r="J898" s="267"/>
      <c r="K898" s="264"/>
    </row>
    <row r="899">
      <c r="A899" s="264"/>
      <c r="B899" s="303"/>
      <c r="C899" s="303"/>
      <c r="D899" s="304"/>
      <c r="E899" s="304"/>
      <c r="F899" s="304"/>
      <c r="G899" s="267"/>
      <c r="H899" s="267"/>
      <c r="I899" s="267"/>
      <c r="J899" s="267"/>
      <c r="K899" s="264"/>
    </row>
  </sheetData>
  <mergeCells count="34">
    <mergeCell ref="A2:Q2"/>
    <mergeCell ref="A35:Q35"/>
    <mergeCell ref="A62:Q62"/>
    <mergeCell ref="A89:Q89"/>
    <mergeCell ref="A117:Q117"/>
    <mergeCell ref="A143:Q143"/>
    <mergeCell ref="A169:Q169"/>
    <mergeCell ref="A199:Q199"/>
    <mergeCell ref="A224:Q224"/>
    <mergeCell ref="A251:Q251"/>
    <mergeCell ref="A276:Q276"/>
    <mergeCell ref="A284:L284"/>
    <mergeCell ref="A295:L295"/>
    <mergeCell ref="A306:L306"/>
    <mergeCell ref="A316:Q316"/>
    <mergeCell ref="A317:L317"/>
    <mergeCell ref="A330:Q330"/>
    <mergeCell ref="A338:L338"/>
    <mergeCell ref="A350:L350"/>
    <mergeCell ref="A362:L362"/>
    <mergeCell ref="A374:L374"/>
    <mergeCell ref="A468:L468"/>
    <mergeCell ref="A480:L480"/>
    <mergeCell ref="A492:L492"/>
    <mergeCell ref="A503:L503"/>
    <mergeCell ref="A515:L515"/>
    <mergeCell ref="A527:L527"/>
    <mergeCell ref="A387:Q387"/>
    <mergeCell ref="A395:L395"/>
    <mergeCell ref="A407:L407"/>
    <mergeCell ref="A419:L419"/>
    <mergeCell ref="A432:L432"/>
    <mergeCell ref="A445:L445"/>
    <mergeCell ref="A459:Q45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8" width="12.86"/>
  </cols>
  <sheetData>
    <row r="1" ht="16.5" customHeight="1">
      <c r="A1" s="382"/>
      <c r="B1" s="382" t="s">
        <v>102</v>
      </c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</row>
    <row r="2" ht="16.5" customHeight="1">
      <c r="A2" s="382"/>
      <c r="B2" s="382" t="s">
        <v>644</v>
      </c>
      <c r="C2" s="382" t="s">
        <v>645</v>
      </c>
      <c r="D2" s="382" t="s">
        <v>646</v>
      </c>
      <c r="E2" s="382" t="s">
        <v>647</v>
      </c>
      <c r="F2" s="382" t="s">
        <v>648</v>
      </c>
      <c r="G2" s="382" t="s">
        <v>649</v>
      </c>
      <c r="H2" s="382" t="s">
        <v>650</v>
      </c>
      <c r="I2" s="382" t="s">
        <v>501</v>
      </c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3"/>
      <c r="Z2" s="383"/>
      <c r="AA2" s="383"/>
      <c r="AB2" s="383"/>
    </row>
    <row r="3" ht="9.75" customHeight="1">
      <c r="A3" s="384"/>
      <c r="B3" s="384"/>
      <c r="C3" s="385" t="s">
        <v>651</v>
      </c>
      <c r="D3" s="386" t="s">
        <v>651</v>
      </c>
      <c r="E3" s="386" t="s">
        <v>652</v>
      </c>
      <c r="F3" s="386" t="s">
        <v>651</v>
      </c>
      <c r="G3" s="386" t="s">
        <v>651</v>
      </c>
      <c r="H3" s="386" t="s">
        <v>651</v>
      </c>
      <c r="I3" s="386" t="s">
        <v>652</v>
      </c>
      <c r="J3" s="387"/>
      <c r="K3" s="388"/>
      <c r="L3" s="388"/>
      <c r="M3" s="388"/>
      <c r="N3" s="388"/>
      <c r="O3" s="388"/>
      <c r="P3" s="388"/>
      <c r="Q3" s="388"/>
      <c r="R3" s="388"/>
      <c r="S3" s="388"/>
      <c r="T3" s="388"/>
      <c r="U3" s="388"/>
      <c r="V3" s="388"/>
      <c r="W3" s="388"/>
      <c r="X3" s="388"/>
      <c r="Y3" s="388"/>
      <c r="Z3" s="388"/>
      <c r="AA3" s="388"/>
      <c r="AB3" s="388"/>
    </row>
    <row r="4" ht="16.5" customHeight="1">
      <c r="A4" s="389"/>
      <c r="B4" s="390"/>
      <c r="C4" s="391">
        <v>44102.0</v>
      </c>
      <c r="D4" s="392">
        <v>44103.0</v>
      </c>
      <c r="E4" s="392">
        <v>44104.0</v>
      </c>
      <c r="F4" s="392">
        <v>44105.0</v>
      </c>
      <c r="G4" s="392">
        <v>44106.0</v>
      </c>
      <c r="H4" s="392">
        <v>44107.0</v>
      </c>
      <c r="I4" s="392">
        <v>44108.0</v>
      </c>
      <c r="J4" s="393" t="s">
        <v>653</v>
      </c>
      <c r="K4" s="383"/>
      <c r="L4" s="383"/>
      <c r="M4" s="383"/>
      <c r="N4" s="383"/>
      <c r="O4" s="383"/>
      <c r="P4" s="383"/>
      <c r="Q4" s="383"/>
      <c r="R4" s="383"/>
      <c r="S4" s="383"/>
      <c r="T4" s="383"/>
      <c r="U4" s="383"/>
      <c r="V4" s="383"/>
      <c r="W4" s="383"/>
      <c r="X4" s="383"/>
      <c r="Y4" s="383"/>
      <c r="Z4" s="383"/>
      <c r="AA4" s="383"/>
      <c r="AB4" s="383"/>
    </row>
    <row r="5" ht="16.5" customHeight="1">
      <c r="A5" s="382"/>
      <c r="B5" s="394" t="s">
        <v>654</v>
      </c>
      <c r="C5" s="395" t="s">
        <v>5</v>
      </c>
      <c r="D5" s="396" t="s">
        <v>10</v>
      </c>
      <c r="E5" s="397" t="s">
        <v>6</v>
      </c>
      <c r="F5" s="398" t="s">
        <v>5</v>
      </c>
      <c r="G5" s="398" t="s">
        <v>5</v>
      </c>
      <c r="H5" s="397" t="s">
        <v>9</v>
      </c>
      <c r="I5" s="399" t="s">
        <v>6</v>
      </c>
      <c r="J5" s="400">
        <f>12+7+12+7+7</f>
        <v>45</v>
      </c>
      <c r="K5" s="401"/>
      <c r="L5" s="383"/>
      <c r="M5" s="383"/>
      <c r="N5" s="383"/>
      <c r="O5" s="383"/>
      <c r="P5" s="383"/>
      <c r="Q5" s="383"/>
      <c r="R5" s="383"/>
      <c r="S5" s="383"/>
      <c r="T5" s="383"/>
      <c r="U5" s="383"/>
      <c r="V5" s="383"/>
      <c r="W5" s="383"/>
      <c r="X5" s="383"/>
      <c r="Y5" s="383"/>
      <c r="Z5" s="383"/>
      <c r="AA5" s="383"/>
      <c r="AB5" s="383"/>
    </row>
    <row r="6" ht="16.5" customHeight="1">
      <c r="A6" s="382"/>
      <c r="B6" s="394" t="s">
        <v>655</v>
      </c>
      <c r="C6" s="395" t="s">
        <v>6</v>
      </c>
      <c r="D6" s="397" t="s">
        <v>5</v>
      </c>
      <c r="E6" s="397" t="s">
        <v>9</v>
      </c>
      <c r="F6" s="398" t="s">
        <v>6</v>
      </c>
      <c r="G6" s="398" t="s">
        <v>10</v>
      </c>
      <c r="H6" s="397" t="s">
        <v>5</v>
      </c>
      <c r="I6" s="402" t="s">
        <v>9</v>
      </c>
      <c r="J6" s="400">
        <f>7+7+12+7+7</f>
        <v>40</v>
      </c>
      <c r="K6" s="401"/>
      <c r="L6" s="383"/>
      <c r="M6" s="383"/>
      <c r="N6" s="383"/>
      <c r="O6" s="383"/>
      <c r="P6" s="383"/>
      <c r="Q6" s="383"/>
      <c r="R6" s="383"/>
      <c r="S6" s="383"/>
      <c r="T6" s="383"/>
      <c r="U6" s="383"/>
      <c r="V6" s="383"/>
      <c r="W6" s="383"/>
      <c r="X6" s="383"/>
      <c r="Y6" s="383"/>
      <c r="Z6" s="383"/>
      <c r="AA6" s="383"/>
      <c r="AB6" s="383"/>
    </row>
    <row r="7" ht="16.5" customHeight="1">
      <c r="A7" s="382"/>
      <c r="B7" s="403" t="s">
        <v>656</v>
      </c>
      <c r="C7" s="404" t="s">
        <v>9</v>
      </c>
      <c r="D7" s="405" t="s">
        <v>9</v>
      </c>
      <c r="E7" s="405" t="s">
        <v>10</v>
      </c>
      <c r="F7" s="406" t="s">
        <v>10</v>
      </c>
      <c r="G7" s="406" t="s">
        <v>6</v>
      </c>
      <c r="H7" s="407" t="s">
        <v>10</v>
      </c>
      <c r="I7" s="408" t="s">
        <v>5</v>
      </c>
      <c r="J7" s="400">
        <f>7+12+7+7+12</f>
        <v>45</v>
      </c>
      <c r="K7" s="401"/>
      <c r="L7" s="383"/>
      <c r="M7" s="383"/>
      <c r="N7" s="383"/>
      <c r="O7" s="383"/>
      <c r="P7" s="383"/>
      <c r="Q7" s="383"/>
      <c r="R7" s="383"/>
      <c r="S7" s="383"/>
      <c r="T7" s="383"/>
      <c r="U7" s="383"/>
      <c r="V7" s="383"/>
      <c r="W7" s="383"/>
      <c r="X7" s="383"/>
      <c r="Y7" s="383"/>
      <c r="Z7" s="383"/>
      <c r="AA7" s="383"/>
      <c r="AB7" s="383"/>
    </row>
    <row r="8" ht="16.5" customHeight="1">
      <c r="A8" s="382"/>
      <c r="B8" s="409" t="s">
        <v>657</v>
      </c>
      <c r="C8" s="410" t="s">
        <v>10</v>
      </c>
      <c r="D8" s="411" t="s">
        <v>6</v>
      </c>
      <c r="E8" s="412" t="s">
        <v>5</v>
      </c>
      <c r="F8" s="413" t="s">
        <v>9</v>
      </c>
      <c r="G8" s="413" t="s">
        <v>9</v>
      </c>
      <c r="H8" s="411" t="s">
        <v>6</v>
      </c>
      <c r="I8" s="414" t="s">
        <v>10</v>
      </c>
      <c r="J8" s="415">
        <f>7+7+7+12+7</f>
        <v>40</v>
      </c>
      <c r="K8" s="401"/>
      <c r="L8" s="383"/>
      <c r="M8" s="383"/>
      <c r="N8" s="383"/>
      <c r="O8" s="383"/>
      <c r="P8" s="383"/>
      <c r="Q8" s="383"/>
      <c r="R8" s="383"/>
      <c r="S8" s="383"/>
      <c r="T8" s="383"/>
      <c r="U8" s="383"/>
      <c r="V8" s="383"/>
      <c r="W8" s="383"/>
      <c r="X8" s="383"/>
      <c r="Y8" s="383"/>
      <c r="Z8" s="383"/>
      <c r="AA8" s="383"/>
      <c r="AB8" s="383"/>
    </row>
    <row r="9" ht="16.5" customHeight="1">
      <c r="A9" s="389"/>
      <c r="B9" s="416"/>
      <c r="C9" s="417"/>
      <c r="D9" s="417"/>
      <c r="E9" s="417"/>
      <c r="F9" s="417"/>
      <c r="G9" s="417"/>
      <c r="H9" s="417"/>
      <c r="I9" s="417"/>
      <c r="J9" s="418"/>
      <c r="K9" s="383"/>
      <c r="L9" s="383"/>
      <c r="M9" s="383"/>
      <c r="N9" s="383"/>
      <c r="O9" s="383"/>
      <c r="P9" s="383"/>
      <c r="Q9" s="383"/>
      <c r="R9" s="383"/>
      <c r="S9" s="383"/>
      <c r="T9" s="383"/>
      <c r="U9" s="383"/>
      <c r="V9" s="383"/>
      <c r="W9" s="383"/>
      <c r="X9" s="383"/>
      <c r="Y9" s="383"/>
      <c r="Z9" s="383"/>
      <c r="AA9" s="383"/>
      <c r="AB9" s="383"/>
    </row>
    <row r="10" ht="10.5" customHeight="1">
      <c r="A10" s="384"/>
      <c r="B10" s="419"/>
      <c r="C10" s="420" t="s">
        <v>651</v>
      </c>
      <c r="D10" s="420" t="s">
        <v>651</v>
      </c>
      <c r="E10" s="420" t="s">
        <v>651</v>
      </c>
      <c r="F10" s="420" t="s">
        <v>652</v>
      </c>
      <c r="G10" s="420" t="s">
        <v>651</v>
      </c>
      <c r="H10" s="420" t="s">
        <v>651</v>
      </c>
      <c r="I10" s="421" t="s">
        <v>651</v>
      </c>
      <c r="J10" s="422"/>
      <c r="K10" s="388"/>
      <c r="L10" s="388"/>
      <c r="M10" s="388"/>
      <c r="N10" s="388"/>
      <c r="O10" s="388"/>
      <c r="P10" s="388"/>
      <c r="Q10" s="388"/>
      <c r="R10" s="388"/>
      <c r="S10" s="388"/>
      <c r="T10" s="388"/>
      <c r="U10" s="388"/>
      <c r="V10" s="388"/>
      <c r="W10" s="388"/>
      <c r="X10" s="388"/>
      <c r="Y10" s="388"/>
      <c r="Z10" s="388"/>
      <c r="AA10" s="388"/>
      <c r="AB10" s="388"/>
    </row>
    <row r="11" ht="16.5" customHeight="1">
      <c r="A11" s="423"/>
      <c r="B11" s="424"/>
      <c r="C11" s="425">
        <v>44109.0</v>
      </c>
      <c r="D11" s="425">
        <v>44054.0</v>
      </c>
      <c r="E11" s="425">
        <v>44055.0</v>
      </c>
      <c r="F11" s="425">
        <v>44056.0</v>
      </c>
      <c r="G11" s="425">
        <v>44057.0</v>
      </c>
      <c r="H11" s="425">
        <v>44058.0</v>
      </c>
      <c r="I11" s="425">
        <v>44059.0</v>
      </c>
      <c r="J11" s="426" t="s">
        <v>653</v>
      </c>
      <c r="K11" s="383"/>
      <c r="L11" s="383"/>
      <c r="M11" s="383"/>
      <c r="N11" s="383"/>
      <c r="O11" s="383"/>
      <c r="P11" s="383"/>
      <c r="Q11" s="383"/>
      <c r="R11" s="383"/>
      <c r="S11" s="383"/>
      <c r="T11" s="383"/>
      <c r="U11" s="383"/>
      <c r="V11" s="383"/>
      <c r="W11" s="383"/>
      <c r="X11" s="383"/>
      <c r="Y11" s="383"/>
      <c r="Z11" s="383"/>
      <c r="AA11" s="383"/>
      <c r="AB11" s="383"/>
    </row>
    <row r="12" ht="16.5" customHeight="1">
      <c r="A12" s="427"/>
      <c r="B12" s="428" t="s">
        <v>654</v>
      </c>
      <c r="C12" s="398" t="s">
        <v>10</v>
      </c>
      <c r="D12" s="398" t="s">
        <v>5</v>
      </c>
      <c r="E12" s="429" t="s">
        <v>9</v>
      </c>
      <c r="F12" s="429" t="s">
        <v>6</v>
      </c>
      <c r="G12" s="398" t="s">
        <v>10</v>
      </c>
      <c r="H12" s="398" t="s">
        <v>5</v>
      </c>
      <c r="I12" s="430" t="s">
        <v>9</v>
      </c>
      <c r="J12" s="431"/>
      <c r="K12" s="383"/>
      <c r="L12" s="383"/>
      <c r="M12" s="383"/>
      <c r="N12" s="383"/>
      <c r="O12" s="383"/>
      <c r="P12" s="383"/>
      <c r="Q12" s="383"/>
      <c r="R12" s="383"/>
      <c r="S12" s="383"/>
      <c r="T12" s="383"/>
      <c r="U12" s="383"/>
      <c r="V12" s="383"/>
      <c r="W12" s="383"/>
      <c r="X12" s="383"/>
      <c r="Y12" s="383"/>
      <c r="Z12" s="383"/>
      <c r="AA12" s="383"/>
      <c r="AB12" s="383"/>
    </row>
    <row r="13" ht="16.5" customHeight="1">
      <c r="A13" s="427"/>
      <c r="B13" s="428" t="s">
        <v>655</v>
      </c>
      <c r="C13" s="398" t="s">
        <v>6</v>
      </c>
      <c r="D13" s="398" t="s">
        <v>10</v>
      </c>
      <c r="E13" s="429" t="s">
        <v>5</v>
      </c>
      <c r="F13" s="429" t="s">
        <v>9</v>
      </c>
      <c r="G13" s="398" t="s">
        <v>6</v>
      </c>
      <c r="H13" s="398" t="s">
        <v>10</v>
      </c>
      <c r="I13" s="432" t="s">
        <v>5</v>
      </c>
      <c r="J13" s="433"/>
      <c r="K13" s="383"/>
      <c r="L13" s="383"/>
      <c r="M13" s="383"/>
      <c r="N13" s="383"/>
      <c r="O13" s="383"/>
      <c r="P13" s="383"/>
      <c r="Q13" s="383"/>
      <c r="R13" s="383"/>
      <c r="S13" s="383"/>
      <c r="T13" s="383"/>
      <c r="U13" s="383"/>
      <c r="V13" s="383"/>
      <c r="W13" s="383"/>
      <c r="X13" s="383"/>
      <c r="Y13" s="383"/>
      <c r="Z13" s="383"/>
      <c r="AA13" s="383"/>
      <c r="AB13" s="383"/>
    </row>
    <row r="14" ht="16.5" customHeight="1">
      <c r="A14" s="427"/>
      <c r="B14" s="434" t="s">
        <v>656</v>
      </c>
      <c r="C14" s="406" t="s">
        <v>9</v>
      </c>
      <c r="D14" s="406" t="s">
        <v>6</v>
      </c>
      <c r="E14" s="435" t="s">
        <v>10</v>
      </c>
      <c r="F14" s="435" t="s">
        <v>5</v>
      </c>
      <c r="G14" s="406" t="s">
        <v>9</v>
      </c>
      <c r="H14" s="406" t="s">
        <v>6</v>
      </c>
      <c r="I14" s="436" t="s">
        <v>10</v>
      </c>
      <c r="J14" s="431"/>
      <c r="K14" s="383"/>
      <c r="L14" s="383"/>
      <c r="M14" s="383"/>
      <c r="N14" s="383"/>
      <c r="O14" s="383"/>
      <c r="P14" s="383"/>
      <c r="Q14" s="383"/>
      <c r="R14" s="383"/>
      <c r="S14" s="383"/>
      <c r="T14" s="383"/>
      <c r="U14" s="383"/>
      <c r="V14" s="383"/>
      <c r="W14" s="383"/>
      <c r="X14" s="383"/>
      <c r="Y14" s="383"/>
      <c r="Z14" s="383"/>
      <c r="AA14" s="383"/>
      <c r="AB14" s="383"/>
    </row>
    <row r="15" ht="16.5" customHeight="1">
      <c r="A15" s="427"/>
      <c r="B15" s="437" t="s">
        <v>657</v>
      </c>
      <c r="C15" s="438" t="s">
        <v>5</v>
      </c>
      <c r="D15" s="438" t="s">
        <v>9</v>
      </c>
      <c r="E15" s="439" t="s">
        <v>6</v>
      </c>
      <c r="F15" s="439" t="s">
        <v>10</v>
      </c>
      <c r="G15" s="438" t="s">
        <v>5</v>
      </c>
      <c r="H15" s="438" t="s">
        <v>9</v>
      </c>
      <c r="I15" s="440" t="s">
        <v>6</v>
      </c>
      <c r="J15" s="431"/>
      <c r="K15" s="383"/>
      <c r="L15" s="383"/>
      <c r="M15" s="383"/>
      <c r="N15" s="383"/>
      <c r="O15" s="383"/>
      <c r="P15" s="383"/>
      <c r="Q15" s="383"/>
      <c r="R15" s="383"/>
      <c r="S15" s="383"/>
      <c r="T15" s="383"/>
      <c r="U15" s="383"/>
      <c r="V15" s="383"/>
      <c r="W15" s="383"/>
      <c r="X15" s="383"/>
      <c r="Y15" s="383"/>
      <c r="Z15" s="383"/>
      <c r="AA15" s="383"/>
      <c r="AB15" s="383"/>
    </row>
    <row r="16" ht="16.5" customHeight="1">
      <c r="A16" s="441"/>
      <c r="B16" s="442" t="s">
        <v>658</v>
      </c>
      <c r="C16" s="443" t="s">
        <v>659</v>
      </c>
      <c r="D16" s="444"/>
      <c r="E16" s="443"/>
      <c r="F16" s="444"/>
      <c r="G16" s="444"/>
      <c r="H16" s="444"/>
      <c r="I16" s="444"/>
      <c r="J16" s="445"/>
      <c r="K16" s="446"/>
      <c r="L16" s="446"/>
      <c r="M16" s="446"/>
      <c r="N16" s="446"/>
      <c r="O16" s="446"/>
      <c r="P16" s="446"/>
      <c r="Q16" s="446"/>
      <c r="R16" s="446"/>
      <c r="S16" s="446"/>
      <c r="T16" s="446"/>
      <c r="U16" s="446"/>
      <c r="V16" s="446"/>
      <c r="W16" s="446"/>
      <c r="X16" s="446"/>
      <c r="Y16" s="446"/>
      <c r="Z16" s="446"/>
      <c r="AA16" s="446"/>
      <c r="AB16" s="446"/>
    </row>
    <row r="17" ht="9.75" customHeight="1">
      <c r="A17" s="384"/>
      <c r="B17" s="384"/>
      <c r="C17" s="387" t="s">
        <v>652</v>
      </c>
      <c r="D17" s="387" t="s">
        <v>651</v>
      </c>
      <c r="E17" s="387" t="s">
        <v>651</v>
      </c>
      <c r="F17" s="387" t="s">
        <v>651</v>
      </c>
      <c r="G17" s="387" t="s">
        <v>660</v>
      </c>
      <c r="H17" s="387" t="s">
        <v>651</v>
      </c>
      <c r="I17" s="387" t="s">
        <v>651</v>
      </c>
      <c r="J17" s="388"/>
      <c r="K17" s="388"/>
      <c r="L17" s="388"/>
      <c r="M17" s="388"/>
      <c r="N17" s="388"/>
      <c r="O17" s="388"/>
      <c r="P17" s="388"/>
      <c r="Q17" s="388"/>
      <c r="R17" s="388"/>
      <c r="S17" s="388"/>
      <c r="T17" s="388"/>
      <c r="U17" s="388"/>
      <c r="V17" s="388"/>
      <c r="W17" s="388"/>
      <c r="X17" s="388"/>
      <c r="Y17" s="388"/>
      <c r="Z17" s="388"/>
      <c r="AA17" s="388"/>
      <c r="AB17" s="388"/>
    </row>
    <row r="18" ht="16.5" customHeight="1">
      <c r="A18" s="389"/>
      <c r="B18" s="447"/>
      <c r="C18" s="448">
        <v>44060.0</v>
      </c>
      <c r="D18" s="448">
        <v>44061.0</v>
      </c>
      <c r="E18" s="448">
        <v>44062.0</v>
      </c>
      <c r="F18" s="448">
        <v>44063.0</v>
      </c>
      <c r="G18" s="448">
        <v>44064.0</v>
      </c>
      <c r="H18" s="448">
        <v>44065.0</v>
      </c>
      <c r="I18" s="448">
        <v>44066.0</v>
      </c>
      <c r="J18" s="449"/>
      <c r="K18" s="383"/>
      <c r="L18" s="383"/>
      <c r="M18" s="383"/>
      <c r="N18" s="383"/>
      <c r="O18" s="383"/>
      <c r="P18" s="383"/>
      <c r="Q18" s="383"/>
      <c r="R18" s="383"/>
      <c r="S18" s="383"/>
      <c r="T18" s="383"/>
      <c r="U18" s="383"/>
      <c r="V18" s="383"/>
      <c r="W18" s="383"/>
      <c r="X18" s="383"/>
      <c r="Y18" s="383"/>
      <c r="Z18" s="383"/>
      <c r="AA18" s="383"/>
      <c r="AB18" s="383"/>
    </row>
    <row r="19" ht="16.5" customHeight="1">
      <c r="A19" s="382"/>
      <c r="B19" s="450" t="s">
        <v>654</v>
      </c>
      <c r="C19" s="397" t="s">
        <v>6</v>
      </c>
      <c r="D19" s="398" t="s">
        <v>10</v>
      </c>
      <c r="E19" s="398" t="s">
        <v>5</v>
      </c>
      <c r="F19" s="397" t="s">
        <v>9</v>
      </c>
      <c r="G19" s="397" t="s">
        <v>6</v>
      </c>
      <c r="H19" s="398" t="s">
        <v>10</v>
      </c>
      <c r="I19" s="451" t="s">
        <v>5</v>
      </c>
      <c r="J19" s="452"/>
      <c r="K19" s="383"/>
      <c r="L19" s="383"/>
      <c r="M19" s="383"/>
      <c r="N19" s="383"/>
      <c r="O19" s="383"/>
      <c r="P19" s="383"/>
      <c r="Q19" s="383"/>
      <c r="R19" s="383"/>
      <c r="S19" s="383"/>
      <c r="T19" s="383"/>
      <c r="U19" s="383"/>
      <c r="V19" s="383"/>
      <c r="W19" s="383"/>
      <c r="X19" s="383"/>
      <c r="Y19" s="383"/>
      <c r="Z19" s="383"/>
      <c r="AA19" s="383"/>
      <c r="AB19" s="383"/>
    </row>
    <row r="20" ht="16.5" customHeight="1">
      <c r="A20" s="382"/>
      <c r="B20" s="450" t="s">
        <v>655</v>
      </c>
      <c r="C20" s="397" t="s">
        <v>9</v>
      </c>
      <c r="D20" s="398" t="s">
        <v>6</v>
      </c>
      <c r="E20" s="398" t="s">
        <v>10</v>
      </c>
      <c r="F20" s="397" t="s">
        <v>5</v>
      </c>
      <c r="G20" s="397" t="s">
        <v>9</v>
      </c>
      <c r="H20" s="398" t="s">
        <v>6</v>
      </c>
      <c r="I20" s="453" t="s">
        <v>10</v>
      </c>
      <c r="J20" s="452"/>
      <c r="K20" s="383"/>
      <c r="L20" s="383"/>
      <c r="M20" s="383"/>
      <c r="N20" s="383"/>
      <c r="O20" s="383"/>
      <c r="P20" s="383"/>
      <c r="Q20" s="383"/>
      <c r="R20" s="383"/>
      <c r="S20" s="383"/>
      <c r="T20" s="383"/>
      <c r="U20" s="383"/>
      <c r="V20" s="383"/>
      <c r="W20" s="383"/>
      <c r="X20" s="383"/>
      <c r="Y20" s="383"/>
      <c r="Z20" s="383"/>
      <c r="AA20" s="383"/>
      <c r="AB20" s="383"/>
    </row>
    <row r="21" ht="16.5" customHeight="1">
      <c r="A21" s="382"/>
      <c r="B21" s="454" t="s">
        <v>656</v>
      </c>
      <c r="C21" s="407" t="s">
        <v>5</v>
      </c>
      <c r="D21" s="406" t="s">
        <v>9</v>
      </c>
      <c r="E21" s="406" t="s">
        <v>6</v>
      </c>
      <c r="F21" s="407" t="s">
        <v>10</v>
      </c>
      <c r="G21" s="407" t="s">
        <v>5</v>
      </c>
      <c r="H21" s="406" t="s">
        <v>9</v>
      </c>
      <c r="I21" s="455" t="s">
        <v>6</v>
      </c>
      <c r="J21" s="452"/>
      <c r="K21" s="383"/>
      <c r="L21" s="383"/>
      <c r="M21" s="383"/>
      <c r="N21" s="383"/>
      <c r="O21" s="383"/>
      <c r="P21" s="383"/>
      <c r="Q21" s="383"/>
      <c r="R21" s="383"/>
      <c r="S21" s="383"/>
      <c r="T21" s="383"/>
      <c r="U21" s="383"/>
      <c r="V21" s="383"/>
      <c r="W21" s="383"/>
      <c r="X21" s="383"/>
      <c r="Y21" s="383"/>
      <c r="Z21" s="383"/>
      <c r="AA21" s="383"/>
      <c r="AB21" s="383"/>
    </row>
    <row r="22" ht="16.5" customHeight="1">
      <c r="A22" s="382"/>
      <c r="B22" s="456" t="s">
        <v>657</v>
      </c>
      <c r="C22" s="411" t="s">
        <v>10</v>
      </c>
      <c r="D22" s="413" t="s">
        <v>5</v>
      </c>
      <c r="E22" s="413" t="s">
        <v>9</v>
      </c>
      <c r="F22" s="411" t="s">
        <v>6</v>
      </c>
      <c r="G22" s="411" t="s">
        <v>10</v>
      </c>
      <c r="H22" s="413" t="s">
        <v>5</v>
      </c>
      <c r="I22" s="457" t="s">
        <v>9</v>
      </c>
      <c r="J22" s="452"/>
      <c r="K22" s="383"/>
      <c r="L22" s="383"/>
      <c r="M22" s="383"/>
      <c r="N22" s="383"/>
      <c r="O22" s="383"/>
      <c r="P22" s="383"/>
      <c r="Q22" s="383"/>
      <c r="R22" s="383"/>
      <c r="S22" s="383"/>
      <c r="T22" s="383"/>
      <c r="U22" s="383"/>
      <c r="V22" s="383"/>
      <c r="W22" s="383"/>
      <c r="X22" s="383"/>
      <c r="Y22" s="383"/>
      <c r="Z22" s="383"/>
      <c r="AA22" s="383"/>
      <c r="AB22" s="383"/>
    </row>
    <row r="23" ht="16.5" customHeight="1">
      <c r="A23" s="389"/>
      <c r="B23" s="458" t="s">
        <v>661</v>
      </c>
      <c r="C23" s="459"/>
      <c r="D23" s="459"/>
      <c r="E23" s="459"/>
      <c r="F23" s="459"/>
      <c r="G23" s="459"/>
      <c r="H23" s="459"/>
      <c r="I23" s="459"/>
      <c r="J23" s="460"/>
      <c r="K23" s="383"/>
      <c r="L23" s="383"/>
      <c r="M23" s="383"/>
      <c r="N23" s="383"/>
      <c r="O23" s="383"/>
      <c r="P23" s="383"/>
      <c r="Q23" s="383"/>
      <c r="R23" s="383"/>
      <c r="S23" s="383"/>
      <c r="T23" s="383"/>
      <c r="U23" s="383"/>
      <c r="V23" s="383"/>
      <c r="W23" s="383"/>
      <c r="X23" s="383"/>
      <c r="Y23" s="383"/>
      <c r="Z23" s="383"/>
      <c r="AA23" s="383"/>
      <c r="AB23" s="383"/>
    </row>
    <row r="24" ht="12.0" customHeight="1">
      <c r="A24" s="384"/>
      <c r="B24" s="384"/>
      <c r="C24" s="387" t="s">
        <v>651</v>
      </c>
      <c r="D24" s="387" t="s">
        <v>652</v>
      </c>
      <c r="E24" s="387" t="s">
        <v>651</v>
      </c>
      <c r="F24" s="387" t="s">
        <v>651</v>
      </c>
      <c r="G24" s="387" t="s">
        <v>651</v>
      </c>
      <c r="H24" s="387" t="s">
        <v>660</v>
      </c>
      <c r="I24" s="387" t="s">
        <v>651</v>
      </c>
      <c r="J24" s="388"/>
      <c r="K24" s="388"/>
      <c r="L24" s="388"/>
      <c r="M24" s="388"/>
      <c r="N24" s="388"/>
      <c r="O24" s="388"/>
      <c r="P24" s="388"/>
      <c r="Q24" s="388"/>
      <c r="R24" s="388"/>
      <c r="S24" s="388"/>
      <c r="T24" s="388"/>
      <c r="U24" s="388"/>
      <c r="V24" s="388"/>
      <c r="W24" s="388"/>
      <c r="X24" s="388"/>
      <c r="Y24" s="388"/>
      <c r="Z24" s="388"/>
      <c r="AA24" s="388"/>
      <c r="AB24" s="388"/>
    </row>
    <row r="25" ht="16.5" customHeight="1">
      <c r="A25" s="389"/>
      <c r="B25" s="424"/>
      <c r="C25" s="425">
        <v>44067.0</v>
      </c>
      <c r="D25" s="425">
        <v>44068.0</v>
      </c>
      <c r="E25" s="425">
        <v>44069.0</v>
      </c>
      <c r="F25" s="425">
        <v>44070.0</v>
      </c>
      <c r="G25" s="425">
        <v>44071.0</v>
      </c>
      <c r="H25" s="425">
        <v>44072.0</v>
      </c>
      <c r="I25" s="425">
        <v>44073.0</v>
      </c>
      <c r="J25" s="461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Y25" s="383"/>
      <c r="Z25" s="383"/>
      <c r="AA25" s="383"/>
      <c r="AB25" s="383"/>
    </row>
    <row r="26" ht="16.5" customHeight="1">
      <c r="A26" s="382"/>
      <c r="B26" s="428" t="s">
        <v>654</v>
      </c>
      <c r="C26" s="397" t="s">
        <v>9</v>
      </c>
      <c r="D26" s="397" t="s">
        <v>6</v>
      </c>
      <c r="E26" s="398" t="s">
        <v>10</v>
      </c>
      <c r="F26" s="398" t="s">
        <v>5</v>
      </c>
      <c r="G26" s="397" t="s">
        <v>9</v>
      </c>
      <c r="H26" s="398" t="s">
        <v>6</v>
      </c>
      <c r="I26" s="451" t="s">
        <v>10</v>
      </c>
      <c r="J26" s="431"/>
      <c r="K26" s="383"/>
      <c r="L26" s="383"/>
      <c r="M26" s="383"/>
      <c r="N26" s="383"/>
      <c r="O26" s="383"/>
      <c r="P26" s="383"/>
      <c r="Q26" s="383"/>
      <c r="R26" s="383"/>
      <c r="S26" s="383"/>
      <c r="T26" s="383"/>
      <c r="U26" s="383"/>
      <c r="V26" s="383"/>
      <c r="W26" s="383"/>
      <c r="X26" s="383"/>
      <c r="Y26" s="383"/>
      <c r="Z26" s="383"/>
      <c r="AA26" s="383"/>
      <c r="AB26" s="383"/>
    </row>
    <row r="27" ht="16.5" customHeight="1">
      <c r="A27" s="382"/>
      <c r="B27" s="428" t="s">
        <v>655</v>
      </c>
      <c r="C27" s="397" t="s">
        <v>5</v>
      </c>
      <c r="D27" s="397" t="s">
        <v>9</v>
      </c>
      <c r="E27" s="398" t="s">
        <v>6</v>
      </c>
      <c r="F27" s="398" t="s">
        <v>10</v>
      </c>
      <c r="G27" s="397" t="s">
        <v>5</v>
      </c>
      <c r="H27" s="398" t="s">
        <v>9</v>
      </c>
      <c r="I27" s="453" t="s">
        <v>6</v>
      </c>
      <c r="J27" s="431"/>
      <c r="K27" s="383"/>
      <c r="L27" s="383"/>
      <c r="M27" s="383"/>
      <c r="N27" s="383"/>
      <c r="O27" s="383"/>
      <c r="P27" s="383"/>
      <c r="Q27" s="383"/>
      <c r="R27" s="383"/>
      <c r="S27" s="383"/>
      <c r="T27" s="383"/>
      <c r="U27" s="383"/>
      <c r="V27" s="383"/>
      <c r="W27" s="383"/>
      <c r="X27" s="383"/>
      <c r="Y27" s="383"/>
      <c r="Z27" s="383"/>
      <c r="AA27" s="383"/>
      <c r="AB27" s="383"/>
    </row>
    <row r="28" ht="16.5" customHeight="1">
      <c r="A28" s="382"/>
      <c r="B28" s="434" t="s">
        <v>656</v>
      </c>
      <c r="C28" s="407" t="s">
        <v>10</v>
      </c>
      <c r="D28" s="407" t="s">
        <v>5</v>
      </c>
      <c r="E28" s="406" t="s">
        <v>9</v>
      </c>
      <c r="F28" s="406" t="s">
        <v>6</v>
      </c>
      <c r="G28" s="407" t="s">
        <v>10</v>
      </c>
      <c r="H28" s="406" t="s">
        <v>5</v>
      </c>
      <c r="I28" s="462" t="s">
        <v>9</v>
      </c>
      <c r="J28" s="431"/>
      <c r="K28" s="383"/>
      <c r="L28" s="383"/>
      <c r="M28" s="383"/>
      <c r="N28" s="383"/>
      <c r="O28" s="383"/>
      <c r="P28" s="383"/>
      <c r="Q28" s="383"/>
      <c r="R28" s="383"/>
      <c r="S28" s="383"/>
      <c r="T28" s="383"/>
      <c r="U28" s="383"/>
      <c r="V28" s="383"/>
      <c r="W28" s="383"/>
      <c r="X28" s="383"/>
      <c r="Y28" s="383"/>
      <c r="Z28" s="383"/>
      <c r="AA28" s="383"/>
      <c r="AB28" s="383"/>
    </row>
    <row r="29" ht="16.5" customHeight="1">
      <c r="A29" s="382"/>
      <c r="B29" s="463" t="s">
        <v>657</v>
      </c>
      <c r="C29" s="411" t="s">
        <v>6</v>
      </c>
      <c r="D29" s="411" t="s">
        <v>10</v>
      </c>
      <c r="E29" s="413" t="s">
        <v>5</v>
      </c>
      <c r="F29" s="413" t="s">
        <v>9</v>
      </c>
      <c r="G29" s="411" t="s">
        <v>6</v>
      </c>
      <c r="H29" s="413" t="s">
        <v>10</v>
      </c>
      <c r="I29" s="464" t="s">
        <v>5</v>
      </c>
      <c r="J29" s="431"/>
      <c r="K29" s="383"/>
      <c r="L29" s="383"/>
      <c r="M29" s="383"/>
      <c r="N29" s="383"/>
      <c r="O29" s="383"/>
      <c r="P29" s="383"/>
      <c r="Q29" s="383"/>
      <c r="R29" s="383"/>
      <c r="S29" s="383"/>
      <c r="T29" s="383"/>
      <c r="U29" s="383"/>
      <c r="V29" s="383"/>
      <c r="W29" s="383"/>
      <c r="X29" s="383"/>
      <c r="Y29" s="383"/>
      <c r="Z29" s="383"/>
      <c r="AA29" s="383"/>
      <c r="AB29" s="383"/>
    </row>
    <row r="30" ht="16.5" customHeight="1">
      <c r="A30" s="465"/>
      <c r="B30" s="442" t="s">
        <v>661</v>
      </c>
      <c r="C30" s="466"/>
      <c r="D30" s="466"/>
      <c r="E30" s="466"/>
      <c r="F30" s="466"/>
      <c r="G30" s="466"/>
      <c r="H30" s="466"/>
      <c r="I30" s="466"/>
      <c r="J30" s="467"/>
      <c r="K30" s="383"/>
      <c r="L30" s="383"/>
      <c r="M30" s="383"/>
      <c r="N30" s="383"/>
      <c r="O30" s="383"/>
      <c r="P30" s="383"/>
      <c r="Q30" s="383"/>
      <c r="R30" s="383"/>
      <c r="S30" s="383"/>
      <c r="T30" s="383"/>
      <c r="U30" s="383"/>
      <c r="V30" s="383"/>
      <c r="W30" s="383"/>
      <c r="X30" s="383"/>
      <c r="Y30" s="383"/>
      <c r="Z30" s="383"/>
      <c r="AA30" s="383"/>
      <c r="AB30" s="383"/>
    </row>
    <row r="31" ht="16.5" customHeight="1">
      <c r="A31" s="465"/>
      <c r="B31" s="465"/>
      <c r="C31" s="468"/>
      <c r="D31" s="468"/>
      <c r="E31" s="468"/>
      <c r="F31" s="468"/>
      <c r="G31" s="468"/>
      <c r="H31" s="468"/>
      <c r="I31" s="468"/>
      <c r="J31" s="468"/>
      <c r="K31" s="383"/>
      <c r="L31" s="383"/>
      <c r="M31" s="383"/>
      <c r="N31" s="383"/>
      <c r="O31" s="383"/>
      <c r="P31" s="383"/>
      <c r="Q31" s="383"/>
      <c r="R31" s="383"/>
      <c r="S31" s="383"/>
      <c r="T31" s="383"/>
      <c r="U31" s="383"/>
      <c r="V31" s="383"/>
      <c r="W31" s="383"/>
      <c r="X31" s="383"/>
      <c r="Y31" s="383"/>
      <c r="Z31" s="383"/>
      <c r="AA31" s="383"/>
      <c r="AB31" s="383"/>
    </row>
    <row r="32" ht="16.5" customHeight="1">
      <c r="A32" s="465"/>
      <c r="B32" s="465"/>
      <c r="C32" s="468"/>
      <c r="D32" s="468"/>
      <c r="E32" s="468"/>
      <c r="F32" s="468"/>
      <c r="G32" s="468"/>
      <c r="H32" s="468"/>
      <c r="I32" s="468"/>
      <c r="J32" s="468"/>
      <c r="K32" s="383"/>
      <c r="L32" s="383"/>
      <c r="M32" s="383"/>
      <c r="N32" s="383"/>
      <c r="O32" s="383"/>
      <c r="P32" s="383"/>
      <c r="Q32" s="383"/>
      <c r="R32" s="383"/>
      <c r="S32" s="383"/>
      <c r="T32" s="383"/>
      <c r="U32" s="383"/>
      <c r="V32" s="383"/>
      <c r="W32" s="383"/>
      <c r="X32" s="383"/>
      <c r="Y32" s="383"/>
      <c r="Z32" s="383"/>
      <c r="AA32" s="383"/>
      <c r="AB32" s="383"/>
    </row>
    <row r="33" ht="16.5" customHeight="1">
      <c r="A33" s="465"/>
      <c r="B33" s="465"/>
      <c r="C33" s="468"/>
      <c r="D33" s="468"/>
      <c r="E33" s="468"/>
      <c r="F33" s="468"/>
      <c r="G33" s="468"/>
      <c r="H33" s="468"/>
      <c r="I33" s="468"/>
      <c r="J33" s="468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Y33" s="383"/>
      <c r="Z33" s="383"/>
      <c r="AA33" s="383"/>
      <c r="AB33" s="383"/>
    </row>
    <row r="34" ht="16.5" customHeight="1">
      <c r="A34" s="465"/>
      <c r="B34" s="465"/>
      <c r="C34" s="468"/>
      <c r="D34" s="468"/>
      <c r="E34" s="468"/>
      <c r="F34" s="468"/>
      <c r="G34" s="468"/>
      <c r="H34" s="468"/>
      <c r="I34" s="468"/>
      <c r="J34" s="383"/>
      <c r="K34" s="383"/>
      <c r="L34" s="383"/>
      <c r="M34" s="383"/>
      <c r="N34" s="383"/>
      <c r="O34" s="383"/>
      <c r="P34" s="383"/>
      <c r="Q34" s="383"/>
      <c r="R34" s="383"/>
      <c r="S34" s="383"/>
      <c r="T34" s="383"/>
      <c r="U34" s="383"/>
      <c r="V34" s="383"/>
      <c r="W34" s="383"/>
      <c r="X34" s="383"/>
      <c r="Y34" s="383"/>
      <c r="Z34" s="383"/>
      <c r="AA34" s="383"/>
      <c r="AB34" s="383"/>
    </row>
    <row r="35" ht="16.5" customHeight="1">
      <c r="A35" s="465"/>
      <c r="B35" s="465"/>
      <c r="C35" s="468"/>
      <c r="D35" s="468"/>
      <c r="E35" s="468"/>
      <c r="F35" s="468"/>
      <c r="G35" s="468"/>
      <c r="H35" s="468"/>
      <c r="I35" s="468"/>
      <c r="J35" s="468"/>
      <c r="K35" s="383"/>
      <c r="L35" s="383"/>
      <c r="M35" s="383"/>
      <c r="N35" s="383"/>
      <c r="O35" s="383"/>
      <c r="P35" s="383"/>
      <c r="Q35" s="383"/>
      <c r="R35" s="383"/>
      <c r="S35" s="383"/>
      <c r="T35" s="383"/>
      <c r="U35" s="383"/>
      <c r="V35" s="383"/>
      <c r="W35" s="383"/>
      <c r="X35" s="383"/>
      <c r="Y35" s="383"/>
      <c r="Z35" s="383"/>
      <c r="AA35" s="383"/>
      <c r="AB35" s="383"/>
    </row>
    <row r="36" ht="16.5" customHeight="1">
      <c r="A36" s="423"/>
      <c r="B36" s="389"/>
      <c r="C36" s="468" t="s">
        <v>651</v>
      </c>
      <c r="D36" s="468" t="s">
        <v>651</v>
      </c>
      <c r="E36" s="468" t="s">
        <v>651</v>
      </c>
      <c r="F36" s="468" t="s">
        <v>652</v>
      </c>
      <c r="G36" s="468" t="s">
        <v>651</v>
      </c>
      <c r="H36" s="468" t="s">
        <v>651</v>
      </c>
      <c r="I36" s="468" t="s">
        <v>651</v>
      </c>
      <c r="J36" s="383"/>
      <c r="K36" s="383"/>
      <c r="L36" s="383"/>
      <c r="M36" s="383"/>
      <c r="N36" s="383"/>
      <c r="O36" s="383"/>
      <c r="P36" s="383"/>
      <c r="Q36" s="383"/>
      <c r="R36" s="383"/>
      <c r="S36" s="383"/>
      <c r="T36" s="383"/>
      <c r="U36" s="383"/>
      <c r="V36" s="383"/>
      <c r="W36" s="383"/>
      <c r="X36" s="383"/>
      <c r="Y36" s="383"/>
      <c r="Z36" s="383"/>
      <c r="AA36" s="383"/>
      <c r="AB36" s="383"/>
    </row>
    <row r="37" ht="16.5" customHeight="1">
      <c r="A37" s="423"/>
      <c r="B37" s="389"/>
      <c r="C37" s="389">
        <v>44109.0</v>
      </c>
      <c r="D37" s="389">
        <v>44054.0</v>
      </c>
      <c r="E37" s="389">
        <v>44055.0</v>
      </c>
      <c r="F37" s="389">
        <v>44056.0</v>
      </c>
      <c r="G37" s="389">
        <v>44057.0</v>
      </c>
      <c r="H37" s="389">
        <v>44058.0</v>
      </c>
      <c r="I37" s="389">
        <v>44059.0</v>
      </c>
      <c r="J37" s="383"/>
      <c r="K37" s="383"/>
      <c r="L37" s="383"/>
      <c r="M37" s="383"/>
      <c r="N37" s="383"/>
      <c r="O37" s="383"/>
      <c r="P37" s="383"/>
      <c r="Q37" s="383"/>
      <c r="R37" s="383"/>
      <c r="S37" s="383"/>
      <c r="T37" s="383"/>
      <c r="U37" s="383"/>
      <c r="V37" s="383"/>
      <c r="W37" s="383"/>
      <c r="X37" s="383"/>
      <c r="Y37" s="383"/>
      <c r="Z37" s="383"/>
      <c r="AA37" s="383"/>
      <c r="AB37" s="383"/>
    </row>
    <row r="38" ht="16.5" customHeight="1">
      <c r="A38" s="427"/>
      <c r="B38" s="469" t="s">
        <v>654</v>
      </c>
      <c r="C38" s="470" t="s">
        <v>10</v>
      </c>
      <c r="D38" s="470" t="s">
        <v>10</v>
      </c>
      <c r="E38" s="470" t="s">
        <v>10</v>
      </c>
      <c r="F38" s="470" t="s">
        <v>9</v>
      </c>
      <c r="G38" s="471" t="s">
        <v>9</v>
      </c>
      <c r="H38" s="470" t="s">
        <v>9</v>
      </c>
      <c r="I38" s="471" t="s">
        <v>10</v>
      </c>
      <c r="J38" s="383"/>
      <c r="K38" s="383"/>
      <c r="L38" s="383"/>
      <c r="M38" s="383"/>
      <c r="N38" s="383"/>
      <c r="O38" s="383"/>
      <c r="P38" s="383"/>
      <c r="Q38" s="383"/>
      <c r="R38" s="383"/>
      <c r="S38" s="383"/>
      <c r="T38" s="383"/>
      <c r="U38" s="383"/>
      <c r="V38" s="383"/>
      <c r="W38" s="383"/>
      <c r="X38" s="383"/>
      <c r="Y38" s="383"/>
      <c r="Z38" s="383"/>
      <c r="AA38" s="383"/>
      <c r="AB38" s="383"/>
    </row>
    <row r="39" ht="16.5" customHeight="1">
      <c r="A39" s="427"/>
      <c r="B39" s="472" t="s">
        <v>662</v>
      </c>
      <c r="C39" s="398" t="s">
        <v>5</v>
      </c>
      <c r="D39" s="398" t="s">
        <v>5</v>
      </c>
      <c r="E39" s="398" t="s">
        <v>5</v>
      </c>
      <c r="F39" s="398" t="s">
        <v>6</v>
      </c>
      <c r="G39" s="473" t="s">
        <v>6</v>
      </c>
      <c r="H39" s="406" t="s">
        <v>6</v>
      </c>
      <c r="I39" s="474" t="s">
        <v>5</v>
      </c>
      <c r="J39" s="383"/>
      <c r="K39" s="383"/>
      <c r="L39" s="383"/>
      <c r="M39" s="383"/>
      <c r="N39" s="383"/>
      <c r="O39" s="383"/>
      <c r="P39" s="383"/>
      <c r="Q39" s="383"/>
      <c r="R39" s="383"/>
      <c r="S39" s="383"/>
      <c r="T39" s="383"/>
      <c r="U39" s="383"/>
      <c r="V39" s="383"/>
      <c r="W39" s="383"/>
      <c r="X39" s="383"/>
      <c r="Y39" s="383"/>
      <c r="Z39" s="383"/>
      <c r="AA39" s="383"/>
      <c r="AB39" s="383"/>
    </row>
    <row r="40" ht="16.5" customHeight="1">
      <c r="A40" s="427"/>
      <c r="B40" s="475" t="s">
        <v>663</v>
      </c>
      <c r="C40" s="398" t="s">
        <v>6</v>
      </c>
      <c r="D40" s="398" t="s">
        <v>6</v>
      </c>
      <c r="E40" s="398" t="s">
        <v>6</v>
      </c>
      <c r="F40" s="476" t="s">
        <v>5</v>
      </c>
      <c r="G40" s="476" t="s">
        <v>5</v>
      </c>
      <c r="H40" s="477" t="s">
        <v>5</v>
      </c>
      <c r="I40" s="478" t="s">
        <v>9</v>
      </c>
      <c r="J40" s="383"/>
      <c r="K40" s="383"/>
      <c r="L40" s="383"/>
      <c r="M40" s="383"/>
      <c r="N40" s="383"/>
      <c r="O40" s="383"/>
      <c r="P40" s="383"/>
      <c r="Q40" s="383"/>
      <c r="R40" s="383"/>
      <c r="S40" s="383"/>
      <c r="T40" s="383"/>
      <c r="U40" s="383"/>
      <c r="V40" s="383"/>
      <c r="W40" s="383"/>
      <c r="X40" s="383"/>
      <c r="Y40" s="383"/>
      <c r="Z40" s="383"/>
      <c r="AA40" s="383"/>
      <c r="AB40" s="383"/>
    </row>
    <row r="41" ht="16.5" customHeight="1">
      <c r="A41" s="427"/>
      <c r="B41" s="479" t="s">
        <v>656</v>
      </c>
      <c r="C41" s="480" t="s">
        <v>9</v>
      </c>
      <c r="D41" s="480" t="s">
        <v>9</v>
      </c>
      <c r="E41" s="480" t="s">
        <v>9</v>
      </c>
      <c r="F41" s="480" t="s">
        <v>10</v>
      </c>
      <c r="G41" s="480" t="s">
        <v>10</v>
      </c>
      <c r="H41" s="481" t="s">
        <v>10</v>
      </c>
      <c r="I41" s="482" t="s">
        <v>6</v>
      </c>
      <c r="J41" s="383"/>
      <c r="K41" s="383"/>
      <c r="L41" s="383"/>
      <c r="M41" s="383"/>
      <c r="N41" s="383"/>
      <c r="O41" s="383"/>
      <c r="P41" s="383"/>
      <c r="Q41" s="383"/>
      <c r="R41" s="383"/>
      <c r="S41" s="383"/>
      <c r="T41" s="383"/>
      <c r="U41" s="383"/>
      <c r="V41" s="383"/>
      <c r="W41" s="383"/>
      <c r="X41" s="383"/>
      <c r="Y41" s="383"/>
      <c r="Z41" s="383"/>
      <c r="AA41" s="383"/>
      <c r="AB41" s="383"/>
    </row>
    <row r="42" ht="16.5" customHeight="1">
      <c r="A42" s="465"/>
      <c r="B42" s="465"/>
      <c r="C42" s="383"/>
      <c r="D42" s="383"/>
      <c r="E42" s="383"/>
      <c r="F42" s="383"/>
      <c r="G42" s="383"/>
      <c r="H42" s="383"/>
      <c r="I42" s="383"/>
      <c r="J42" s="383"/>
      <c r="K42" s="383"/>
      <c r="L42" s="383"/>
      <c r="M42" s="383"/>
      <c r="N42" s="383"/>
      <c r="O42" s="383"/>
      <c r="P42" s="383"/>
      <c r="Q42" s="383"/>
      <c r="R42" s="383"/>
      <c r="S42" s="383"/>
      <c r="T42" s="383"/>
      <c r="U42" s="383"/>
      <c r="V42" s="383"/>
      <c r="W42" s="383"/>
      <c r="X42" s="383"/>
      <c r="Y42" s="383"/>
      <c r="Z42" s="383"/>
      <c r="AA42" s="383"/>
      <c r="AB42" s="383"/>
    </row>
    <row r="43" ht="16.5" customHeight="1">
      <c r="A43" s="465"/>
      <c r="B43" s="465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3"/>
      <c r="Q43" s="383"/>
      <c r="R43" s="383"/>
      <c r="S43" s="383"/>
      <c r="T43" s="383"/>
      <c r="U43" s="383"/>
      <c r="V43" s="383"/>
      <c r="W43" s="383"/>
      <c r="X43" s="383"/>
      <c r="Y43" s="383"/>
      <c r="Z43" s="383"/>
      <c r="AA43" s="383"/>
      <c r="AB43" s="383"/>
    </row>
    <row r="44" ht="16.5" customHeight="1">
      <c r="A44" s="465"/>
      <c r="B44" s="465"/>
      <c r="C44" s="383"/>
      <c r="D44" s="383"/>
      <c r="E44" s="383"/>
      <c r="F44" s="383"/>
      <c r="G44" s="383"/>
      <c r="H44" s="383"/>
      <c r="I44" s="383"/>
      <c r="J44" s="383"/>
      <c r="K44" s="383"/>
      <c r="L44" s="383"/>
      <c r="M44" s="383"/>
      <c r="N44" s="383"/>
      <c r="O44" s="383"/>
      <c r="P44" s="383"/>
      <c r="Q44" s="383"/>
      <c r="R44" s="383"/>
      <c r="S44" s="383"/>
      <c r="T44" s="383"/>
      <c r="U44" s="383"/>
      <c r="V44" s="383"/>
      <c r="W44" s="383"/>
      <c r="X44" s="383"/>
      <c r="Y44" s="383"/>
      <c r="Z44" s="383"/>
      <c r="AA44" s="383"/>
      <c r="AB44" s="383"/>
    </row>
    <row r="45" ht="16.5" customHeight="1">
      <c r="A45" s="465"/>
      <c r="B45" s="465"/>
      <c r="C45" s="383"/>
      <c r="D45" s="383"/>
      <c r="E45" s="383"/>
      <c r="F45" s="383"/>
      <c r="G45" s="383"/>
      <c r="H45" s="383"/>
      <c r="I45" s="383"/>
      <c r="J45" s="383"/>
      <c r="K45" s="383"/>
      <c r="L45" s="383"/>
      <c r="M45" s="383"/>
      <c r="N45" s="383"/>
      <c r="O45" s="383"/>
      <c r="P45" s="383"/>
      <c r="Q45" s="383"/>
      <c r="R45" s="383"/>
      <c r="S45" s="383"/>
      <c r="T45" s="383"/>
      <c r="U45" s="383"/>
      <c r="V45" s="383"/>
      <c r="W45" s="383"/>
      <c r="X45" s="383"/>
      <c r="Y45" s="383"/>
      <c r="Z45" s="383"/>
      <c r="AA45" s="383"/>
      <c r="AB45" s="383"/>
    </row>
    <row r="46" ht="16.5" customHeight="1">
      <c r="A46" s="465"/>
      <c r="B46" s="465"/>
      <c r="C46" s="383"/>
      <c r="D46" s="383"/>
      <c r="E46" s="383"/>
      <c r="F46" s="383"/>
      <c r="G46" s="383"/>
      <c r="H46" s="383"/>
      <c r="I46" s="383"/>
      <c r="J46" s="383"/>
      <c r="K46" s="383"/>
      <c r="L46" s="383"/>
      <c r="M46" s="383"/>
      <c r="N46" s="383"/>
      <c r="O46" s="383"/>
      <c r="P46" s="383"/>
      <c r="Q46" s="383"/>
      <c r="R46" s="383"/>
      <c r="S46" s="383"/>
      <c r="T46" s="383"/>
      <c r="U46" s="383"/>
      <c r="V46" s="383"/>
      <c r="W46" s="383"/>
      <c r="X46" s="383"/>
      <c r="Y46" s="383"/>
      <c r="Z46" s="383"/>
      <c r="AA46" s="383"/>
      <c r="AB46" s="383"/>
    </row>
    <row r="47" ht="16.5" customHeight="1">
      <c r="A47" s="465"/>
      <c r="B47" s="465"/>
      <c r="C47" s="383"/>
      <c r="D47" s="383"/>
      <c r="E47" s="383"/>
      <c r="F47" s="383"/>
      <c r="G47" s="383"/>
      <c r="H47" s="383"/>
      <c r="I47" s="383"/>
      <c r="J47" s="383"/>
      <c r="K47" s="383"/>
      <c r="L47" s="383"/>
      <c r="M47" s="383"/>
      <c r="N47" s="383"/>
      <c r="O47" s="383"/>
      <c r="P47" s="383"/>
      <c r="Q47" s="383"/>
      <c r="R47" s="383"/>
      <c r="S47" s="383"/>
      <c r="T47" s="383"/>
      <c r="U47" s="383"/>
      <c r="V47" s="383"/>
      <c r="W47" s="383"/>
      <c r="X47" s="383"/>
      <c r="Y47" s="383"/>
      <c r="Z47" s="383"/>
      <c r="AA47" s="383"/>
      <c r="AB47" s="383"/>
    </row>
    <row r="48" ht="16.5" customHeight="1">
      <c r="A48" s="465"/>
      <c r="B48" s="465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3"/>
      <c r="Q48" s="383"/>
      <c r="R48" s="383"/>
      <c r="S48" s="383"/>
      <c r="T48" s="383"/>
      <c r="U48" s="383"/>
      <c r="V48" s="383"/>
      <c r="W48" s="383"/>
      <c r="X48" s="383"/>
      <c r="Y48" s="383"/>
      <c r="Z48" s="383"/>
      <c r="AA48" s="383"/>
      <c r="AB48" s="383"/>
    </row>
    <row r="49" ht="16.5" customHeight="1">
      <c r="A49" s="465"/>
      <c r="B49" s="465"/>
      <c r="C49" s="383"/>
      <c r="D49" s="383"/>
      <c r="E49" s="383"/>
      <c r="F49" s="383"/>
      <c r="G49" s="383"/>
      <c r="H49" s="383"/>
      <c r="I49" s="383"/>
      <c r="J49" s="383"/>
      <c r="K49" s="383"/>
      <c r="L49" s="383"/>
      <c r="M49" s="383"/>
      <c r="N49" s="383"/>
      <c r="O49" s="383"/>
      <c r="P49" s="383"/>
      <c r="Q49" s="383"/>
      <c r="R49" s="383"/>
      <c r="S49" s="383"/>
      <c r="T49" s="383"/>
      <c r="U49" s="383"/>
      <c r="V49" s="383"/>
      <c r="W49" s="383"/>
      <c r="X49" s="383"/>
      <c r="Y49" s="383"/>
      <c r="Z49" s="383"/>
      <c r="AA49" s="383"/>
      <c r="AB49" s="383"/>
    </row>
    <row r="50" ht="16.5" customHeight="1">
      <c r="A50" s="465"/>
      <c r="B50" s="465"/>
      <c r="C50" s="383"/>
      <c r="D50" s="383"/>
      <c r="E50" s="383"/>
      <c r="F50" s="383"/>
      <c r="G50" s="383"/>
      <c r="H50" s="383"/>
      <c r="I50" s="383"/>
      <c r="J50" s="383"/>
      <c r="K50" s="383"/>
      <c r="L50" s="383"/>
      <c r="M50" s="383"/>
      <c r="N50" s="383"/>
      <c r="O50" s="383"/>
      <c r="P50" s="383"/>
      <c r="Q50" s="383"/>
      <c r="R50" s="383"/>
      <c r="S50" s="383"/>
      <c r="T50" s="383"/>
      <c r="U50" s="383"/>
      <c r="V50" s="383"/>
      <c r="W50" s="383"/>
      <c r="X50" s="383"/>
      <c r="Y50" s="383"/>
      <c r="Z50" s="383"/>
      <c r="AA50" s="383"/>
      <c r="AB50" s="383"/>
    </row>
    <row r="51" ht="16.5" customHeight="1">
      <c r="A51" s="465"/>
      <c r="B51" s="465"/>
      <c r="C51" s="383"/>
      <c r="D51" s="383"/>
      <c r="E51" s="383"/>
      <c r="F51" s="383"/>
      <c r="G51" s="383"/>
      <c r="H51" s="383"/>
      <c r="I51" s="383"/>
      <c r="J51" s="383"/>
      <c r="K51" s="383"/>
      <c r="L51" s="383"/>
      <c r="M51" s="383"/>
      <c r="N51" s="383"/>
      <c r="O51" s="383"/>
      <c r="P51" s="383"/>
      <c r="Q51" s="383"/>
      <c r="R51" s="383"/>
      <c r="S51" s="383"/>
      <c r="T51" s="383"/>
      <c r="U51" s="383"/>
      <c r="V51" s="383"/>
      <c r="W51" s="383"/>
      <c r="X51" s="383"/>
      <c r="Y51" s="383"/>
      <c r="Z51" s="383"/>
      <c r="AA51" s="383"/>
      <c r="AB51" s="383"/>
    </row>
    <row r="52" ht="16.5" customHeight="1">
      <c r="A52" s="465"/>
      <c r="B52" s="465"/>
      <c r="C52" s="383"/>
      <c r="D52" s="383"/>
      <c r="E52" s="383"/>
      <c r="F52" s="383"/>
      <c r="G52" s="383"/>
      <c r="H52" s="383"/>
      <c r="I52" s="383"/>
      <c r="J52" s="383"/>
      <c r="K52" s="383"/>
      <c r="L52" s="383"/>
      <c r="M52" s="383"/>
      <c r="N52" s="383"/>
      <c r="O52" s="383"/>
      <c r="P52" s="383"/>
      <c r="Q52" s="383"/>
      <c r="R52" s="383"/>
      <c r="S52" s="383"/>
      <c r="T52" s="383"/>
      <c r="U52" s="383"/>
      <c r="V52" s="383"/>
      <c r="W52" s="383"/>
      <c r="X52" s="383"/>
      <c r="Y52" s="383"/>
      <c r="Z52" s="383"/>
      <c r="AA52" s="383"/>
      <c r="AB52" s="383"/>
    </row>
    <row r="53" ht="16.5" customHeight="1">
      <c r="A53" s="465"/>
      <c r="B53" s="465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3"/>
      <c r="Q53" s="383"/>
      <c r="R53" s="383"/>
      <c r="S53" s="383"/>
      <c r="T53" s="383"/>
      <c r="U53" s="383"/>
      <c r="V53" s="383"/>
      <c r="W53" s="383"/>
      <c r="X53" s="383"/>
      <c r="Y53" s="383"/>
      <c r="Z53" s="383"/>
      <c r="AA53" s="383"/>
      <c r="AB53" s="383"/>
    </row>
    <row r="54" ht="16.5" customHeight="1">
      <c r="A54" s="465"/>
      <c r="B54" s="465"/>
      <c r="C54" s="383"/>
      <c r="D54" s="383"/>
      <c r="E54" s="383"/>
      <c r="F54" s="383"/>
      <c r="G54" s="383"/>
      <c r="H54" s="383"/>
      <c r="I54" s="383"/>
      <c r="J54" s="383"/>
      <c r="K54" s="383"/>
      <c r="L54" s="383"/>
      <c r="M54" s="383"/>
      <c r="N54" s="383"/>
      <c r="O54" s="383"/>
      <c r="P54" s="383"/>
      <c r="Q54" s="383"/>
      <c r="R54" s="383"/>
      <c r="S54" s="383"/>
      <c r="T54" s="383"/>
      <c r="U54" s="383"/>
      <c r="V54" s="383"/>
      <c r="W54" s="383"/>
      <c r="X54" s="383"/>
      <c r="Y54" s="383"/>
      <c r="Z54" s="383"/>
      <c r="AA54" s="383"/>
      <c r="AB54" s="383"/>
    </row>
    <row r="55" ht="16.5" customHeight="1">
      <c r="A55" s="465"/>
      <c r="B55" s="465"/>
      <c r="C55" s="383"/>
      <c r="D55" s="383"/>
      <c r="E55" s="383"/>
      <c r="F55" s="383"/>
      <c r="G55" s="383"/>
      <c r="H55" s="383"/>
      <c r="I55" s="383"/>
      <c r="J55" s="383"/>
      <c r="K55" s="383"/>
      <c r="L55" s="383"/>
      <c r="M55" s="383"/>
      <c r="N55" s="383"/>
      <c r="O55" s="383"/>
      <c r="P55" s="383"/>
      <c r="Q55" s="383"/>
      <c r="R55" s="383"/>
      <c r="S55" s="383"/>
      <c r="T55" s="383"/>
      <c r="U55" s="383"/>
      <c r="V55" s="383"/>
      <c r="W55" s="383"/>
      <c r="X55" s="383"/>
      <c r="Y55" s="383"/>
      <c r="Z55" s="383"/>
      <c r="AA55" s="383"/>
      <c r="AB55" s="383"/>
    </row>
    <row r="56" ht="16.5" customHeight="1">
      <c r="A56" s="465"/>
      <c r="B56" s="465"/>
      <c r="C56" s="383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</row>
    <row r="57" ht="16.5" customHeight="1">
      <c r="A57" s="465"/>
      <c r="B57" s="465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3"/>
      <c r="Q57" s="383"/>
      <c r="R57" s="383"/>
      <c r="S57" s="383"/>
      <c r="T57" s="383"/>
      <c r="U57" s="383"/>
      <c r="V57" s="383"/>
      <c r="W57" s="383"/>
      <c r="X57" s="383"/>
      <c r="Y57" s="383"/>
      <c r="Z57" s="383"/>
      <c r="AA57" s="383"/>
      <c r="AB57" s="383"/>
    </row>
    <row r="58" ht="16.5" customHeight="1">
      <c r="A58" s="465"/>
      <c r="B58" s="465"/>
      <c r="C58" s="383"/>
      <c r="D58" s="383"/>
      <c r="E58" s="383"/>
      <c r="F58" s="383"/>
      <c r="G58" s="383"/>
      <c r="H58" s="383"/>
      <c r="I58" s="383"/>
      <c r="J58" s="383"/>
      <c r="K58" s="383"/>
      <c r="L58" s="383"/>
      <c r="M58" s="383"/>
      <c r="N58" s="383"/>
      <c r="O58" s="383"/>
      <c r="P58" s="383"/>
      <c r="Q58" s="383"/>
      <c r="R58" s="383"/>
      <c r="S58" s="383"/>
      <c r="T58" s="383"/>
      <c r="U58" s="383"/>
      <c r="V58" s="383"/>
      <c r="W58" s="383"/>
      <c r="X58" s="383"/>
      <c r="Y58" s="383"/>
      <c r="Z58" s="383"/>
      <c r="AA58" s="383"/>
      <c r="AB58" s="383"/>
    </row>
    <row r="59" ht="16.5" customHeight="1">
      <c r="A59" s="465"/>
      <c r="B59" s="465"/>
      <c r="C59" s="383"/>
      <c r="D59" s="383"/>
      <c r="E59" s="383"/>
      <c r="F59" s="383"/>
      <c r="G59" s="383"/>
      <c r="H59" s="383"/>
      <c r="I59" s="383"/>
      <c r="J59" s="383"/>
      <c r="K59" s="383"/>
      <c r="L59" s="383"/>
      <c r="M59" s="383"/>
      <c r="N59" s="383"/>
      <c r="O59" s="383"/>
      <c r="P59" s="383"/>
      <c r="Q59" s="383"/>
      <c r="R59" s="383"/>
      <c r="S59" s="383"/>
      <c r="T59" s="383"/>
      <c r="U59" s="383"/>
      <c r="V59" s="383"/>
      <c r="W59" s="383"/>
      <c r="X59" s="383"/>
      <c r="Y59" s="383"/>
      <c r="Z59" s="383"/>
      <c r="AA59" s="383"/>
      <c r="AB59" s="383"/>
    </row>
    <row r="60" ht="16.5" customHeight="1">
      <c r="A60" s="465"/>
      <c r="B60" s="465"/>
      <c r="C60" s="383"/>
      <c r="D60" s="383"/>
      <c r="E60" s="383"/>
      <c r="F60" s="383"/>
      <c r="G60" s="383"/>
      <c r="H60" s="383"/>
      <c r="I60" s="383"/>
      <c r="J60" s="383"/>
      <c r="K60" s="383"/>
      <c r="L60" s="383"/>
      <c r="M60" s="383"/>
      <c r="N60" s="383"/>
      <c r="O60" s="383"/>
      <c r="P60" s="383"/>
      <c r="Q60" s="383"/>
      <c r="R60" s="383"/>
      <c r="S60" s="383"/>
      <c r="T60" s="383"/>
      <c r="U60" s="383"/>
      <c r="V60" s="383"/>
      <c r="W60" s="383"/>
      <c r="X60" s="383"/>
      <c r="Y60" s="383"/>
      <c r="Z60" s="383"/>
      <c r="AA60" s="383"/>
      <c r="AB60" s="383"/>
    </row>
    <row r="61" ht="16.5" customHeight="1">
      <c r="A61" s="465"/>
      <c r="B61" s="465"/>
      <c r="C61" s="383"/>
      <c r="D61" s="383"/>
      <c r="E61" s="383"/>
      <c r="F61" s="383"/>
      <c r="G61" s="383"/>
      <c r="H61" s="383"/>
      <c r="I61" s="383"/>
      <c r="J61" s="383"/>
      <c r="K61" s="383"/>
      <c r="L61" s="383"/>
      <c r="M61" s="383"/>
      <c r="N61" s="383"/>
      <c r="O61" s="383"/>
      <c r="P61" s="383"/>
      <c r="Q61" s="383"/>
      <c r="R61" s="383"/>
      <c r="S61" s="383"/>
      <c r="T61" s="383"/>
      <c r="U61" s="383"/>
      <c r="V61" s="383"/>
      <c r="W61" s="383"/>
      <c r="X61" s="383"/>
      <c r="Y61" s="383"/>
      <c r="Z61" s="383"/>
      <c r="AA61" s="383"/>
      <c r="AB61" s="383"/>
    </row>
    <row r="62" ht="16.5" customHeight="1">
      <c r="A62" s="465"/>
      <c r="B62" s="465"/>
      <c r="C62" s="383"/>
      <c r="D62" s="383"/>
      <c r="E62" s="383"/>
      <c r="F62" s="383"/>
      <c r="G62" s="383"/>
      <c r="H62" s="383"/>
      <c r="I62" s="383"/>
      <c r="J62" s="383"/>
      <c r="K62" s="383"/>
      <c r="L62" s="383"/>
      <c r="M62" s="383"/>
      <c r="N62" s="383"/>
      <c r="O62" s="383"/>
      <c r="P62" s="383"/>
      <c r="Q62" s="383"/>
      <c r="R62" s="383"/>
      <c r="S62" s="383"/>
      <c r="T62" s="383"/>
      <c r="U62" s="383"/>
      <c r="V62" s="383"/>
      <c r="W62" s="383"/>
      <c r="X62" s="383"/>
      <c r="Y62" s="383"/>
      <c r="Z62" s="383"/>
      <c r="AA62" s="383"/>
      <c r="AB62" s="383"/>
    </row>
    <row r="63" ht="16.5" customHeight="1">
      <c r="A63" s="465"/>
      <c r="B63" s="465"/>
      <c r="C63" s="383"/>
      <c r="D63" s="383"/>
      <c r="E63" s="383"/>
      <c r="F63" s="383"/>
      <c r="G63" s="383"/>
      <c r="H63" s="383"/>
      <c r="I63" s="383"/>
      <c r="J63" s="383"/>
      <c r="K63" s="383"/>
      <c r="L63" s="383"/>
      <c r="M63" s="383"/>
      <c r="N63" s="383"/>
      <c r="O63" s="383"/>
      <c r="P63" s="383"/>
      <c r="Q63" s="383"/>
      <c r="R63" s="383"/>
      <c r="S63" s="383"/>
      <c r="T63" s="383"/>
      <c r="U63" s="383"/>
      <c r="V63" s="383"/>
      <c r="W63" s="383"/>
      <c r="X63" s="383"/>
      <c r="Y63" s="383"/>
      <c r="Z63" s="383"/>
      <c r="AA63" s="383"/>
      <c r="AB63" s="383"/>
    </row>
    <row r="64" ht="16.5" customHeight="1">
      <c r="A64" s="465"/>
      <c r="B64" s="465"/>
      <c r="C64" s="383"/>
      <c r="D64" s="383"/>
      <c r="E64" s="383"/>
      <c r="F64" s="383"/>
      <c r="G64" s="383"/>
      <c r="H64" s="383"/>
      <c r="I64" s="383"/>
      <c r="J64" s="383"/>
      <c r="K64" s="383"/>
      <c r="L64" s="383"/>
      <c r="M64" s="383"/>
      <c r="N64" s="383"/>
      <c r="O64" s="383"/>
      <c r="P64" s="383"/>
      <c r="Q64" s="383"/>
      <c r="R64" s="383"/>
      <c r="S64" s="383"/>
      <c r="T64" s="383"/>
      <c r="U64" s="383"/>
      <c r="V64" s="383"/>
      <c r="W64" s="383"/>
      <c r="X64" s="383"/>
      <c r="Y64" s="383"/>
      <c r="Z64" s="383"/>
      <c r="AA64" s="383"/>
      <c r="AB64" s="383"/>
    </row>
    <row r="65" ht="16.5" customHeight="1">
      <c r="A65" s="465"/>
      <c r="B65" s="465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3"/>
      <c r="Q65" s="383"/>
      <c r="R65" s="383"/>
      <c r="S65" s="383"/>
      <c r="T65" s="383"/>
      <c r="U65" s="383"/>
      <c r="V65" s="383"/>
      <c r="W65" s="383"/>
      <c r="X65" s="383"/>
      <c r="Y65" s="383"/>
      <c r="Z65" s="383"/>
      <c r="AA65" s="383"/>
      <c r="AB65" s="383"/>
    </row>
    <row r="66" ht="16.5" customHeight="1">
      <c r="A66" s="465"/>
      <c r="B66" s="465"/>
      <c r="C66" s="383"/>
      <c r="D66" s="383"/>
      <c r="E66" s="383"/>
      <c r="F66" s="383"/>
      <c r="G66" s="383"/>
      <c r="H66" s="383"/>
      <c r="I66" s="383"/>
      <c r="J66" s="383"/>
      <c r="K66" s="383"/>
      <c r="L66" s="383"/>
      <c r="M66" s="383"/>
      <c r="N66" s="383"/>
      <c r="O66" s="383"/>
      <c r="P66" s="383"/>
      <c r="Q66" s="383"/>
      <c r="R66" s="383"/>
      <c r="S66" s="383"/>
      <c r="T66" s="383"/>
      <c r="U66" s="383"/>
      <c r="V66" s="383"/>
      <c r="W66" s="383"/>
      <c r="X66" s="383"/>
      <c r="Y66" s="383"/>
      <c r="Z66" s="383"/>
      <c r="AA66" s="383"/>
      <c r="AB66" s="383"/>
    </row>
    <row r="67" ht="16.5" customHeight="1">
      <c r="A67" s="465"/>
      <c r="B67" s="465"/>
      <c r="C67" s="383"/>
      <c r="D67" s="383"/>
      <c r="E67" s="383"/>
      <c r="F67" s="383"/>
      <c r="G67" s="383"/>
      <c r="H67" s="383"/>
      <c r="I67" s="383"/>
      <c r="J67" s="383"/>
      <c r="K67" s="383"/>
      <c r="L67" s="383"/>
      <c r="M67" s="383"/>
      <c r="N67" s="383"/>
      <c r="O67" s="383"/>
      <c r="P67" s="383"/>
      <c r="Q67" s="383"/>
      <c r="R67" s="383"/>
      <c r="S67" s="383"/>
      <c r="T67" s="383"/>
      <c r="U67" s="383"/>
      <c r="V67" s="383"/>
      <c r="W67" s="383"/>
      <c r="X67" s="383"/>
      <c r="Y67" s="383"/>
      <c r="Z67" s="383"/>
      <c r="AA67" s="383"/>
      <c r="AB67" s="383"/>
    </row>
    <row r="68" ht="16.5" customHeight="1">
      <c r="A68" s="465"/>
      <c r="B68" s="465"/>
      <c r="C68" s="383"/>
      <c r="D68" s="383"/>
      <c r="E68" s="383"/>
      <c r="F68" s="383"/>
      <c r="G68" s="383"/>
      <c r="H68" s="383"/>
      <c r="I68" s="383"/>
      <c r="J68" s="383"/>
      <c r="K68" s="383"/>
      <c r="L68" s="383"/>
      <c r="M68" s="383"/>
      <c r="N68" s="383"/>
      <c r="O68" s="383"/>
      <c r="P68" s="383"/>
      <c r="Q68" s="383"/>
      <c r="R68" s="383"/>
      <c r="S68" s="383"/>
      <c r="T68" s="383"/>
      <c r="U68" s="383"/>
      <c r="V68" s="383"/>
      <c r="W68" s="383"/>
      <c r="X68" s="383"/>
      <c r="Y68" s="383"/>
      <c r="Z68" s="383"/>
      <c r="AA68" s="383"/>
      <c r="AB68" s="383"/>
    </row>
    <row r="69" ht="16.5" customHeight="1">
      <c r="A69" s="465"/>
      <c r="B69" s="465"/>
      <c r="C69" s="383"/>
      <c r="D69" s="383"/>
      <c r="E69" s="383"/>
      <c r="F69" s="383"/>
      <c r="G69" s="383"/>
      <c r="H69" s="383"/>
      <c r="I69" s="383"/>
      <c r="J69" s="383"/>
      <c r="K69" s="383"/>
      <c r="L69" s="383"/>
      <c r="M69" s="383"/>
      <c r="N69" s="383"/>
      <c r="O69" s="383"/>
      <c r="P69" s="383"/>
      <c r="Q69" s="383"/>
      <c r="R69" s="383"/>
      <c r="S69" s="383"/>
      <c r="T69" s="383"/>
      <c r="U69" s="383"/>
      <c r="V69" s="383"/>
      <c r="W69" s="383"/>
      <c r="X69" s="383"/>
      <c r="Y69" s="383"/>
      <c r="Z69" s="383"/>
      <c r="AA69" s="383"/>
      <c r="AB69" s="383"/>
    </row>
    <row r="70" ht="16.5" customHeight="1">
      <c r="A70" s="465"/>
      <c r="B70" s="465"/>
      <c r="C70" s="383"/>
      <c r="D70" s="383"/>
      <c r="E70" s="383"/>
      <c r="F70" s="383"/>
      <c r="G70" s="383"/>
      <c r="H70" s="383"/>
      <c r="I70" s="383"/>
      <c r="J70" s="383"/>
      <c r="K70" s="383"/>
      <c r="L70" s="383"/>
      <c r="M70" s="383"/>
      <c r="N70" s="383"/>
      <c r="O70" s="383"/>
      <c r="P70" s="383"/>
      <c r="Q70" s="383"/>
      <c r="R70" s="383"/>
      <c r="S70" s="383"/>
      <c r="T70" s="383"/>
      <c r="U70" s="383"/>
      <c r="V70" s="383"/>
      <c r="W70" s="383"/>
      <c r="X70" s="383"/>
      <c r="Y70" s="383"/>
      <c r="Z70" s="383"/>
      <c r="AA70" s="383"/>
      <c r="AB70" s="383"/>
    </row>
    <row r="71" ht="16.5" customHeight="1">
      <c r="A71" s="465"/>
      <c r="B71" s="465"/>
      <c r="C71" s="383"/>
      <c r="D71" s="383"/>
      <c r="E71" s="383"/>
      <c r="F71" s="383"/>
      <c r="G71" s="383"/>
      <c r="H71" s="383"/>
      <c r="I71" s="383"/>
      <c r="J71" s="383"/>
      <c r="K71" s="383"/>
      <c r="L71" s="383"/>
      <c r="M71" s="383"/>
      <c r="N71" s="383"/>
      <c r="O71" s="383"/>
      <c r="P71" s="383"/>
      <c r="Q71" s="383"/>
      <c r="R71" s="383"/>
      <c r="S71" s="383"/>
      <c r="T71" s="383"/>
      <c r="U71" s="383"/>
      <c r="V71" s="383"/>
      <c r="W71" s="383"/>
      <c r="X71" s="383"/>
      <c r="Y71" s="383"/>
      <c r="Z71" s="383"/>
      <c r="AA71" s="383"/>
      <c r="AB71" s="383"/>
    </row>
    <row r="72" ht="16.5" customHeight="1">
      <c r="A72" s="465"/>
      <c r="B72" s="465"/>
      <c r="C72" s="383"/>
      <c r="D72" s="383"/>
      <c r="E72" s="383"/>
      <c r="F72" s="383"/>
      <c r="G72" s="383"/>
      <c r="H72" s="383"/>
      <c r="I72" s="383"/>
      <c r="J72" s="383"/>
      <c r="K72" s="383"/>
      <c r="L72" s="383"/>
      <c r="M72" s="383"/>
      <c r="N72" s="383"/>
      <c r="O72" s="383"/>
      <c r="P72" s="383"/>
      <c r="Q72" s="383"/>
      <c r="R72" s="383"/>
      <c r="S72" s="383"/>
      <c r="T72" s="383"/>
      <c r="U72" s="383"/>
      <c r="V72" s="383"/>
      <c r="W72" s="383"/>
      <c r="X72" s="383"/>
      <c r="Y72" s="383"/>
      <c r="Z72" s="383"/>
      <c r="AA72" s="383"/>
      <c r="AB72" s="383"/>
    </row>
    <row r="73" ht="16.5" customHeight="1">
      <c r="A73" s="465"/>
      <c r="B73" s="465"/>
      <c r="C73" s="383"/>
      <c r="D73" s="383"/>
      <c r="E73" s="383"/>
      <c r="F73" s="383"/>
      <c r="G73" s="383"/>
      <c r="H73" s="383"/>
      <c r="I73" s="383"/>
      <c r="J73" s="383"/>
      <c r="K73" s="383"/>
      <c r="L73" s="383"/>
      <c r="M73" s="383"/>
      <c r="N73" s="383"/>
      <c r="O73" s="383"/>
      <c r="P73" s="383"/>
      <c r="Q73" s="383"/>
      <c r="R73" s="383"/>
      <c r="S73" s="383"/>
      <c r="T73" s="383"/>
      <c r="U73" s="383"/>
      <c r="V73" s="383"/>
      <c r="W73" s="383"/>
      <c r="X73" s="383"/>
      <c r="Y73" s="383"/>
      <c r="Z73" s="383"/>
      <c r="AA73" s="383"/>
      <c r="AB73" s="383"/>
    </row>
    <row r="74" ht="16.5" customHeight="1">
      <c r="A74" s="465"/>
      <c r="B74" s="465"/>
      <c r="C74" s="383"/>
      <c r="D74" s="383"/>
      <c r="E74" s="383"/>
      <c r="F74" s="383"/>
      <c r="G74" s="383"/>
      <c r="H74" s="383"/>
      <c r="I74" s="383"/>
      <c r="J74" s="383"/>
      <c r="K74" s="383"/>
      <c r="L74" s="383"/>
      <c r="M74" s="383"/>
      <c r="N74" s="383"/>
      <c r="O74" s="383"/>
      <c r="P74" s="383"/>
      <c r="Q74" s="383"/>
      <c r="R74" s="383"/>
      <c r="S74" s="383"/>
      <c r="T74" s="383"/>
      <c r="U74" s="383"/>
      <c r="V74" s="383"/>
      <c r="W74" s="383"/>
      <c r="X74" s="383"/>
      <c r="Y74" s="383"/>
      <c r="Z74" s="383"/>
      <c r="AA74" s="383"/>
      <c r="AB74" s="383"/>
    </row>
    <row r="75" ht="16.5" customHeight="1">
      <c r="A75" s="465"/>
      <c r="B75" s="465"/>
      <c r="C75" s="383"/>
      <c r="D75" s="383"/>
      <c r="E75" s="383"/>
      <c r="F75" s="383"/>
      <c r="G75" s="383"/>
      <c r="H75" s="383"/>
      <c r="I75" s="383"/>
      <c r="J75" s="383"/>
      <c r="K75" s="383"/>
      <c r="L75" s="383"/>
      <c r="M75" s="383"/>
      <c r="N75" s="383"/>
      <c r="O75" s="383"/>
      <c r="P75" s="383"/>
      <c r="Q75" s="383"/>
      <c r="R75" s="383"/>
      <c r="S75" s="383"/>
      <c r="T75" s="383"/>
      <c r="U75" s="383"/>
      <c r="V75" s="383"/>
      <c r="W75" s="383"/>
      <c r="X75" s="383"/>
      <c r="Y75" s="383"/>
      <c r="Z75" s="383"/>
      <c r="AA75" s="383"/>
      <c r="AB75" s="383"/>
    </row>
    <row r="76" ht="16.5" customHeight="1">
      <c r="A76" s="465"/>
      <c r="B76" s="465"/>
      <c r="C76" s="383"/>
      <c r="D76" s="383"/>
      <c r="E76" s="383"/>
      <c r="F76" s="383"/>
      <c r="G76" s="383"/>
      <c r="H76" s="383"/>
      <c r="I76" s="383"/>
      <c r="J76" s="383"/>
      <c r="K76" s="383"/>
      <c r="L76" s="383"/>
      <c r="M76" s="383"/>
      <c r="N76" s="383"/>
      <c r="O76" s="383"/>
      <c r="P76" s="383"/>
      <c r="Q76" s="383"/>
      <c r="R76" s="383"/>
      <c r="S76" s="383"/>
      <c r="T76" s="383"/>
      <c r="U76" s="383"/>
      <c r="V76" s="383"/>
      <c r="W76" s="383"/>
      <c r="X76" s="383"/>
      <c r="Y76" s="383"/>
      <c r="Z76" s="383"/>
      <c r="AA76" s="383"/>
      <c r="AB76" s="383"/>
    </row>
    <row r="77" ht="16.5" customHeight="1">
      <c r="A77" s="465"/>
      <c r="B77" s="465"/>
      <c r="C77" s="383"/>
      <c r="D77" s="383"/>
      <c r="E77" s="383"/>
      <c r="F77" s="383"/>
      <c r="G77" s="383"/>
      <c r="H77" s="383"/>
      <c r="I77" s="383"/>
      <c r="J77" s="383"/>
      <c r="K77" s="383"/>
      <c r="L77" s="383"/>
      <c r="M77" s="383"/>
      <c r="N77" s="383"/>
      <c r="O77" s="383"/>
      <c r="P77" s="383"/>
      <c r="Q77" s="383"/>
      <c r="R77" s="383"/>
      <c r="S77" s="383"/>
      <c r="T77" s="383"/>
      <c r="U77" s="383"/>
      <c r="V77" s="383"/>
      <c r="W77" s="383"/>
      <c r="X77" s="383"/>
      <c r="Y77" s="383"/>
      <c r="Z77" s="383"/>
      <c r="AA77" s="383"/>
      <c r="AB77" s="383"/>
    </row>
    <row r="78" ht="16.5" customHeight="1">
      <c r="A78" s="465"/>
      <c r="B78" s="465"/>
      <c r="C78" s="383"/>
      <c r="D78" s="383"/>
      <c r="E78" s="383"/>
      <c r="F78" s="383"/>
      <c r="G78" s="383"/>
      <c r="H78" s="383"/>
      <c r="I78" s="383"/>
      <c r="J78" s="383"/>
      <c r="K78" s="383"/>
      <c r="L78" s="383"/>
      <c r="M78" s="383"/>
      <c r="N78" s="383"/>
      <c r="O78" s="383"/>
      <c r="P78" s="383"/>
      <c r="Q78" s="383"/>
      <c r="R78" s="383"/>
      <c r="S78" s="383"/>
      <c r="T78" s="383"/>
      <c r="U78" s="383"/>
      <c r="V78" s="383"/>
      <c r="W78" s="383"/>
      <c r="X78" s="383"/>
      <c r="Y78" s="383"/>
      <c r="Z78" s="383"/>
      <c r="AA78" s="383"/>
      <c r="AB78" s="383"/>
    </row>
    <row r="79" ht="16.5" customHeight="1">
      <c r="A79" s="465"/>
      <c r="B79" s="465"/>
      <c r="C79" s="383"/>
      <c r="D79" s="383"/>
      <c r="E79" s="383"/>
      <c r="F79" s="383"/>
      <c r="G79" s="383"/>
      <c r="H79" s="383"/>
      <c r="I79" s="383"/>
      <c r="J79" s="383"/>
      <c r="K79" s="383"/>
      <c r="L79" s="383"/>
      <c r="M79" s="383"/>
      <c r="N79" s="383"/>
      <c r="O79" s="383"/>
      <c r="P79" s="383"/>
      <c r="Q79" s="383"/>
      <c r="R79" s="383"/>
      <c r="S79" s="383"/>
      <c r="T79" s="383"/>
      <c r="U79" s="383"/>
      <c r="V79" s="383"/>
      <c r="W79" s="383"/>
      <c r="X79" s="383"/>
      <c r="Y79" s="383"/>
      <c r="Z79" s="383"/>
      <c r="AA79" s="383"/>
      <c r="AB79" s="383"/>
    </row>
    <row r="80" ht="16.5" customHeight="1">
      <c r="A80" s="465"/>
      <c r="B80" s="465"/>
      <c r="C80" s="383"/>
      <c r="D80" s="383"/>
      <c r="E80" s="383"/>
      <c r="F80" s="383"/>
      <c r="G80" s="383"/>
      <c r="H80" s="383"/>
      <c r="I80" s="383"/>
      <c r="J80" s="383"/>
      <c r="K80" s="383"/>
      <c r="L80" s="383"/>
      <c r="M80" s="383"/>
      <c r="N80" s="383"/>
      <c r="O80" s="383"/>
      <c r="P80" s="383"/>
      <c r="Q80" s="383"/>
      <c r="R80" s="383"/>
      <c r="S80" s="383"/>
      <c r="T80" s="383"/>
      <c r="U80" s="383"/>
      <c r="V80" s="383"/>
      <c r="W80" s="383"/>
      <c r="X80" s="383"/>
      <c r="Y80" s="383"/>
      <c r="Z80" s="383"/>
      <c r="AA80" s="383"/>
      <c r="AB80" s="383"/>
    </row>
    <row r="81" ht="16.5" customHeight="1">
      <c r="A81" s="465"/>
      <c r="B81" s="465"/>
      <c r="C81" s="383"/>
      <c r="D81" s="383"/>
      <c r="E81" s="383"/>
      <c r="F81" s="383"/>
      <c r="G81" s="383"/>
      <c r="H81" s="383"/>
      <c r="I81" s="383"/>
      <c r="J81" s="383"/>
      <c r="K81" s="383"/>
      <c r="L81" s="383"/>
      <c r="M81" s="383"/>
      <c r="N81" s="383"/>
      <c r="O81" s="383"/>
      <c r="P81" s="383"/>
      <c r="Q81" s="383"/>
      <c r="R81" s="383"/>
      <c r="S81" s="383"/>
      <c r="T81" s="383"/>
      <c r="U81" s="383"/>
      <c r="V81" s="383"/>
      <c r="W81" s="383"/>
      <c r="X81" s="383"/>
      <c r="Y81" s="383"/>
      <c r="Z81" s="383"/>
      <c r="AA81" s="383"/>
      <c r="AB81" s="383"/>
    </row>
    <row r="82" ht="16.5" customHeight="1">
      <c r="A82" s="465"/>
      <c r="B82" s="465"/>
      <c r="C82" s="383"/>
      <c r="D82" s="383"/>
      <c r="E82" s="383"/>
      <c r="F82" s="383"/>
      <c r="G82" s="383"/>
      <c r="H82" s="383"/>
      <c r="I82" s="383"/>
      <c r="J82" s="383"/>
      <c r="K82" s="383"/>
      <c r="L82" s="383"/>
      <c r="M82" s="383"/>
      <c r="N82" s="383"/>
      <c r="O82" s="383"/>
      <c r="P82" s="383"/>
      <c r="Q82" s="383"/>
      <c r="R82" s="383"/>
      <c r="S82" s="383"/>
      <c r="T82" s="383"/>
      <c r="U82" s="383"/>
      <c r="V82" s="383"/>
      <c r="W82" s="383"/>
      <c r="X82" s="383"/>
      <c r="Y82" s="383"/>
      <c r="Z82" s="383"/>
      <c r="AA82" s="383"/>
      <c r="AB82" s="383"/>
    </row>
    <row r="83" ht="16.5" customHeight="1">
      <c r="A83" s="465"/>
      <c r="B83" s="465"/>
      <c r="C83" s="383"/>
      <c r="D83" s="383"/>
      <c r="E83" s="383"/>
      <c r="F83" s="383"/>
      <c r="G83" s="383"/>
      <c r="H83" s="383"/>
      <c r="I83" s="383"/>
      <c r="J83" s="383"/>
      <c r="K83" s="383"/>
      <c r="L83" s="383"/>
      <c r="M83" s="383"/>
      <c r="N83" s="383"/>
      <c r="O83" s="383"/>
      <c r="P83" s="383"/>
      <c r="Q83" s="383"/>
      <c r="R83" s="383"/>
      <c r="S83" s="383"/>
      <c r="T83" s="383"/>
      <c r="U83" s="383"/>
      <c r="V83" s="383"/>
      <c r="W83" s="383"/>
      <c r="X83" s="383"/>
      <c r="Y83" s="383"/>
      <c r="Z83" s="383"/>
      <c r="AA83" s="383"/>
      <c r="AB83" s="383"/>
    </row>
    <row r="84" ht="16.5" customHeight="1">
      <c r="A84" s="465"/>
      <c r="B84" s="465"/>
      <c r="C84" s="383"/>
      <c r="D84" s="383"/>
      <c r="E84" s="383"/>
      <c r="F84" s="383"/>
      <c r="G84" s="383"/>
      <c r="H84" s="383"/>
      <c r="I84" s="383"/>
      <c r="J84" s="383"/>
      <c r="K84" s="383"/>
      <c r="L84" s="383"/>
      <c r="M84" s="383"/>
      <c r="N84" s="383"/>
      <c r="O84" s="383"/>
      <c r="P84" s="383"/>
      <c r="Q84" s="383"/>
      <c r="R84" s="383"/>
      <c r="S84" s="383"/>
      <c r="T84" s="383"/>
      <c r="U84" s="383"/>
      <c r="V84" s="383"/>
      <c r="W84" s="383"/>
      <c r="X84" s="383"/>
      <c r="Y84" s="383"/>
      <c r="Z84" s="383"/>
      <c r="AA84" s="383"/>
      <c r="AB84" s="383"/>
    </row>
    <row r="85" ht="16.5" customHeight="1">
      <c r="A85" s="465"/>
      <c r="B85" s="465"/>
      <c r="C85" s="383"/>
      <c r="D85" s="383"/>
      <c r="E85" s="383"/>
      <c r="F85" s="383"/>
      <c r="G85" s="383"/>
      <c r="H85" s="383"/>
      <c r="I85" s="383"/>
      <c r="J85" s="383"/>
      <c r="K85" s="383"/>
      <c r="L85" s="383"/>
      <c r="M85" s="383"/>
      <c r="N85" s="383"/>
      <c r="O85" s="383"/>
      <c r="P85" s="383"/>
      <c r="Q85" s="383"/>
      <c r="R85" s="383"/>
      <c r="S85" s="383"/>
      <c r="T85" s="383"/>
      <c r="U85" s="383"/>
      <c r="V85" s="383"/>
      <c r="W85" s="383"/>
      <c r="X85" s="383"/>
      <c r="Y85" s="383"/>
      <c r="Z85" s="383"/>
      <c r="AA85" s="383"/>
      <c r="AB85" s="383"/>
    </row>
    <row r="86" ht="16.5" customHeight="1">
      <c r="A86" s="465"/>
      <c r="B86" s="465"/>
      <c r="C86" s="383"/>
      <c r="D86" s="383"/>
      <c r="E86" s="383"/>
      <c r="F86" s="383"/>
      <c r="G86" s="383"/>
      <c r="H86" s="383"/>
      <c r="I86" s="383"/>
      <c r="J86" s="383"/>
      <c r="K86" s="383"/>
      <c r="L86" s="383"/>
      <c r="M86" s="383"/>
      <c r="N86" s="383"/>
      <c r="O86" s="383"/>
      <c r="P86" s="383"/>
      <c r="Q86" s="383"/>
      <c r="R86" s="383"/>
      <c r="S86" s="383"/>
      <c r="T86" s="383"/>
      <c r="U86" s="383"/>
      <c r="V86" s="383"/>
      <c r="W86" s="383"/>
      <c r="X86" s="383"/>
      <c r="Y86" s="383"/>
      <c r="Z86" s="383"/>
      <c r="AA86" s="383"/>
      <c r="AB86" s="383"/>
    </row>
    <row r="87" ht="16.5" customHeight="1">
      <c r="A87" s="465"/>
      <c r="B87" s="465"/>
      <c r="C87" s="383"/>
      <c r="D87" s="383"/>
      <c r="E87" s="383"/>
      <c r="F87" s="383"/>
      <c r="G87" s="383"/>
      <c r="H87" s="383"/>
      <c r="I87" s="383"/>
      <c r="J87" s="383"/>
      <c r="K87" s="383"/>
      <c r="L87" s="383"/>
      <c r="M87" s="383"/>
      <c r="N87" s="383"/>
      <c r="O87" s="383"/>
      <c r="P87" s="383"/>
      <c r="Q87" s="383"/>
      <c r="R87" s="383"/>
      <c r="S87" s="383"/>
      <c r="T87" s="383"/>
      <c r="U87" s="383"/>
      <c r="V87" s="383"/>
      <c r="W87" s="383"/>
      <c r="X87" s="383"/>
      <c r="Y87" s="383"/>
      <c r="Z87" s="383"/>
      <c r="AA87" s="383"/>
      <c r="AB87" s="383"/>
    </row>
    <row r="88" ht="16.5" customHeight="1">
      <c r="A88" s="465"/>
      <c r="B88" s="465"/>
      <c r="C88" s="383"/>
      <c r="D88" s="383"/>
      <c r="E88" s="383"/>
      <c r="F88" s="383"/>
      <c r="G88" s="383"/>
      <c r="H88" s="383"/>
      <c r="I88" s="383"/>
      <c r="J88" s="383"/>
      <c r="K88" s="383"/>
      <c r="L88" s="383"/>
      <c r="M88" s="383"/>
      <c r="N88" s="383"/>
      <c r="O88" s="383"/>
      <c r="P88" s="383"/>
      <c r="Q88" s="383"/>
      <c r="R88" s="383"/>
      <c r="S88" s="383"/>
      <c r="T88" s="383"/>
      <c r="U88" s="383"/>
      <c r="V88" s="383"/>
      <c r="W88" s="383"/>
      <c r="X88" s="383"/>
      <c r="Y88" s="383"/>
      <c r="Z88" s="383"/>
      <c r="AA88" s="383"/>
      <c r="AB88" s="383"/>
    </row>
    <row r="89" ht="16.5" customHeight="1">
      <c r="A89" s="465"/>
      <c r="B89" s="465"/>
      <c r="C89" s="383"/>
      <c r="D89" s="383"/>
      <c r="E89" s="383"/>
      <c r="F89" s="383"/>
      <c r="G89" s="383"/>
      <c r="H89" s="383"/>
      <c r="I89" s="383"/>
      <c r="J89" s="383"/>
      <c r="K89" s="383"/>
      <c r="L89" s="383"/>
      <c r="M89" s="383"/>
      <c r="N89" s="383"/>
      <c r="O89" s="383"/>
      <c r="P89" s="383"/>
      <c r="Q89" s="383"/>
      <c r="R89" s="383"/>
      <c r="S89" s="383"/>
      <c r="T89" s="383"/>
      <c r="U89" s="383"/>
      <c r="V89" s="383"/>
      <c r="W89" s="383"/>
      <c r="X89" s="383"/>
      <c r="Y89" s="383"/>
      <c r="Z89" s="383"/>
      <c r="AA89" s="383"/>
      <c r="AB89" s="383"/>
    </row>
    <row r="90" ht="16.5" customHeight="1">
      <c r="A90" s="465"/>
      <c r="B90" s="465"/>
      <c r="C90" s="383"/>
      <c r="D90" s="383"/>
      <c r="E90" s="383"/>
      <c r="F90" s="383"/>
      <c r="G90" s="383"/>
      <c r="H90" s="383"/>
      <c r="I90" s="383"/>
      <c r="J90" s="383"/>
      <c r="K90" s="383"/>
      <c r="L90" s="383"/>
      <c r="M90" s="383"/>
      <c r="N90" s="383"/>
      <c r="O90" s="383"/>
      <c r="P90" s="383"/>
      <c r="Q90" s="383"/>
      <c r="R90" s="383"/>
      <c r="S90" s="383"/>
      <c r="T90" s="383"/>
      <c r="U90" s="383"/>
      <c r="V90" s="383"/>
      <c r="W90" s="383"/>
      <c r="X90" s="383"/>
      <c r="Y90" s="383"/>
      <c r="Z90" s="383"/>
      <c r="AA90" s="383"/>
      <c r="AB90" s="383"/>
    </row>
    <row r="91" ht="16.5" customHeight="1">
      <c r="A91" s="465"/>
      <c r="B91" s="465"/>
      <c r="C91" s="383"/>
      <c r="D91" s="383"/>
      <c r="E91" s="383"/>
      <c r="F91" s="383"/>
      <c r="G91" s="383"/>
      <c r="H91" s="383"/>
      <c r="I91" s="383"/>
      <c r="J91" s="383"/>
      <c r="K91" s="383"/>
      <c r="L91" s="383"/>
      <c r="M91" s="383"/>
      <c r="N91" s="383"/>
      <c r="O91" s="383"/>
      <c r="P91" s="383"/>
      <c r="Q91" s="383"/>
      <c r="R91" s="383"/>
      <c r="S91" s="383"/>
      <c r="T91" s="383"/>
      <c r="U91" s="383"/>
      <c r="V91" s="383"/>
      <c r="W91" s="383"/>
      <c r="X91" s="383"/>
      <c r="Y91" s="383"/>
      <c r="Z91" s="383"/>
      <c r="AA91" s="383"/>
      <c r="AB91" s="383"/>
    </row>
    <row r="92" ht="16.5" customHeight="1">
      <c r="A92" s="465"/>
      <c r="B92" s="465"/>
      <c r="C92" s="383"/>
      <c r="D92" s="383"/>
      <c r="E92" s="383"/>
      <c r="F92" s="383"/>
      <c r="G92" s="383"/>
      <c r="H92" s="383"/>
      <c r="I92" s="383"/>
      <c r="J92" s="383"/>
      <c r="K92" s="383"/>
      <c r="L92" s="383"/>
      <c r="M92" s="383"/>
      <c r="N92" s="383"/>
      <c r="O92" s="383"/>
      <c r="P92" s="383"/>
      <c r="Q92" s="383"/>
      <c r="R92" s="383"/>
      <c r="S92" s="383"/>
      <c r="T92" s="383"/>
      <c r="U92" s="383"/>
      <c r="V92" s="383"/>
      <c r="W92" s="383"/>
      <c r="X92" s="383"/>
      <c r="Y92" s="383"/>
      <c r="Z92" s="383"/>
      <c r="AA92" s="383"/>
      <c r="AB92" s="383"/>
    </row>
    <row r="93" ht="16.5" customHeight="1">
      <c r="A93" s="465"/>
      <c r="B93" s="465"/>
      <c r="C93" s="383"/>
      <c r="D93" s="383"/>
      <c r="E93" s="383"/>
      <c r="F93" s="383"/>
      <c r="G93" s="383"/>
      <c r="H93" s="383"/>
      <c r="I93" s="383"/>
      <c r="J93" s="383"/>
      <c r="K93" s="383"/>
      <c r="L93" s="383"/>
      <c r="M93" s="383"/>
      <c r="N93" s="383"/>
      <c r="O93" s="383"/>
      <c r="P93" s="383"/>
      <c r="Q93" s="383"/>
      <c r="R93" s="383"/>
      <c r="S93" s="383"/>
      <c r="T93" s="383"/>
      <c r="U93" s="383"/>
      <c r="V93" s="383"/>
      <c r="W93" s="383"/>
      <c r="X93" s="383"/>
      <c r="Y93" s="383"/>
      <c r="Z93" s="383"/>
      <c r="AA93" s="383"/>
      <c r="AB93" s="383"/>
    </row>
    <row r="94" ht="16.5" customHeight="1">
      <c r="A94" s="465"/>
      <c r="B94" s="465"/>
      <c r="C94" s="383"/>
      <c r="D94" s="383"/>
      <c r="E94" s="383"/>
      <c r="F94" s="383"/>
      <c r="G94" s="383"/>
      <c r="H94" s="383"/>
      <c r="I94" s="383"/>
      <c r="J94" s="383"/>
      <c r="K94" s="383"/>
      <c r="L94" s="383"/>
      <c r="M94" s="383"/>
      <c r="N94" s="383"/>
      <c r="O94" s="383"/>
      <c r="P94" s="383"/>
      <c r="Q94" s="383"/>
      <c r="R94" s="383"/>
      <c r="S94" s="383"/>
      <c r="T94" s="383"/>
      <c r="U94" s="383"/>
      <c r="V94" s="383"/>
      <c r="W94" s="383"/>
      <c r="X94" s="383"/>
      <c r="Y94" s="383"/>
      <c r="Z94" s="383"/>
      <c r="AA94" s="383"/>
      <c r="AB94" s="383"/>
    </row>
    <row r="95" ht="16.5" customHeight="1">
      <c r="A95" s="465"/>
      <c r="B95" s="465"/>
      <c r="C95" s="383"/>
      <c r="D95" s="383"/>
      <c r="E95" s="383"/>
      <c r="F95" s="383"/>
      <c r="G95" s="383"/>
      <c r="H95" s="383"/>
      <c r="I95" s="383"/>
      <c r="J95" s="383"/>
      <c r="K95" s="383"/>
      <c r="L95" s="383"/>
      <c r="M95" s="383"/>
      <c r="N95" s="383"/>
      <c r="O95" s="383"/>
      <c r="P95" s="383"/>
      <c r="Q95" s="383"/>
      <c r="R95" s="383"/>
      <c r="S95" s="383"/>
      <c r="T95" s="383"/>
      <c r="U95" s="383"/>
      <c r="V95" s="383"/>
      <c r="W95" s="383"/>
      <c r="X95" s="383"/>
      <c r="Y95" s="383"/>
      <c r="Z95" s="383"/>
      <c r="AA95" s="383"/>
      <c r="AB95" s="383"/>
    </row>
    <row r="96" ht="16.5" customHeight="1">
      <c r="A96" s="465"/>
      <c r="B96" s="465"/>
      <c r="C96" s="383"/>
      <c r="D96" s="383"/>
      <c r="E96" s="383"/>
      <c r="F96" s="383"/>
      <c r="G96" s="383"/>
      <c r="H96" s="383"/>
      <c r="I96" s="383"/>
      <c r="J96" s="383"/>
      <c r="K96" s="383"/>
      <c r="L96" s="383"/>
      <c r="M96" s="383"/>
      <c r="N96" s="383"/>
      <c r="O96" s="383"/>
      <c r="P96" s="383"/>
      <c r="Q96" s="383"/>
      <c r="R96" s="383"/>
      <c r="S96" s="383"/>
      <c r="T96" s="383"/>
      <c r="U96" s="383"/>
      <c r="V96" s="383"/>
      <c r="W96" s="383"/>
      <c r="X96" s="383"/>
      <c r="Y96" s="383"/>
      <c r="Z96" s="383"/>
      <c r="AA96" s="383"/>
      <c r="AB96" s="383"/>
    </row>
    <row r="97" ht="16.5" customHeight="1">
      <c r="A97" s="465"/>
      <c r="B97" s="465"/>
      <c r="C97" s="383"/>
      <c r="D97" s="383"/>
      <c r="E97" s="383"/>
      <c r="F97" s="383"/>
      <c r="G97" s="383"/>
      <c r="H97" s="383"/>
      <c r="I97" s="383"/>
      <c r="J97" s="383"/>
      <c r="K97" s="383"/>
      <c r="L97" s="383"/>
      <c r="M97" s="383"/>
      <c r="N97" s="383"/>
      <c r="O97" s="383"/>
      <c r="P97" s="383"/>
      <c r="Q97" s="383"/>
      <c r="R97" s="383"/>
      <c r="S97" s="383"/>
      <c r="T97" s="383"/>
      <c r="U97" s="383"/>
      <c r="V97" s="383"/>
      <c r="W97" s="383"/>
      <c r="X97" s="383"/>
      <c r="Y97" s="383"/>
      <c r="Z97" s="383"/>
      <c r="AA97" s="383"/>
      <c r="AB97" s="383"/>
    </row>
    <row r="98" ht="16.5" customHeight="1">
      <c r="A98" s="465"/>
      <c r="B98" s="465"/>
      <c r="C98" s="383"/>
      <c r="D98" s="383"/>
      <c r="E98" s="383"/>
      <c r="F98" s="383"/>
      <c r="G98" s="383"/>
      <c r="H98" s="383"/>
      <c r="I98" s="383"/>
      <c r="J98" s="383"/>
      <c r="K98" s="383"/>
      <c r="L98" s="383"/>
      <c r="M98" s="383"/>
      <c r="N98" s="383"/>
      <c r="O98" s="383"/>
      <c r="P98" s="383"/>
      <c r="Q98" s="383"/>
      <c r="R98" s="383"/>
      <c r="S98" s="383"/>
      <c r="T98" s="383"/>
      <c r="U98" s="383"/>
      <c r="V98" s="383"/>
      <c r="W98" s="383"/>
      <c r="X98" s="383"/>
      <c r="Y98" s="383"/>
      <c r="Z98" s="383"/>
      <c r="AA98" s="383"/>
      <c r="AB98" s="383"/>
    </row>
    <row r="99" ht="16.5" customHeight="1">
      <c r="A99" s="465"/>
      <c r="B99" s="465"/>
      <c r="C99" s="383"/>
      <c r="D99" s="383"/>
      <c r="E99" s="383"/>
      <c r="F99" s="383"/>
      <c r="G99" s="383"/>
      <c r="H99" s="383"/>
      <c r="I99" s="383"/>
      <c r="J99" s="383"/>
      <c r="K99" s="383"/>
      <c r="L99" s="383"/>
      <c r="M99" s="383"/>
      <c r="N99" s="383"/>
      <c r="O99" s="383"/>
      <c r="P99" s="383"/>
      <c r="Q99" s="383"/>
      <c r="R99" s="383"/>
      <c r="S99" s="383"/>
      <c r="T99" s="383"/>
      <c r="U99" s="383"/>
      <c r="V99" s="383"/>
      <c r="W99" s="383"/>
      <c r="X99" s="383"/>
      <c r="Y99" s="383"/>
      <c r="Z99" s="383"/>
      <c r="AA99" s="383"/>
      <c r="AB99" s="383"/>
    </row>
    <row r="100" ht="16.5" customHeight="1">
      <c r="A100" s="465"/>
      <c r="B100" s="465"/>
      <c r="C100" s="383"/>
      <c r="D100" s="383"/>
      <c r="E100" s="383"/>
      <c r="F100" s="383"/>
      <c r="G100" s="383"/>
      <c r="H100" s="383"/>
      <c r="I100" s="383"/>
      <c r="J100" s="383"/>
      <c r="K100" s="383"/>
      <c r="L100" s="383"/>
      <c r="M100" s="383"/>
      <c r="N100" s="383"/>
      <c r="O100" s="383"/>
      <c r="P100" s="383"/>
      <c r="Q100" s="383"/>
      <c r="R100" s="383"/>
      <c r="S100" s="383"/>
      <c r="T100" s="383"/>
      <c r="U100" s="383"/>
      <c r="V100" s="383"/>
      <c r="W100" s="383"/>
      <c r="X100" s="383"/>
      <c r="Y100" s="383"/>
      <c r="Z100" s="383"/>
      <c r="AA100" s="383"/>
      <c r="AB100" s="383"/>
    </row>
    <row r="101" ht="16.5" customHeight="1">
      <c r="A101" s="465"/>
      <c r="B101" s="465"/>
      <c r="C101" s="383"/>
      <c r="D101" s="383"/>
      <c r="E101" s="383"/>
      <c r="F101" s="383"/>
      <c r="G101" s="383"/>
      <c r="H101" s="383"/>
      <c r="I101" s="383"/>
      <c r="J101" s="383"/>
      <c r="K101" s="383"/>
      <c r="L101" s="383"/>
      <c r="M101" s="383"/>
      <c r="N101" s="383"/>
      <c r="O101" s="383"/>
      <c r="P101" s="383"/>
      <c r="Q101" s="383"/>
      <c r="R101" s="383"/>
      <c r="S101" s="383"/>
      <c r="T101" s="383"/>
      <c r="U101" s="383"/>
      <c r="V101" s="383"/>
      <c r="W101" s="383"/>
      <c r="X101" s="383"/>
      <c r="Y101" s="383"/>
      <c r="Z101" s="383"/>
      <c r="AA101" s="383"/>
      <c r="AB101" s="383"/>
    </row>
    <row r="102" ht="16.5" customHeight="1">
      <c r="A102" s="465"/>
      <c r="B102" s="465"/>
      <c r="C102" s="383"/>
      <c r="D102" s="383"/>
      <c r="E102" s="383"/>
      <c r="F102" s="383"/>
      <c r="G102" s="383"/>
      <c r="H102" s="383"/>
      <c r="I102" s="383"/>
      <c r="J102" s="383"/>
      <c r="K102" s="383"/>
      <c r="L102" s="383"/>
      <c r="M102" s="383"/>
      <c r="N102" s="383"/>
      <c r="O102" s="383"/>
      <c r="P102" s="383"/>
      <c r="Q102" s="383"/>
      <c r="R102" s="383"/>
      <c r="S102" s="383"/>
      <c r="T102" s="383"/>
      <c r="U102" s="383"/>
      <c r="V102" s="383"/>
      <c r="W102" s="383"/>
      <c r="X102" s="383"/>
      <c r="Y102" s="383"/>
      <c r="Z102" s="383"/>
      <c r="AA102" s="383"/>
      <c r="AB102" s="383"/>
    </row>
    <row r="103" ht="16.5" customHeight="1">
      <c r="A103" s="465"/>
      <c r="B103" s="465"/>
      <c r="C103" s="383"/>
      <c r="D103" s="383"/>
      <c r="E103" s="383"/>
      <c r="F103" s="383"/>
      <c r="G103" s="383"/>
      <c r="H103" s="383"/>
      <c r="I103" s="383"/>
      <c r="J103" s="383"/>
      <c r="K103" s="383"/>
      <c r="L103" s="383"/>
      <c r="M103" s="383"/>
      <c r="N103" s="383"/>
      <c r="O103" s="383"/>
      <c r="P103" s="383"/>
      <c r="Q103" s="383"/>
      <c r="R103" s="383"/>
      <c r="S103" s="383"/>
      <c r="T103" s="383"/>
      <c r="U103" s="383"/>
      <c r="V103" s="383"/>
      <c r="W103" s="383"/>
      <c r="X103" s="383"/>
      <c r="Y103" s="383"/>
      <c r="Z103" s="383"/>
      <c r="AA103" s="383"/>
      <c r="AB103" s="383"/>
    </row>
    <row r="104" ht="16.5" customHeight="1">
      <c r="A104" s="465"/>
      <c r="B104" s="465"/>
      <c r="C104" s="383"/>
      <c r="D104" s="383"/>
      <c r="E104" s="383"/>
      <c r="F104" s="383"/>
      <c r="G104" s="383"/>
      <c r="H104" s="383"/>
      <c r="I104" s="383"/>
      <c r="J104" s="383"/>
      <c r="K104" s="383"/>
      <c r="L104" s="383"/>
      <c r="M104" s="383"/>
      <c r="N104" s="383"/>
      <c r="O104" s="383"/>
      <c r="P104" s="383"/>
      <c r="Q104" s="383"/>
      <c r="R104" s="383"/>
      <c r="S104" s="383"/>
      <c r="T104" s="383"/>
      <c r="U104" s="383"/>
      <c r="V104" s="383"/>
      <c r="W104" s="383"/>
      <c r="X104" s="383"/>
      <c r="Y104" s="383"/>
      <c r="Z104" s="383"/>
      <c r="AA104" s="383"/>
      <c r="AB104" s="383"/>
    </row>
    <row r="105" ht="16.5" customHeight="1">
      <c r="A105" s="465"/>
      <c r="B105" s="465"/>
      <c r="C105" s="383"/>
      <c r="D105" s="383"/>
      <c r="E105" s="383"/>
      <c r="F105" s="383"/>
      <c r="G105" s="383"/>
      <c r="H105" s="383"/>
      <c r="I105" s="383"/>
      <c r="J105" s="383"/>
      <c r="K105" s="383"/>
      <c r="L105" s="383"/>
      <c r="M105" s="383"/>
      <c r="N105" s="383"/>
      <c r="O105" s="383"/>
      <c r="P105" s="383"/>
      <c r="Q105" s="383"/>
      <c r="R105" s="383"/>
      <c r="S105" s="383"/>
      <c r="T105" s="383"/>
      <c r="U105" s="383"/>
      <c r="V105" s="383"/>
      <c r="W105" s="383"/>
      <c r="X105" s="383"/>
      <c r="Y105" s="383"/>
      <c r="Z105" s="383"/>
      <c r="AA105" s="383"/>
      <c r="AB105" s="383"/>
    </row>
    <row r="106" ht="16.5" customHeight="1">
      <c r="A106" s="465"/>
      <c r="B106" s="465"/>
      <c r="C106" s="383"/>
      <c r="D106" s="383"/>
      <c r="E106" s="383"/>
      <c r="F106" s="383"/>
      <c r="G106" s="383"/>
      <c r="H106" s="383"/>
      <c r="I106" s="383"/>
      <c r="J106" s="383"/>
      <c r="K106" s="383"/>
      <c r="L106" s="383"/>
      <c r="M106" s="383"/>
      <c r="N106" s="383"/>
      <c r="O106" s="383"/>
      <c r="P106" s="383"/>
      <c r="Q106" s="383"/>
      <c r="R106" s="383"/>
      <c r="S106" s="383"/>
      <c r="T106" s="383"/>
      <c r="U106" s="383"/>
      <c r="V106" s="383"/>
      <c r="W106" s="383"/>
      <c r="X106" s="383"/>
      <c r="Y106" s="383"/>
      <c r="Z106" s="383"/>
      <c r="AA106" s="383"/>
      <c r="AB106" s="383"/>
    </row>
    <row r="107" ht="16.5" customHeight="1">
      <c r="A107" s="465"/>
      <c r="B107" s="465"/>
      <c r="C107" s="383"/>
      <c r="D107" s="383"/>
      <c r="E107" s="383"/>
      <c r="F107" s="383"/>
      <c r="G107" s="383"/>
      <c r="H107" s="383"/>
      <c r="I107" s="383"/>
      <c r="J107" s="383"/>
      <c r="K107" s="383"/>
      <c r="L107" s="383"/>
      <c r="M107" s="383"/>
      <c r="N107" s="383"/>
      <c r="O107" s="383"/>
      <c r="P107" s="383"/>
      <c r="Q107" s="383"/>
      <c r="R107" s="383"/>
      <c r="S107" s="383"/>
      <c r="T107" s="383"/>
      <c r="U107" s="383"/>
      <c r="V107" s="383"/>
      <c r="W107" s="383"/>
      <c r="X107" s="383"/>
      <c r="Y107" s="383"/>
      <c r="Z107" s="383"/>
      <c r="AA107" s="383"/>
      <c r="AB107" s="383"/>
    </row>
    <row r="108" ht="16.5" customHeight="1">
      <c r="A108" s="465"/>
      <c r="B108" s="465"/>
      <c r="C108" s="383"/>
      <c r="D108" s="383"/>
      <c r="E108" s="383"/>
      <c r="F108" s="383"/>
      <c r="G108" s="383"/>
      <c r="H108" s="383"/>
      <c r="I108" s="383"/>
      <c r="J108" s="383"/>
      <c r="K108" s="383"/>
      <c r="L108" s="383"/>
      <c r="M108" s="383"/>
      <c r="N108" s="383"/>
      <c r="O108" s="383"/>
      <c r="P108" s="383"/>
      <c r="Q108" s="383"/>
      <c r="R108" s="383"/>
      <c r="S108" s="383"/>
      <c r="T108" s="383"/>
      <c r="U108" s="383"/>
      <c r="V108" s="383"/>
      <c r="W108" s="383"/>
      <c r="X108" s="383"/>
      <c r="Y108" s="383"/>
      <c r="Z108" s="383"/>
      <c r="AA108" s="383"/>
      <c r="AB108" s="383"/>
    </row>
    <row r="109" ht="16.5" customHeight="1">
      <c r="A109" s="465"/>
      <c r="B109" s="465"/>
      <c r="C109" s="383"/>
      <c r="D109" s="383"/>
      <c r="E109" s="383"/>
      <c r="F109" s="383"/>
      <c r="G109" s="383"/>
      <c r="H109" s="383"/>
      <c r="I109" s="383"/>
      <c r="J109" s="383"/>
      <c r="K109" s="383"/>
      <c r="L109" s="383"/>
      <c r="M109" s="383"/>
      <c r="N109" s="383"/>
      <c r="O109" s="383"/>
      <c r="P109" s="383"/>
      <c r="Q109" s="383"/>
      <c r="R109" s="383"/>
      <c r="S109" s="383"/>
      <c r="T109" s="383"/>
      <c r="U109" s="383"/>
      <c r="V109" s="383"/>
      <c r="W109" s="383"/>
      <c r="X109" s="383"/>
      <c r="Y109" s="383"/>
      <c r="Z109" s="383"/>
      <c r="AA109" s="383"/>
      <c r="AB109" s="383"/>
    </row>
    <row r="110" ht="16.5" customHeight="1">
      <c r="A110" s="465"/>
      <c r="B110" s="465"/>
      <c r="C110" s="383"/>
      <c r="D110" s="383"/>
      <c r="E110" s="383"/>
      <c r="F110" s="383"/>
      <c r="G110" s="383"/>
      <c r="H110" s="383"/>
      <c r="I110" s="383"/>
      <c r="J110" s="383"/>
      <c r="K110" s="383"/>
      <c r="L110" s="383"/>
      <c r="M110" s="383"/>
      <c r="N110" s="383"/>
      <c r="O110" s="383"/>
      <c r="P110" s="383"/>
      <c r="Q110" s="383"/>
      <c r="R110" s="383"/>
      <c r="S110" s="383"/>
      <c r="T110" s="383"/>
      <c r="U110" s="383"/>
      <c r="V110" s="383"/>
      <c r="W110" s="383"/>
      <c r="X110" s="383"/>
      <c r="Y110" s="383"/>
      <c r="Z110" s="383"/>
      <c r="AA110" s="383"/>
      <c r="AB110" s="383"/>
    </row>
    <row r="111" ht="16.5" customHeight="1">
      <c r="A111" s="465"/>
      <c r="B111" s="465"/>
      <c r="C111" s="383"/>
      <c r="D111" s="383"/>
      <c r="E111" s="383"/>
      <c r="F111" s="383"/>
      <c r="G111" s="383"/>
      <c r="H111" s="383"/>
      <c r="I111" s="383"/>
      <c r="J111" s="383"/>
      <c r="K111" s="383"/>
      <c r="L111" s="383"/>
      <c r="M111" s="383"/>
      <c r="N111" s="383"/>
      <c r="O111" s="383"/>
      <c r="P111" s="383"/>
      <c r="Q111" s="383"/>
      <c r="R111" s="383"/>
      <c r="S111" s="383"/>
      <c r="T111" s="383"/>
      <c r="U111" s="383"/>
      <c r="V111" s="383"/>
      <c r="W111" s="383"/>
      <c r="X111" s="383"/>
      <c r="Y111" s="383"/>
      <c r="Z111" s="383"/>
      <c r="AA111" s="383"/>
      <c r="AB111" s="383"/>
    </row>
    <row r="112" ht="16.5" customHeight="1">
      <c r="A112" s="465"/>
      <c r="B112" s="465"/>
      <c r="C112" s="383"/>
      <c r="D112" s="383"/>
      <c r="E112" s="383"/>
      <c r="F112" s="383"/>
      <c r="G112" s="383"/>
      <c r="H112" s="383"/>
      <c r="I112" s="383"/>
      <c r="J112" s="383"/>
      <c r="K112" s="383"/>
      <c r="L112" s="383"/>
      <c r="M112" s="383"/>
      <c r="N112" s="383"/>
      <c r="O112" s="383"/>
      <c r="P112" s="383"/>
      <c r="Q112" s="383"/>
      <c r="R112" s="383"/>
      <c r="S112" s="383"/>
      <c r="T112" s="383"/>
      <c r="U112" s="383"/>
      <c r="V112" s="383"/>
      <c r="W112" s="383"/>
      <c r="X112" s="383"/>
      <c r="Y112" s="383"/>
      <c r="Z112" s="383"/>
      <c r="AA112" s="383"/>
      <c r="AB112" s="383"/>
    </row>
    <row r="113" ht="16.5" customHeight="1">
      <c r="A113" s="465"/>
      <c r="B113" s="465"/>
      <c r="C113" s="383"/>
      <c r="D113" s="383"/>
      <c r="E113" s="383"/>
      <c r="F113" s="383"/>
      <c r="G113" s="383"/>
      <c r="H113" s="383"/>
      <c r="I113" s="383"/>
      <c r="J113" s="383"/>
      <c r="K113" s="383"/>
      <c r="L113" s="383"/>
      <c r="M113" s="383"/>
      <c r="N113" s="383"/>
      <c r="O113" s="383"/>
      <c r="P113" s="383"/>
      <c r="Q113" s="383"/>
      <c r="R113" s="383"/>
      <c r="S113" s="383"/>
      <c r="T113" s="383"/>
      <c r="U113" s="383"/>
      <c r="V113" s="383"/>
      <c r="W113" s="383"/>
      <c r="X113" s="383"/>
      <c r="Y113" s="383"/>
      <c r="Z113" s="383"/>
      <c r="AA113" s="383"/>
      <c r="AB113" s="383"/>
    </row>
    <row r="114" ht="16.5" customHeight="1">
      <c r="A114" s="465"/>
      <c r="B114" s="465"/>
      <c r="C114" s="383"/>
      <c r="D114" s="383"/>
      <c r="E114" s="383"/>
      <c r="F114" s="383"/>
      <c r="G114" s="383"/>
      <c r="H114" s="383"/>
      <c r="I114" s="383"/>
      <c r="J114" s="383"/>
      <c r="K114" s="383"/>
      <c r="L114" s="383"/>
      <c r="M114" s="383"/>
      <c r="N114" s="383"/>
      <c r="O114" s="383"/>
      <c r="P114" s="383"/>
      <c r="Q114" s="383"/>
      <c r="R114" s="383"/>
      <c r="S114" s="383"/>
      <c r="T114" s="383"/>
      <c r="U114" s="383"/>
      <c r="V114" s="383"/>
      <c r="W114" s="383"/>
      <c r="X114" s="383"/>
      <c r="Y114" s="383"/>
      <c r="Z114" s="383"/>
      <c r="AA114" s="383"/>
      <c r="AB114" s="383"/>
    </row>
    <row r="115" ht="16.5" customHeight="1">
      <c r="A115" s="465"/>
      <c r="B115" s="465"/>
      <c r="C115" s="383"/>
      <c r="D115" s="383"/>
      <c r="E115" s="383"/>
      <c r="F115" s="383"/>
      <c r="G115" s="383"/>
      <c r="H115" s="383"/>
      <c r="I115" s="383"/>
      <c r="J115" s="383"/>
      <c r="K115" s="383"/>
      <c r="L115" s="383"/>
      <c r="M115" s="383"/>
      <c r="N115" s="383"/>
      <c r="O115" s="383"/>
      <c r="P115" s="383"/>
      <c r="Q115" s="383"/>
      <c r="R115" s="383"/>
      <c r="S115" s="383"/>
      <c r="T115" s="383"/>
      <c r="U115" s="383"/>
      <c r="V115" s="383"/>
      <c r="W115" s="383"/>
      <c r="X115" s="383"/>
      <c r="Y115" s="383"/>
      <c r="Z115" s="383"/>
      <c r="AA115" s="383"/>
      <c r="AB115" s="383"/>
    </row>
    <row r="116" ht="16.5" customHeight="1">
      <c r="A116" s="465"/>
      <c r="B116" s="465"/>
      <c r="C116" s="383"/>
      <c r="D116" s="383"/>
      <c r="E116" s="383"/>
      <c r="F116" s="383"/>
      <c r="G116" s="383"/>
      <c r="H116" s="383"/>
      <c r="I116" s="383"/>
      <c r="J116" s="383"/>
      <c r="K116" s="383"/>
      <c r="L116" s="383"/>
      <c r="M116" s="383"/>
      <c r="N116" s="383"/>
      <c r="O116" s="383"/>
      <c r="P116" s="383"/>
      <c r="Q116" s="383"/>
      <c r="R116" s="383"/>
      <c r="S116" s="383"/>
      <c r="T116" s="383"/>
      <c r="U116" s="383"/>
      <c r="V116" s="383"/>
      <c r="W116" s="383"/>
      <c r="X116" s="383"/>
      <c r="Y116" s="383"/>
      <c r="Z116" s="383"/>
      <c r="AA116" s="383"/>
      <c r="AB116" s="383"/>
    </row>
    <row r="117" ht="16.5" customHeight="1">
      <c r="A117" s="465"/>
      <c r="B117" s="465"/>
      <c r="C117" s="383"/>
      <c r="D117" s="383"/>
      <c r="E117" s="383"/>
      <c r="F117" s="383"/>
      <c r="G117" s="383"/>
      <c r="H117" s="383"/>
      <c r="I117" s="383"/>
      <c r="J117" s="383"/>
      <c r="K117" s="383"/>
      <c r="L117" s="383"/>
      <c r="M117" s="383"/>
      <c r="N117" s="383"/>
      <c r="O117" s="383"/>
      <c r="P117" s="383"/>
      <c r="Q117" s="383"/>
      <c r="R117" s="383"/>
      <c r="S117" s="383"/>
      <c r="T117" s="383"/>
      <c r="U117" s="383"/>
      <c r="V117" s="383"/>
      <c r="W117" s="383"/>
      <c r="X117" s="383"/>
      <c r="Y117" s="383"/>
      <c r="Z117" s="383"/>
      <c r="AA117" s="383"/>
      <c r="AB117" s="383"/>
    </row>
    <row r="118" ht="16.5" customHeight="1">
      <c r="A118" s="465"/>
      <c r="B118" s="465"/>
      <c r="C118" s="383"/>
      <c r="D118" s="383"/>
      <c r="E118" s="383"/>
      <c r="F118" s="383"/>
      <c r="G118" s="383"/>
      <c r="H118" s="383"/>
      <c r="I118" s="383"/>
      <c r="J118" s="383"/>
      <c r="K118" s="383"/>
      <c r="L118" s="383"/>
      <c r="M118" s="383"/>
      <c r="N118" s="383"/>
      <c r="O118" s="383"/>
      <c r="P118" s="383"/>
      <c r="Q118" s="383"/>
      <c r="R118" s="383"/>
      <c r="S118" s="383"/>
      <c r="T118" s="383"/>
      <c r="U118" s="383"/>
      <c r="V118" s="383"/>
      <c r="W118" s="383"/>
      <c r="X118" s="383"/>
      <c r="Y118" s="383"/>
      <c r="Z118" s="383"/>
      <c r="AA118" s="383"/>
      <c r="AB118" s="383"/>
    </row>
    <row r="119" ht="16.5" customHeight="1">
      <c r="A119" s="465"/>
      <c r="B119" s="465"/>
      <c r="C119" s="383"/>
      <c r="D119" s="383"/>
      <c r="E119" s="383"/>
      <c r="F119" s="383"/>
      <c r="G119" s="383"/>
      <c r="H119" s="383"/>
      <c r="I119" s="383"/>
      <c r="J119" s="383"/>
      <c r="K119" s="383"/>
      <c r="L119" s="383"/>
      <c r="M119" s="383"/>
      <c r="N119" s="383"/>
      <c r="O119" s="383"/>
      <c r="P119" s="383"/>
      <c r="Q119" s="383"/>
      <c r="R119" s="383"/>
      <c r="S119" s="383"/>
      <c r="T119" s="383"/>
      <c r="U119" s="383"/>
      <c r="V119" s="383"/>
      <c r="W119" s="383"/>
      <c r="X119" s="383"/>
      <c r="Y119" s="383"/>
      <c r="Z119" s="383"/>
      <c r="AA119" s="383"/>
      <c r="AB119" s="383"/>
    </row>
    <row r="120" ht="16.5" customHeight="1">
      <c r="A120" s="465"/>
      <c r="B120" s="465"/>
      <c r="C120" s="383"/>
      <c r="D120" s="383"/>
      <c r="E120" s="383"/>
      <c r="F120" s="383"/>
      <c r="G120" s="383"/>
      <c r="H120" s="383"/>
      <c r="I120" s="383"/>
      <c r="J120" s="383"/>
      <c r="K120" s="383"/>
      <c r="L120" s="383"/>
      <c r="M120" s="383"/>
      <c r="N120" s="383"/>
      <c r="O120" s="383"/>
      <c r="P120" s="383"/>
      <c r="Q120" s="383"/>
      <c r="R120" s="383"/>
      <c r="S120" s="383"/>
      <c r="T120" s="383"/>
      <c r="U120" s="383"/>
      <c r="V120" s="383"/>
      <c r="W120" s="383"/>
      <c r="X120" s="383"/>
      <c r="Y120" s="383"/>
      <c r="Z120" s="383"/>
      <c r="AA120" s="383"/>
      <c r="AB120" s="383"/>
    </row>
    <row r="121" ht="16.5" customHeight="1">
      <c r="A121" s="465"/>
      <c r="B121" s="465"/>
      <c r="C121" s="383"/>
      <c r="D121" s="383"/>
      <c r="E121" s="383"/>
      <c r="F121" s="383"/>
      <c r="G121" s="383"/>
      <c r="H121" s="383"/>
      <c r="I121" s="383"/>
      <c r="J121" s="383"/>
      <c r="K121" s="383"/>
      <c r="L121" s="383"/>
      <c r="M121" s="383"/>
      <c r="N121" s="383"/>
      <c r="O121" s="383"/>
      <c r="P121" s="383"/>
      <c r="Q121" s="383"/>
      <c r="R121" s="383"/>
      <c r="S121" s="383"/>
      <c r="T121" s="383"/>
      <c r="U121" s="383"/>
      <c r="V121" s="383"/>
      <c r="W121" s="383"/>
      <c r="X121" s="383"/>
      <c r="Y121" s="383"/>
      <c r="Z121" s="383"/>
      <c r="AA121" s="383"/>
      <c r="AB121" s="383"/>
    </row>
    <row r="122" ht="16.5" customHeight="1">
      <c r="A122" s="465"/>
      <c r="B122" s="465"/>
      <c r="C122" s="383"/>
      <c r="D122" s="383"/>
      <c r="E122" s="383"/>
      <c r="F122" s="383"/>
      <c r="G122" s="383"/>
      <c r="H122" s="383"/>
      <c r="I122" s="383"/>
      <c r="J122" s="383"/>
      <c r="K122" s="383"/>
      <c r="L122" s="383"/>
      <c r="M122" s="383"/>
      <c r="N122" s="383"/>
      <c r="O122" s="383"/>
      <c r="P122" s="383"/>
      <c r="Q122" s="383"/>
      <c r="R122" s="383"/>
      <c r="S122" s="383"/>
      <c r="T122" s="383"/>
      <c r="U122" s="383"/>
      <c r="V122" s="383"/>
      <c r="W122" s="383"/>
      <c r="X122" s="383"/>
      <c r="Y122" s="383"/>
      <c r="Z122" s="383"/>
      <c r="AA122" s="383"/>
      <c r="AB122" s="383"/>
    </row>
    <row r="123" ht="16.5" customHeight="1">
      <c r="A123" s="465"/>
      <c r="B123" s="465"/>
      <c r="C123" s="383"/>
      <c r="D123" s="383"/>
      <c r="E123" s="383"/>
      <c r="F123" s="383"/>
      <c r="G123" s="383"/>
      <c r="H123" s="383"/>
      <c r="I123" s="383"/>
      <c r="J123" s="383"/>
      <c r="K123" s="383"/>
      <c r="L123" s="383"/>
      <c r="M123" s="383"/>
      <c r="N123" s="383"/>
      <c r="O123" s="383"/>
      <c r="P123" s="383"/>
      <c r="Q123" s="383"/>
      <c r="R123" s="383"/>
      <c r="S123" s="383"/>
      <c r="T123" s="383"/>
      <c r="U123" s="383"/>
      <c r="V123" s="383"/>
      <c r="W123" s="383"/>
      <c r="X123" s="383"/>
      <c r="Y123" s="383"/>
      <c r="Z123" s="383"/>
      <c r="AA123" s="383"/>
      <c r="AB123" s="383"/>
    </row>
    <row r="124" ht="16.5" customHeight="1">
      <c r="A124" s="465"/>
      <c r="B124" s="465"/>
      <c r="C124" s="383"/>
      <c r="D124" s="383"/>
      <c r="E124" s="383"/>
      <c r="F124" s="383"/>
      <c r="G124" s="383"/>
      <c r="H124" s="383"/>
      <c r="I124" s="383"/>
      <c r="J124" s="383"/>
      <c r="K124" s="383"/>
      <c r="L124" s="383"/>
      <c r="M124" s="383"/>
      <c r="N124" s="383"/>
      <c r="O124" s="383"/>
      <c r="P124" s="383"/>
      <c r="Q124" s="383"/>
      <c r="R124" s="383"/>
      <c r="S124" s="383"/>
      <c r="T124" s="383"/>
      <c r="U124" s="383"/>
      <c r="V124" s="383"/>
      <c r="W124" s="383"/>
      <c r="X124" s="383"/>
      <c r="Y124" s="383"/>
      <c r="Z124" s="383"/>
      <c r="AA124" s="383"/>
      <c r="AB124" s="383"/>
    </row>
    <row r="125" ht="16.5" customHeight="1">
      <c r="A125" s="465"/>
      <c r="B125" s="465"/>
      <c r="C125" s="383"/>
      <c r="D125" s="383"/>
      <c r="E125" s="383"/>
      <c r="F125" s="383"/>
      <c r="G125" s="383"/>
      <c r="H125" s="383"/>
      <c r="I125" s="383"/>
      <c r="J125" s="383"/>
      <c r="K125" s="383"/>
      <c r="L125" s="383"/>
      <c r="M125" s="383"/>
      <c r="N125" s="383"/>
      <c r="O125" s="383"/>
      <c r="P125" s="383"/>
      <c r="Q125" s="383"/>
      <c r="R125" s="383"/>
      <c r="S125" s="383"/>
      <c r="T125" s="383"/>
      <c r="U125" s="383"/>
      <c r="V125" s="383"/>
      <c r="W125" s="383"/>
      <c r="X125" s="383"/>
      <c r="Y125" s="383"/>
      <c r="Z125" s="383"/>
      <c r="AA125" s="383"/>
      <c r="AB125" s="383"/>
    </row>
    <row r="126" ht="16.5" customHeight="1">
      <c r="A126" s="465"/>
      <c r="B126" s="465"/>
      <c r="C126" s="383"/>
      <c r="D126" s="383"/>
      <c r="E126" s="383"/>
      <c r="F126" s="383"/>
      <c r="G126" s="383"/>
      <c r="H126" s="383"/>
      <c r="I126" s="383"/>
      <c r="J126" s="383"/>
      <c r="K126" s="383"/>
      <c r="L126" s="383"/>
      <c r="M126" s="383"/>
      <c r="N126" s="383"/>
      <c r="O126" s="383"/>
      <c r="P126" s="383"/>
      <c r="Q126" s="383"/>
      <c r="R126" s="383"/>
      <c r="S126" s="383"/>
      <c r="T126" s="383"/>
      <c r="U126" s="383"/>
      <c r="V126" s="383"/>
      <c r="W126" s="383"/>
      <c r="X126" s="383"/>
      <c r="Y126" s="383"/>
      <c r="Z126" s="383"/>
      <c r="AA126" s="383"/>
      <c r="AB126" s="383"/>
    </row>
    <row r="127" ht="16.5" customHeight="1">
      <c r="A127" s="465"/>
      <c r="B127" s="465"/>
      <c r="C127" s="383"/>
      <c r="D127" s="383"/>
      <c r="E127" s="383"/>
      <c r="F127" s="383"/>
      <c r="G127" s="383"/>
      <c r="H127" s="383"/>
      <c r="I127" s="383"/>
      <c r="J127" s="383"/>
      <c r="K127" s="383"/>
      <c r="L127" s="383"/>
      <c r="M127" s="383"/>
      <c r="N127" s="383"/>
      <c r="O127" s="383"/>
      <c r="P127" s="383"/>
      <c r="Q127" s="383"/>
      <c r="R127" s="383"/>
      <c r="S127" s="383"/>
      <c r="T127" s="383"/>
      <c r="U127" s="383"/>
      <c r="V127" s="383"/>
      <c r="W127" s="383"/>
      <c r="X127" s="383"/>
      <c r="Y127" s="383"/>
      <c r="Z127" s="383"/>
      <c r="AA127" s="383"/>
      <c r="AB127" s="383"/>
    </row>
    <row r="128" ht="16.5" customHeight="1">
      <c r="A128" s="465"/>
      <c r="B128" s="465"/>
      <c r="C128" s="383"/>
      <c r="D128" s="383"/>
      <c r="E128" s="383"/>
      <c r="F128" s="383"/>
      <c r="G128" s="383"/>
      <c r="H128" s="383"/>
      <c r="I128" s="383"/>
      <c r="J128" s="383"/>
      <c r="K128" s="383"/>
      <c r="L128" s="383"/>
      <c r="M128" s="383"/>
      <c r="N128" s="383"/>
      <c r="O128" s="383"/>
      <c r="P128" s="383"/>
      <c r="Q128" s="383"/>
      <c r="R128" s="383"/>
      <c r="S128" s="383"/>
      <c r="T128" s="383"/>
      <c r="U128" s="383"/>
      <c r="V128" s="383"/>
      <c r="W128" s="383"/>
      <c r="X128" s="383"/>
      <c r="Y128" s="383"/>
      <c r="Z128" s="383"/>
      <c r="AA128" s="383"/>
      <c r="AB128" s="383"/>
    </row>
    <row r="129" ht="16.5" customHeight="1">
      <c r="A129" s="465"/>
      <c r="B129" s="465"/>
      <c r="C129" s="383"/>
      <c r="D129" s="383"/>
      <c r="E129" s="383"/>
      <c r="F129" s="383"/>
      <c r="G129" s="383"/>
      <c r="H129" s="383"/>
      <c r="I129" s="383"/>
      <c r="J129" s="383"/>
      <c r="K129" s="383"/>
      <c r="L129" s="383"/>
      <c r="M129" s="383"/>
      <c r="N129" s="383"/>
      <c r="O129" s="383"/>
      <c r="P129" s="383"/>
      <c r="Q129" s="383"/>
      <c r="R129" s="383"/>
      <c r="S129" s="383"/>
      <c r="T129" s="383"/>
      <c r="U129" s="383"/>
      <c r="V129" s="383"/>
      <c r="W129" s="383"/>
      <c r="X129" s="383"/>
      <c r="Y129" s="383"/>
      <c r="Z129" s="383"/>
      <c r="AA129" s="383"/>
      <c r="AB129" s="383"/>
    </row>
    <row r="130" ht="16.5" customHeight="1">
      <c r="A130" s="465"/>
      <c r="B130" s="465"/>
      <c r="C130" s="383"/>
      <c r="D130" s="383"/>
      <c r="E130" s="383"/>
      <c r="F130" s="383"/>
      <c r="G130" s="383"/>
      <c r="H130" s="383"/>
      <c r="I130" s="383"/>
      <c r="J130" s="383"/>
      <c r="K130" s="383"/>
      <c r="L130" s="383"/>
      <c r="M130" s="383"/>
      <c r="N130" s="383"/>
      <c r="O130" s="383"/>
      <c r="P130" s="383"/>
      <c r="Q130" s="383"/>
      <c r="R130" s="383"/>
      <c r="S130" s="383"/>
      <c r="T130" s="383"/>
      <c r="U130" s="383"/>
      <c r="V130" s="383"/>
      <c r="W130" s="383"/>
      <c r="X130" s="383"/>
      <c r="Y130" s="383"/>
      <c r="Z130" s="383"/>
      <c r="AA130" s="383"/>
      <c r="AB130" s="383"/>
    </row>
    <row r="131" ht="16.5" customHeight="1">
      <c r="A131" s="465"/>
      <c r="B131" s="465"/>
      <c r="C131" s="383"/>
      <c r="D131" s="383"/>
      <c r="E131" s="383"/>
      <c r="F131" s="383"/>
      <c r="G131" s="383"/>
      <c r="H131" s="383"/>
      <c r="I131" s="383"/>
      <c r="J131" s="383"/>
      <c r="K131" s="383"/>
      <c r="L131" s="383"/>
      <c r="M131" s="383"/>
      <c r="N131" s="383"/>
      <c r="O131" s="383"/>
      <c r="P131" s="383"/>
      <c r="Q131" s="383"/>
      <c r="R131" s="383"/>
      <c r="S131" s="383"/>
      <c r="T131" s="383"/>
      <c r="U131" s="383"/>
      <c r="V131" s="383"/>
      <c r="W131" s="383"/>
      <c r="X131" s="383"/>
      <c r="Y131" s="383"/>
      <c r="Z131" s="383"/>
      <c r="AA131" s="383"/>
      <c r="AB131" s="383"/>
    </row>
    <row r="132" ht="16.5" customHeight="1">
      <c r="A132" s="465"/>
      <c r="B132" s="465"/>
      <c r="C132" s="383"/>
      <c r="D132" s="383"/>
      <c r="E132" s="383"/>
      <c r="F132" s="383"/>
      <c r="G132" s="383"/>
      <c r="H132" s="383"/>
      <c r="I132" s="383"/>
      <c r="J132" s="383"/>
      <c r="K132" s="383"/>
      <c r="L132" s="383"/>
      <c r="M132" s="383"/>
      <c r="N132" s="383"/>
      <c r="O132" s="383"/>
      <c r="P132" s="383"/>
      <c r="Q132" s="383"/>
      <c r="R132" s="383"/>
      <c r="S132" s="383"/>
      <c r="T132" s="383"/>
      <c r="U132" s="383"/>
      <c r="V132" s="383"/>
      <c r="W132" s="383"/>
      <c r="X132" s="383"/>
      <c r="Y132" s="383"/>
      <c r="Z132" s="383"/>
      <c r="AA132" s="383"/>
      <c r="AB132" s="383"/>
    </row>
    <row r="133" ht="16.5" customHeight="1">
      <c r="A133" s="465"/>
      <c r="B133" s="465"/>
      <c r="C133" s="383"/>
      <c r="D133" s="383"/>
      <c r="E133" s="383"/>
      <c r="F133" s="383"/>
      <c r="G133" s="383"/>
      <c r="H133" s="383"/>
      <c r="I133" s="383"/>
      <c r="J133" s="383"/>
      <c r="K133" s="383"/>
      <c r="L133" s="383"/>
      <c r="M133" s="383"/>
      <c r="N133" s="383"/>
      <c r="O133" s="383"/>
      <c r="P133" s="383"/>
      <c r="Q133" s="383"/>
      <c r="R133" s="383"/>
      <c r="S133" s="383"/>
      <c r="T133" s="383"/>
      <c r="U133" s="383"/>
      <c r="V133" s="383"/>
      <c r="W133" s="383"/>
      <c r="X133" s="383"/>
      <c r="Y133" s="383"/>
      <c r="Z133" s="383"/>
      <c r="AA133" s="383"/>
      <c r="AB133" s="383"/>
    </row>
    <row r="134" ht="16.5" customHeight="1">
      <c r="A134" s="465"/>
      <c r="B134" s="465"/>
      <c r="C134" s="383"/>
      <c r="D134" s="383"/>
      <c r="E134" s="383"/>
      <c r="F134" s="383"/>
      <c r="G134" s="383"/>
      <c r="H134" s="383"/>
      <c r="I134" s="383"/>
      <c r="J134" s="383"/>
      <c r="K134" s="383"/>
      <c r="L134" s="383"/>
      <c r="M134" s="383"/>
      <c r="N134" s="383"/>
      <c r="O134" s="383"/>
      <c r="P134" s="383"/>
      <c r="Q134" s="383"/>
      <c r="R134" s="383"/>
      <c r="S134" s="383"/>
      <c r="T134" s="383"/>
      <c r="U134" s="383"/>
      <c r="V134" s="383"/>
      <c r="W134" s="383"/>
      <c r="X134" s="383"/>
      <c r="Y134" s="383"/>
      <c r="Z134" s="383"/>
      <c r="AA134" s="383"/>
      <c r="AB134" s="383"/>
    </row>
    <row r="135" ht="16.5" customHeight="1">
      <c r="A135" s="465"/>
      <c r="B135" s="465"/>
      <c r="C135" s="383"/>
      <c r="D135" s="383"/>
      <c r="E135" s="383"/>
      <c r="F135" s="383"/>
      <c r="G135" s="383"/>
      <c r="H135" s="383"/>
      <c r="I135" s="383"/>
      <c r="J135" s="383"/>
      <c r="K135" s="383"/>
      <c r="L135" s="383"/>
      <c r="M135" s="383"/>
      <c r="N135" s="383"/>
      <c r="O135" s="383"/>
      <c r="P135" s="383"/>
      <c r="Q135" s="383"/>
      <c r="R135" s="383"/>
      <c r="S135" s="383"/>
      <c r="T135" s="383"/>
      <c r="U135" s="383"/>
      <c r="V135" s="383"/>
      <c r="W135" s="383"/>
      <c r="X135" s="383"/>
      <c r="Y135" s="383"/>
      <c r="Z135" s="383"/>
      <c r="AA135" s="383"/>
      <c r="AB135" s="383"/>
    </row>
    <row r="136" ht="16.5" customHeight="1">
      <c r="A136" s="465"/>
      <c r="B136" s="465"/>
      <c r="C136" s="383"/>
      <c r="D136" s="383"/>
      <c r="E136" s="383"/>
      <c r="F136" s="383"/>
      <c r="G136" s="383"/>
      <c r="H136" s="383"/>
      <c r="I136" s="383"/>
      <c r="J136" s="383"/>
      <c r="K136" s="383"/>
      <c r="L136" s="383"/>
      <c r="M136" s="383"/>
      <c r="N136" s="383"/>
      <c r="O136" s="383"/>
      <c r="P136" s="383"/>
      <c r="Q136" s="383"/>
      <c r="R136" s="383"/>
      <c r="S136" s="383"/>
      <c r="T136" s="383"/>
      <c r="U136" s="383"/>
      <c r="V136" s="383"/>
      <c r="W136" s="383"/>
      <c r="X136" s="383"/>
      <c r="Y136" s="383"/>
      <c r="Z136" s="383"/>
      <c r="AA136" s="383"/>
      <c r="AB136" s="383"/>
    </row>
    <row r="137" ht="16.5" customHeight="1">
      <c r="A137" s="465"/>
      <c r="B137" s="465"/>
      <c r="C137" s="383"/>
      <c r="D137" s="383"/>
      <c r="E137" s="383"/>
      <c r="F137" s="383"/>
      <c r="G137" s="383"/>
      <c r="H137" s="383"/>
      <c r="I137" s="383"/>
      <c r="J137" s="383"/>
      <c r="K137" s="383"/>
      <c r="L137" s="383"/>
      <c r="M137" s="383"/>
      <c r="N137" s="383"/>
      <c r="O137" s="383"/>
      <c r="P137" s="383"/>
      <c r="Q137" s="383"/>
      <c r="R137" s="383"/>
      <c r="S137" s="383"/>
      <c r="T137" s="383"/>
      <c r="U137" s="383"/>
      <c r="V137" s="383"/>
      <c r="W137" s="383"/>
      <c r="X137" s="383"/>
      <c r="Y137" s="383"/>
      <c r="Z137" s="383"/>
      <c r="AA137" s="383"/>
      <c r="AB137" s="383"/>
    </row>
    <row r="138" ht="16.5" customHeight="1">
      <c r="A138" s="465"/>
      <c r="B138" s="465"/>
      <c r="C138" s="383"/>
      <c r="D138" s="383"/>
      <c r="E138" s="383"/>
      <c r="F138" s="383"/>
      <c r="G138" s="383"/>
      <c r="H138" s="383"/>
      <c r="I138" s="383"/>
      <c r="J138" s="383"/>
      <c r="K138" s="383"/>
      <c r="L138" s="383"/>
      <c r="M138" s="383"/>
      <c r="N138" s="383"/>
      <c r="O138" s="383"/>
      <c r="P138" s="383"/>
      <c r="Q138" s="383"/>
      <c r="R138" s="383"/>
      <c r="S138" s="383"/>
      <c r="T138" s="383"/>
      <c r="U138" s="383"/>
      <c r="V138" s="383"/>
      <c r="W138" s="383"/>
      <c r="X138" s="383"/>
      <c r="Y138" s="383"/>
      <c r="Z138" s="383"/>
      <c r="AA138" s="383"/>
      <c r="AB138" s="383"/>
    </row>
    <row r="139" ht="16.5" customHeight="1">
      <c r="A139" s="465"/>
      <c r="B139" s="465"/>
      <c r="C139" s="383"/>
      <c r="D139" s="383"/>
      <c r="E139" s="383"/>
      <c r="F139" s="383"/>
      <c r="G139" s="383"/>
      <c r="H139" s="383"/>
      <c r="I139" s="383"/>
      <c r="J139" s="383"/>
      <c r="K139" s="383"/>
      <c r="L139" s="383"/>
      <c r="M139" s="383"/>
      <c r="N139" s="383"/>
      <c r="O139" s="383"/>
      <c r="P139" s="383"/>
      <c r="Q139" s="383"/>
      <c r="R139" s="383"/>
      <c r="S139" s="383"/>
      <c r="T139" s="383"/>
      <c r="U139" s="383"/>
      <c r="V139" s="383"/>
      <c r="W139" s="383"/>
      <c r="X139" s="383"/>
      <c r="Y139" s="383"/>
      <c r="Z139" s="383"/>
      <c r="AA139" s="383"/>
      <c r="AB139" s="383"/>
    </row>
    <row r="140" ht="16.5" customHeight="1">
      <c r="A140" s="465"/>
      <c r="B140" s="465"/>
      <c r="C140" s="383"/>
      <c r="D140" s="383"/>
      <c r="E140" s="383"/>
      <c r="F140" s="383"/>
      <c r="G140" s="383"/>
      <c r="H140" s="383"/>
      <c r="I140" s="383"/>
      <c r="J140" s="383"/>
      <c r="K140" s="383"/>
      <c r="L140" s="383"/>
      <c r="M140" s="383"/>
      <c r="N140" s="383"/>
      <c r="O140" s="383"/>
      <c r="P140" s="383"/>
      <c r="Q140" s="383"/>
      <c r="R140" s="383"/>
      <c r="S140" s="383"/>
      <c r="T140" s="383"/>
      <c r="U140" s="383"/>
      <c r="V140" s="383"/>
      <c r="W140" s="383"/>
      <c r="X140" s="383"/>
      <c r="Y140" s="383"/>
      <c r="Z140" s="383"/>
      <c r="AA140" s="383"/>
      <c r="AB140" s="383"/>
    </row>
    <row r="141" ht="16.5" customHeight="1">
      <c r="A141" s="465"/>
      <c r="B141" s="465"/>
      <c r="C141" s="383"/>
      <c r="D141" s="383"/>
      <c r="E141" s="383"/>
      <c r="F141" s="383"/>
      <c r="G141" s="383"/>
      <c r="H141" s="383"/>
      <c r="I141" s="383"/>
      <c r="J141" s="383"/>
      <c r="K141" s="383"/>
      <c r="L141" s="383"/>
      <c r="M141" s="383"/>
      <c r="N141" s="383"/>
      <c r="O141" s="383"/>
      <c r="P141" s="383"/>
      <c r="Q141" s="383"/>
      <c r="R141" s="383"/>
      <c r="S141" s="383"/>
      <c r="T141" s="383"/>
      <c r="U141" s="383"/>
      <c r="V141" s="383"/>
      <c r="W141" s="383"/>
      <c r="X141" s="383"/>
      <c r="Y141" s="383"/>
      <c r="Z141" s="383"/>
      <c r="AA141" s="383"/>
      <c r="AB141" s="383"/>
    </row>
    <row r="142" ht="16.5" customHeight="1">
      <c r="A142" s="465"/>
      <c r="B142" s="465"/>
      <c r="C142" s="383"/>
      <c r="D142" s="383"/>
      <c r="E142" s="383"/>
      <c r="F142" s="383"/>
      <c r="G142" s="383"/>
      <c r="H142" s="383"/>
      <c r="I142" s="383"/>
      <c r="J142" s="383"/>
      <c r="K142" s="383"/>
      <c r="L142" s="383"/>
      <c r="M142" s="383"/>
      <c r="N142" s="383"/>
      <c r="O142" s="383"/>
      <c r="P142" s="383"/>
      <c r="Q142" s="383"/>
      <c r="R142" s="383"/>
      <c r="S142" s="383"/>
      <c r="T142" s="383"/>
      <c r="U142" s="383"/>
      <c r="V142" s="383"/>
      <c r="W142" s="383"/>
      <c r="X142" s="383"/>
      <c r="Y142" s="383"/>
      <c r="Z142" s="383"/>
      <c r="AA142" s="383"/>
      <c r="AB142" s="383"/>
    </row>
    <row r="143" ht="16.5" customHeight="1">
      <c r="A143" s="465"/>
      <c r="B143" s="465"/>
      <c r="C143" s="383"/>
      <c r="D143" s="383"/>
      <c r="E143" s="383"/>
      <c r="F143" s="383"/>
      <c r="G143" s="383"/>
      <c r="H143" s="383"/>
      <c r="I143" s="383"/>
      <c r="J143" s="383"/>
      <c r="K143" s="383"/>
      <c r="L143" s="383"/>
      <c r="M143" s="383"/>
      <c r="N143" s="383"/>
      <c r="O143" s="383"/>
      <c r="P143" s="383"/>
      <c r="Q143" s="383"/>
      <c r="R143" s="383"/>
      <c r="S143" s="383"/>
      <c r="T143" s="383"/>
      <c r="U143" s="383"/>
      <c r="V143" s="383"/>
      <c r="W143" s="383"/>
      <c r="X143" s="383"/>
      <c r="Y143" s="383"/>
      <c r="Z143" s="383"/>
      <c r="AA143" s="383"/>
      <c r="AB143" s="383"/>
    </row>
    <row r="144" ht="16.5" customHeight="1">
      <c r="A144" s="465"/>
      <c r="B144" s="465"/>
      <c r="C144" s="383"/>
      <c r="D144" s="383"/>
      <c r="E144" s="383"/>
      <c r="F144" s="383"/>
      <c r="G144" s="383"/>
      <c r="H144" s="383"/>
      <c r="I144" s="383"/>
      <c r="J144" s="383"/>
      <c r="K144" s="383"/>
      <c r="L144" s="383"/>
      <c r="M144" s="383"/>
      <c r="N144" s="383"/>
      <c r="O144" s="383"/>
      <c r="P144" s="383"/>
      <c r="Q144" s="383"/>
      <c r="R144" s="383"/>
      <c r="S144" s="383"/>
      <c r="T144" s="383"/>
      <c r="U144" s="383"/>
      <c r="V144" s="383"/>
      <c r="W144" s="383"/>
      <c r="X144" s="383"/>
      <c r="Y144" s="383"/>
      <c r="Z144" s="383"/>
      <c r="AA144" s="383"/>
      <c r="AB144" s="383"/>
    </row>
    <row r="145" ht="16.5" customHeight="1">
      <c r="A145" s="465"/>
      <c r="B145" s="465"/>
      <c r="C145" s="383"/>
      <c r="D145" s="383"/>
      <c r="E145" s="383"/>
      <c r="F145" s="383"/>
      <c r="G145" s="383"/>
      <c r="H145" s="383"/>
      <c r="I145" s="383"/>
      <c r="J145" s="383"/>
      <c r="K145" s="383"/>
      <c r="L145" s="383"/>
      <c r="M145" s="383"/>
      <c r="N145" s="383"/>
      <c r="O145" s="383"/>
      <c r="P145" s="383"/>
      <c r="Q145" s="383"/>
      <c r="R145" s="383"/>
      <c r="S145" s="383"/>
      <c r="T145" s="383"/>
      <c r="U145" s="383"/>
      <c r="V145" s="383"/>
      <c r="W145" s="383"/>
      <c r="X145" s="383"/>
      <c r="Y145" s="383"/>
      <c r="Z145" s="383"/>
      <c r="AA145" s="383"/>
      <c r="AB145" s="383"/>
    </row>
    <row r="146" ht="16.5" customHeight="1">
      <c r="A146" s="465"/>
      <c r="B146" s="465"/>
      <c r="C146" s="383"/>
      <c r="D146" s="383"/>
      <c r="E146" s="383"/>
      <c r="F146" s="383"/>
      <c r="G146" s="383"/>
      <c r="H146" s="383"/>
      <c r="I146" s="383"/>
      <c r="J146" s="383"/>
      <c r="K146" s="383"/>
      <c r="L146" s="383"/>
      <c r="M146" s="383"/>
      <c r="N146" s="383"/>
      <c r="O146" s="383"/>
      <c r="P146" s="383"/>
      <c r="Q146" s="383"/>
      <c r="R146" s="383"/>
      <c r="S146" s="383"/>
      <c r="T146" s="383"/>
      <c r="U146" s="383"/>
      <c r="V146" s="383"/>
      <c r="W146" s="383"/>
      <c r="X146" s="383"/>
      <c r="Y146" s="383"/>
      <c r="Z146" s="383"/>
      <c r="AA146" s="383"/>
      <c r="AB146" s="383"/>
    </row>
    <row r="147" ht="16.5" customHeight="1">
      <c r="A147" s="465"/>
      <c r="B147" s="465"/>
      <c r="C147" s="383"/>
      <c r="D147" s="383"/>
      <c r="E147" s="383"/>
      <c r="F147" s="383"/>
      <c r="G147" s="383"/>
      <c r="H147" s="383"/>
      <c r="I147" s="383"/>
      <c r="J147" s="383"/>
      <c r="K147" s="383"/>
      <c r="L147" s="383"/>
      <c r="M147" s="383"/>
      <c r="N147" s="383"/>
      <c r="O147" s="383"/>
      <c r="P147" s="383"/>
      <c r="Q147" s="383"/>
      <c r="R147" s="383"/>
      <c r="S147" s="383"/>
      <c r="T147" s="383"/>
      <c r="U147" s="383"/>
      <c r="V147" s="383"/>
      <c r="W147" s="383"/>
      <c r="X147" s="383"/>
      <c r="Y147" s="383"/>
      <c r="Z147" s="383"/>
      <c r="AA147" s="383"/>
      <c r="AB147" s="383"/>
    </row>
    <row r="148" ht="16.5" customHeight="1">
      <c r="A148" s="465"/>
      <c r="B148" s="465"/>
      <c r="C148" s="383"/>
      <c r="D148" s="383"/>
      <c r="E148" s="383"/>
      <c r="F148" s="383"/>
      <c r="G148" s="383"/>
      <c r="H148" s="383"/>
      <c r="I148" s="383"/>
      <c r="J148" s="383"/>
      <c r="K148" s="383"/>
      <c r="L148" s="383"/>
      <c r="M148" s="383"/>
      <c r="N148" s="383"/>
      <c r="O148" s="383"/>
      <c r="P148" s="383"/>
      <c r="Q148" s="383"/>
      <c r="R148" s="383"/>
      <c r="S148" s="383"/>
      <c r="T148" s="383"/>
      <c r="U148" s="383"/>
      <c r="V148" s="383"/>
      <c r="W148" s="383"/>
      <c r="X148" s="383"/>
      <c r="Y148" s="383"/>
      <c r="Z148" s="383"/>
      <c r="AA148" s="383"/>
      <c r="AB148" s="383"/>
    </row>
    <row r="149" ht="16.5" customHeight="1">
      <c r="A149" s="465"/>
      <c r="B149" s="465"/>
      <c r="C149" s="383"/>
      <c r="D149" s="383"/>
      <c r="E149" s="383"/>
      <c r="F149" s="383"/>
      <c r="G149" s="383"/>
      <c r="H149" s="383"/>
      <c r="I149" s="383"/>
      <c r="J149" s="383"/>
      <c r="K149" s="383"/>
      <c r="L149" s="383"/>
      <c r="M149" s="383"/>
      <c r="N149" s="383"/>
      <c r="O149" s="383"/>
      <c r="P149" s="383"/>
      <c r="Q149" s="383"/>
      <c r="R149" s="383"/>
      <c r="S149" s="383"/>
      <c r="T149" s="383"/>
      <c r="U149" s="383"/>
      <c r="V149" s="383"/>
      <c r="W149" s="383"/>
      <c r="X149" s="383"/>
      <c r="Y149" s="383"/>
      <c r="Z149" s="383"/>
      <c r="AA149" s="383"/>
      <c r="AB149" s="383"/>
    </row>
    <row r="150" ht="16.5" customHeight="1">
      <c r="A150" s="465"/>
      <c r="B150" s="465"/>
      <c r="C150" s="383"/>
      <c r="D150" s="383"/>
      <c r="E150" s="383"/>
      <c r="F150" s="383"/>
      <c r="G150" s="383"/>
      <c r="H150" s="383"/>
      <c r="I150" s="383"/>
      <c r="J150" s="383"/>
      <c r="K150" s="383"/>
      <c r="L150" s="383"/>
      <c r="M150" s="383"/>
      <c r="N150" s="383"/>
      <c r="O150" s="383"/>
      <c r="P150" s="383"/>
      <c r="Q150" s="383"/>
      <c r="R150" s="383"/>
      <c r="S150" s="383"/>
      <c r="T150" s="383"/>
      <c r="U150" s="383"/>
      <c r="V150" s="383"/>
      <c r="W150" s="383"/>
      <c r="X150" s="383"/>
      <c r="Y150" s="383"/>
      <c r="Z150" s="383"/>
      <c r="AA150" s="383"/>
      <c r="AB150" s="383"/>
    </row>
    <row r="151" ht="16.5" customHeight="1">
      <c r="A151" s="465"/>
      <c r="B151" s="465"/>
      <c r="C151" s="383"/>
      <c r="D151" s="383"/>
      <c r="E151" s="383"/>
      <c r="F151" s="383"/>
      <c r="G151" s="383"/>
      <c r="H151" s="383"/>
      <c r="I151" s="383"/>
      <c r="J151" s="383"/>
      <c r="K151" s="383"/>
      <c r="L151" s="383"/>
      <c r="M151" s="383"/>
      <c r="N151" s="383"/>
      <c r="O151" s="383"/>
      <c r="P151" s="383"/>
      <c r="Q151" s="383"/>
      <c r="R151" s="383"/>
      <c r="S151" s="383"/>
      <c r="T151" s="383"/>
      <c r="U151" s="383"/>
      <c r="V151" s="383"/>
      <c r="W151" s="383"/>
      <c r="X151" s="383"/>
      <c r="Y151" s="383"/>
      <c r="Z151" s="383"/>
      <c r="AA151" s="383"/>
      <c r="AB151" s="383"/>
    </row>
    <row r="152" ht="16.5" customHeight="1">
      <c r="A152" s="465"/>
      <c r="B152" s="465"/>
      <c r="C152" s="383"/>
      <c r="D152" s="383"/>
      <c r="E152" s="383"/>
      <c r="F152" s="383"/>
      <c r="G152" s="383"/>
      <c r="H152" s="383"/>
      <c r="I152" s="383"/>
      <c r="J152" s="383"/>
      <c r="K152" s="383"/>
      <c r="L152" s="383"/>
      <c r="M152" s="383"/>
      <c r="N152" s="383"/>
      <c r="O152" s="383"/>
      <c r="P152" s="383"/>
      <c r="Q152" s="383"/>
      <c r="R152" s="383"/>
      <c r="S152" s="383"/>
      <c r="T152" s="383"/>
      <c r="U152" s="383"/>
      <c r="V152" s="383"/>
      <c r="W152" s="383"/>
      <c r="X152" s="383"/>
      <c r="Y152" s="383"/>
      <c r="Z152" s="383"/>
      <c r="AA152" s="383"/>
      <c r="AB152" s="383"/>
    </row>
    <row r="153" ht="16.5" customHeight="1">
      <c r="A153" s="465"/>
      <c r="B153" s="465"/>
      <c r="C153" s="383"/>
      <c r="D153" s="383"/>
      <c r="E153" s="383"/>
      <c r="F153" s="383"/>
      <c r="G153" s="383"/>
      <c r="H153" s="383"/>
      <c r="I153" s="383"/>
      <c r="J153" s="383"/>
      <c r="K153" s="383"/>
      <c r="L153" s="383"/>
      <c r="M153" s="383"/>
      <c r="N153" s="383"/>
      <c r="O153" s="383"/>
      <c r="P153" s="383"/>
      <c r="Q153" s="383"/>
      <c r="R153" s="383"/>
      <c r="S153" s="383"/>
      <c r="T153" s="383"/>
      <c r="U153" s="383"/>
      <c r="V153" s="383"/>
      <c r="W153" s="383"/>
      <c r="X153" s="383"/>
      <c r="Y153" s="383"/>
      <c r="Z153" s="383"/>
      <c r="AA153" s="383"/>
      <c r="AB153" s="383"/>
    </row>
    <row r="154" ht="16.5" customHeight="1">
      <c r="A154" s="465"/>
      <c r="B154" s="465"/>
      <c r="C154" s="383"/>
      <c r="D154" s="383"/>
      <c r="E154" s="383"/>
      <c r="F154" s="383"/>
      <c r="G154" s="383"/>
      <c r="H154" s="383"/>
      <c r="I154" s="383"/>
      <c r="J154" s="383"/>
      <c r="K154" s="383"/>
      <c r="L154" s="383"/>
      <c r="M154" s="383"/>
      <c r="N154" s="383"/>
      <c r="O154" s="383"/>
      <c r="P154" s="383"/>
      <c r="Q154" s="383"/>
      <c r="R154" s="383"/>
      <c r="S154" s="383"/>
      <c r="T154" s="383"/>
      <c r="U154" s="383"/>
      <c r="V154" s="383"/>
      <c r="W154" s="383"/>
      <c r="X154" s="383"/>
      <c r="Y154" s="383"/>
      <c r="Z154" s="383"/>
      <c r="AA154" s="383"/>
      <c r="AB154" s="383"/>
    </row>
    <row r="155" ht="16.5" customHeight="1">
      <c r="A155" s="465"/>
      <c r="B155" s="465"/>
      <c r="C155" s="383"/>
      <c r="D155" s="383"/>
      <c r="E155" s="383"/>
      <c r="F155" s="383"/>
      <c r="G155" s="383"/>
      <c r="H155" s="383"/>
      <c r="I155" s="383"/>
      <c r="J155" s="383"/>
      <c r="K155" s="383"/>
      <c r="L155" s="383"/>
      <c r="M155" s="383"/>
      <c r="N155" s="383"/>
      <c r="O155" s="383"/>
      <c r="P155" s="383"/>
      <c r="Q155" s="383"/>
      <c r="R155" s="383"/>
      <c r="S155" s="383"/>
      <c r="T155" s="383"/>
      <c r="U155" s="383"/>
      <c r="V155" s="383"/>
      <c r="W155" s="383"/>
      <c r="X155" s="383"/>
      <c r="Y155" s="383"/>
      <c r="Z155" s="383"/>
      <c r="AA155" s="383"/>
      <c r="AB155" s="383"/>
    </row>
    <row r="156" ht="16.5" customHeight="1">
      <c r="A156" s="465"/>
      <c r="B156" s="465"/>
      <c r="C156" s="383"/>
      <c r="D156" s="383"/>
      <c r="E156" s="383"/>
      <c r="F156" s="383"/>
      <c r="G156" s="383"/>
      <c r="H156" s="383"/>
      <c r="I156" s="383"/>
      <c r="J156" s="383"/>
      <c r="K156" s="383"/>
      <c r="L156" s="383"/>
      <c r="M156" s="383"/>
      <c r="N156" s="383"/>
      <c r="O156" s="383"/>
      <c r="P156" s="383"/>
      <c r="Q156" s="383"/>
      <c r="R156" s="383"/>
      <c r="S156" s="383"/>
      <c r="T156" s="383"/>
      <c r="U156" s="383"/>
      <c r="V156" s="383"/>
      <c r="W156" s="383"/>
      <c r="X156" s="383"/>
      <c r="Y156" s="383"/>
      <c r="Z156" s="383"/>
      <c r="AA156" s="383"/>
      <c r="AB156" s="383"/>
    </row>
    <row r="157" ht="16.5" customHeight="1">
      <c r="A157" s="465"/>
      <c r="B157" s="465"/>
      <c r="C157" s="383"/>
      <c r="D157" s="383"/>
      <c r="E157" s="383"/>
      <c r="F157" s="383"/>
      <c r="G157" s="383"/>
      <c r="H157" s="383"/>
      <c r="I157" s="383"/>
      <c r="J157" s="383"/>
      <c r="K157" s="383"/>
      <c r="L157" s="383"/>
      <c r="M157" s="383"/>
      <c r="N157" s="383"/>
      <c r="O157" s="383"/>
      <c r="P157" s="383"/>
      <c r="Q157" s="383"/>
      <c r="R157" s="383"/>
      <c r="S157" s="383"/>
      <c r="T157" s="383"/>
      <c r="U157" s="383"/>
      <c r="V157" s="383"/>
      <c r="W157" s="383"/>
      <c r="X157" s="383"/>
      <c r="Y157" s="383"/>
      <c r="Z157" s="383"/>
      <c r="AA157" s="383"/>
      <c r="AB157" s="383"/>
    </row>
    <row r="158" ht="16.5" customHeight="1">
      <c r="A158" s="465"/>
      <c r="B158" s="465"/>
      <c r="C158" s="383"/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</row>
    <row r="159" ht="16.5" customHeight="1">
      <c r="A159" s="465"/>
      <c r="B159" s="465"/>
      <c r="C159" s="383"/>
      <c r="D159" s="383"/>
      <c r="E159" s="383"/>
      <c r="F159" s="383"/>
      <c r="G159" s="383"/>
      <c r="H159" s="383"/>
      <c r="I159" s="383"/>
      <c r="J159" s="383"/>
      <c r="K159" s="383"/>
      <c r="L159" s="383"/>
      <c r="M159" s="383"/>
      <c r="N159" s="383"/>
      <c r="O159" s="383"/>
      <c r="P159" s="383"/>
      <c r="Q159" s="383"/>
      <c r="R159" s="383"/>
      <c r="S159" s="383"/>
      <c r="T159" s="383"/>
      <c r="U159" s="383"/>
      <c r="V159" s="383"/>
      <c r="W159" s="383"/>
      <c r="X159" s="383"/>
      <c r="Y159" s="383"/>
      <c r="Z159" s="383"/>
      <c r="AA159" s="383"/>
      <c r="AB159" s="383"/>
    </row>
    <row r="160" ht="16.5" customHeight="1">
      <c r="A160" s="465"/>
      <c r="B160" s="465"/>
      <c r="C160" s="383"/>
      <c r="D160" s="383"/>
      <c r="E160" s="383"/>
      <c r="F160" s="383"/>
      <c r="G160" s="383"/>
      <c r="H160" s="383"/>
      <c r="I160" s="383"/>
      <c r="J160" s="383"/>
      <c r="K160" s="383"/>
      <c r="L160" s="383"/>
      <c r="M160" s="383"/>
      <c r="N160" s="383"/>
      <c r="O160" s="383"/>
      <c r="P160" s="383"/>
      <c r="Q160" s="383"/>
      <c r="R160" s="383"/>
      <c r="S160" s="383"/>
      <c r="T160" s="383"/>
      <c r="U160" s="383"/>
      <c r="V160" s="383"/>
      <c r="W160" s="383"/>
      <c r="X160" s="383"/>
      <c r="Y160" s="383"/>
      <c r="Z160" s="383"/>
      <c r="AA160" s="383"/>
      <c r="AB160" s="383"/>
    </row>
    <row r="161" ht="16.5" customHeight="1">
      <c r="A161" s="465"/>
      <c r="B161" s="465"/>
      <c r="C161" s="383"/>
      <c r="D161" s="383"/>
      <c r="E161" s="383"/>
      <c r="F161" s="383"/>
      <c r="G161" s="383"/>
      <c r="H161" s="383"/>
      <c r="I161" s="383"/>
      <c r="J161" s="383"/>
      <c r="K161" s="383"/>
      <c r="L161" s="383"/>
      <c r="M161" s="383"/>
      <c r="N161" s="383"/>
      <c r="O161" s="383"/>
      <c r="P161" s="383"/>
      <c r="Q161" s="383"/>
      <c r="R161" s="383"/>
      <c r="S161" s="383"/>
      <c r="T161" s="383"/>
      <c r="U161" s="383"/>
      <c r="V161" s="383"/>
      <c r="W161" s="383"/>
      <c r="X161" s="383"/>
      <c r="Y161" s="383"/>
      <c r="Z161" s="383"/>
      <c r="AA161" s="383"/>
      <c r="AB161" s="383"/>
    </row>
    <row r="162" ht="16.5" customHeight="1">
      <c r="A162" s="465"/>
      <c r="B162" s="465"/>
      <c r="C162" s="383"/>
      <c r="D162" s="383"/>
      <c r="E162" s="383"/>
      <c r="F162" s="383"/>
      <c r="G162" s="383"/>
      <c r="H162" s="383"/>
      <c r="I162" s="383"/>
      <c r="J162" s="383"/>
      <c r="K162" s="383"/>
      <c r="L162" s="383"/>
      <c r="M162" s="383"/>
      <c r="N162" s="383"/>
      <c r="O162" s="383"/>
      <c r="P162" s="383"/>
      <c r="Q162" s="383"/>
      <c r="R162" s="383"/>
      <c r="S162" s="383"/>
      <c r="T162" s="383"/>
      <c r="U162" s="383"/>
      <c r="V162" s="383"/>
      <c r="W162" s="383"/>
      <c r="X162" s="383"/>
      <c r="Y162" s="383"/>
      <c r="Z162" s="383"/>
      <c r="AA162" s="383"/>
      <c r="AB162" s="383"/>
    </row>
    <row r="163" ht="16.5" customHeight="1">
      <c r="A163" s="465"/>
      <c r="B163" s="465"/>
      <c r="C163" s="383"/>
      <c r="D163" s="383"/>
      <c r="E163" s="383"/>
      <c r="F163" s="383"/>
      <c r="G163" s="383"/>
      <c r="H163" s="383"/>
      <c r="I163" s="383"/>
      <c r="J163" s="383"/>
      <c r="K163" s="383"/>
      <c r="L163" s="383"/>
      <c r="M163" s="383"/>
      <c r="N163" s="383"/>
      <c r="O163" s="383"/>
      <c r="P163" s="383"/>
      <c r="Q163" s="383"/>
      <c r="R163" s="383"/>
      <c r="S163" s="383"/>
      <c r="T163" s="383"/>
      <c r="U163" s="383"/>
      <c r="V163" s="383"/>
      <c r="W163" s="383"/>
      <c r="X163" s="383"/>
      <c r="Y163" s="383"/>
      <c r="Z163" s="383"/>
      <c r="AA163" s="383"/>
      <c r="AB163" s="383"/>
    </row>
    <row r="164" ht="16.5" customHeight="1">
      <c r="A164" s="465"/>
      <c r="B164" s="465"/>
      <c r="C164" s="383"/>
      <c r="D164" s="383"/>
      <c r="E164" s="383"/>
      <c r="F164" s="383"/>
      <c r="G164" s="383"/>
      <c r="H164" s="383"/>
      <c r="I164" s="383"/>
      <c r="J164" s="383"/>
      <c r="K164" s="383"/>
      <c r="L164" s="383"/>
      <c r="M164" s="383"/>
      <c r="N164" s="383"/>
      <c r="O164" s="383"/>
      <c r="P164" s="383"/>
      <c r="Q164" s="383"/>
      <c r="R164" s="383"/>
      <c r="S164" s="383"/>
      <c r="T164" s="383"/>
      <c r="U164" s="383"/>
      <c r="V164" s="383"/>
      <c r="W164" s="383"/>
      <c r="X164" s="383"/>
      <c r="Y164" s="383"/>
      <c r="Z164" s="383"/>
      <c r="AA164" s="383"/>
      <c r="AB164" s="383"/>
    </row>
    <row r="165" ht="16.5" customHeight="1">
      <c r="A165" s="465"/>
      <c r="B165" s="465"/>
      <c r="C165" s="383"/>
      <c r="D165" s="383"/>
      <c r="E165" s="383"/>
      <c r="F165" s="383"/>
      <c r="G165" s="383"/>
      <c r="H165" s="383"/>
      <c r="I165" s="383"/>
      <c r="J165" s="383"/>
      <c r="K165" s="383"/>
      <c r="L165" s="383"/>
      <c r="M165" s="383"/>
      <c r="N165" s="383"/>
      <c r="O165" s="383"/>
      <c r="P165" s="383"/>
      <c r="Q165" s="383"/>
      <c r="R165" s="383"/>
      <c r="S165" s="383"/>
      <c r="T165" s="383"/>
      <c r="U165" s="383"/>
      <c r="V165" s="383"/>
      <c r="W165" s="383"/>
      <c r="X165" s="383"/>
      <c r="Y165" s="383"/>
      <c r="Z165" s="383"/>
      <c r="AA165" s="383"/>
      <c r="AB165" s="383"/>
    </row>
    <row r="166" ht="16.5" customHeight="1">
      <c r="A166" s="465"/>
      <c r="B166" s="465"/>
      <c r="C166" s="383"/>
      <c r="D166" s="383"/>
      <c r="E166" s="383"/>
      <c r="F166" s="383"/>
      <c r="G166" s="383"/>
      <c r="H166" s="383"/>
      <c r="I166" s="383"/>
      <c r="J166" s="383"/>
      <c r="K166" s="383"/>
      <c r="L166" s="383"/>
      <c r="M166" s="383"/>
      <c r="N166" s="383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  <c r="Z166" s="383"/>
      <c r="AA166" s="383"/>
      <c r="AB166" s="383"/>
    </row>
    <row r="167" ht="16.5" customHeight="1">
      <c r="A167" s="465"/>
      <c r="B167" s="465"/>
      <c r="C167" s="383"/>
      <c r="D167" s="383"/>
      <c r="E167" s="383"/>
      <c r="F167" s="383"/>
      <c r="G167" s="383"/>
      <c r="H167" s="383"/>
      <c r="I167" s="383"/>
      <c r="J167" s="383"/>
      <c r="K167" s="383"/>
      <c r="L167" s="383"/>
      <c r="M167" s="383"/>
      <c r="N167" s="383"/>
      <c r="O167" s="383"/>
      <c r="P167" s="383"/>
      <c r="Q167" s="383"/>
      <c r="R167" s="383"/>
      <c r="S167" s="383"/>
      <c r="T167" s="383"/>
      <c r="U167" s="383"/>
      <c r="V167" s="383"/>
      <c r="W167" s="383"/>
      <c r="X167" s="383"/>
      <c r="Y167" s="383"/>
      <c r="Z167" s="383"/>
      <c r="AA167" s="383"/>
      <c r="AB167" s="383"/>
    </row>
    <row r="168" ht="16.5" customHeight="1">
      <c r="A168" s="465"/>
      <c r="B168" s="465"/>
      <c r="C168" s="383"/>
      <c r="D168" s="383"/>
      <c r="E168" s="383"/>
      <c r="F168" s="383"/>
      <c r="G168" s="383"/>
      <c r="H168" s="383"/>
      <c r="I168" s="383"/>
      <c r="J168" s="383"/>
      <c r="K168" s="383"/>
      <c r="L168" s="383"/>
      <c r="M168" s="383"/>
      <c r="N168" s="383"/>
      <c r="O168" s="383"/>
      <c r="P168" s="383"/>
      <c r="Q168" s="383"/>
      <c r="R168" s="383"/>
      <c r="S168" s="383"/>
      <c r="T168" s="383"/>
      <c r="U168" s="383"/>
      <c r="V168" s="383"/>
      <c r="W168" s="383"/>
      <c r="X168" s="383"/>
      <c r="Y168" s="383"/>
      <c r="Z168" s="383"/>
      <c r="AA168" s="383"/>
      <c r="AB168" s="383"/>
    </row>
    <row r="169" ht="16.5" customHeight="1">
      <c r="A169" s="465"/>
      <c r="B169" s="465"/>
      <c r="C169" s="383"/>
      <c r="D169" s="383"/>
      <c r="E169" s="383"/>
      <c r="F169" s="383"/>
      <c r="G169" s="383"/>
      <c r="H169" s="383"/>
      <c r="I169" s="383"/>
      <c r="J169" s="383"/>
      <c r="K169" s="383"/>
      <c r="L169" s="383"/>
      <c r="M169" s="383"/>
      <c r="N169" s="383"/>
      <c r="O169" s="383"/>
      <c r="P169" s="383"/>
      <c r="Q169" s="383"/>
      <c r="R169" s="383"/>
      <c r="S169" s="383"/>
      <c r="T169" s="383"/>
      <c r="U169" s="383"/>
      <c r="V169" s="383"/>
      <c r="W169" s="383"/>
      <c r="X169" s="383"/>
      <c r="Y169" s="383"/>
      <c r="Z169" s="383"/>
      <c r="AA169" s="383"/>
      <c r="AB169" s="383"/>
    </row>
    <row r="170" ht="16.5" customHeight="1">
      <c r="A170" s="465"/>
      <c r="B170" s="465"/>
      <c r="C170" s="383"/>
      <c r="D170" s="383"/>
      <c r="E170" s="383"/>
      <c r="F170" s="383"/>
      <c r="G170" s="383"/>
      <c r="H170" s="383"/>
      <c r="I170" s="383"/>
      <c r="J170" s="383"/>
      <c r="K170" s="383"/>
      <c r="L170" s="383"/>
      <c r="M170" s="383"/>
      <c r="N170" s="383"/>
      <c r="O170" s="383"/>
      <c r="P170" s="383"/>
      <c r="Q170" s="383"/>
      <c r="R170" s="383"/>
      <c r="S170" s="383"/>
      <c r="T170" s="383"/>
      <c r="U170" s="383"/>
      <c r="V170" s="383"/>
      <c r="W170" s="383"/>
      <c r="X170" s="383"/>
      <c r="Y170" s="383"/>
      <c r="Z170" s="383"/>
      <c r="AA170" s="383"/>
      <c r="AB170" s="383"/>
    </row>
    <row r="171" ht="16.5" customHeight="1">
      <c r="A171" s="465"/>
      <c r="B171" s="465"/>
      <c r="C171" s="383"/>
      <c r="D171" s="383"/>
      <c r="E171" s="383"/>
      <c r="F171" s="383"/>
      <c r="G171" s="383"/>
      <c r="H171" s="383"/>
      <c r="I171" s="383"/>
      <c r="J171" s="383"/>
      <c r="K171" s="383"/>
      <c r="L171" s="383"/>
      <c r="M171" s="383"/>
      <c r="N171" s="383"/>
      <c r="O171" s="383"/>
      <c r="P171" s="383"/>
      <c r="Q171" s="383"/>
      <c r="R171" s="383"/>
      <c r="S171" s="383"/>
      <c r="T171" s="383"/>
      <c r="U171" s="383"/>
      <c r="V171" s="383"/>
      <c r="W171" s="383"/>
      <c r="X171" s="383"/>
      <c r="Y171" s="383"/>
      <c r="Z171" s="383"/>
      <c r="AA171" s="383"/>
      <c r="AB171" s="383"/>
    </row>
    <row r="172" ht="16.5" customHeight="1">
      <c r="A172" s="465"/>
      <c r="B172" s="465"/>
      <c r="C172" s="383"/>
      <c r="D172" s="383"/>
      <c r="E172" s="383"/>
      <c r="F172" s="383"/>
      <c r="G172" s="383"/>
      <c r="H172" s="383"/>
      <c r="I172" s="383"/>
      <c r="J172" s="383"/>
      <c r="K172" s="383"/>
      <c r="L172" s="383"/>
      <c r="M172" s="383"/>
      <c r="N172" s="383"/>
      <c r="O172" s="383"/>
      <c r="P172" s="383"/>
      <c r="Q172" s="383"/>
      <c r="R172" s="383"/>
      <c r="S172" s="383"/>
      <c r="T172" s="383"/>
      <c r="U172" s="383"/>
      <c r="V172" s="383"/>
      <c r="W172" s="383"/>
      <c r="X172" s="383"/>
      <c r="Y172" s="383"/>
      <c r="Z172" s="383"/>
      <c r="AA172" s="383"/>
      <c r="AB172" s="383"/>
    </row>
    <row r="173" ht="16.5" customHeight="1">
      <c r="A173" s="465"/>
      <c r="B173" s="465"/>
      <c r="C173" s="383"/>
      <c r="D173" s="383"/>
      <c r="E173" s="383"/>
      <c r="F173" s="383"/>
      <c r="G173" s="383"/>
      <c r="H173" s="383"/>
      <c r="I173" s="383"/>
      <c r="J173" s="383"/>
      <c r="K173" s="383"/>
      <c r="L173" s="383"/>
      <c r="M173" s="383"/>
      <c r="N173" s="383"/>
      <c r="O173" s="383"/>
      <c r="P173" s="383"/>
      <c r="Q173" s="383"/>
      <c r="R173" s="383"/>
      <c r="S173" s="383"/>
      <c r="T173" s="383"/>
      <c r="U173" s="383"/>
      <c r="V173" s="383"/>
      <c r="W173" s="383"/>
      <c r="X173" s="383"/>
      <c r="Y173" s="383"/>
      <c r="Z173" s="383"/>
      <c r="AA173" s="383"/>
      <c r="AB173" s="383"/>
    </row>
    <row r="174" ht="16.5" customHeight="1">
      <c r="A174" s="465"/>
      <c r="B174" s="465"/>
      <c r="C174" s="383"/>
      <c r="D174" s="383"/>
      <c r="E174" s="383"/>
      <c r="F174" s="383"/>
      <c r="G174" s="383"/>
      <c r="H174" s="383"/>
      <c r="I174" s="383"/>
      <c r="J174" s="383"/>
      <c r="K174" s="383"/>
      <c r="L174" s="383"/>
      <c r="M174" s="383"/>
      <c r="N174" s="383"/>
      <c r="O174" s="383"/>
      <c r="P174" s="383"/>
      <c r="Q174" s="383"/>
      <c r="R174" s="383"/>
      <c r="S174" s="383"/>
      <c r="T174" s="383"/>
      <c r="U174" s="383"/>
      <c r="V174" s="383"/>
      <c r="W174" s="383"/>
      <c r="X174" s="383"/>
      <c r="Y174" s="383"/>
      <c r="Z174" s="383"/>
      <c r="AA174" s="383"/>
      <c r="AB174" s="383"/>
    </row>
    <row r="175" ht="16.5" customHeight="1">
      <c r="A175" s="465"/>
      <c r="B175" s="465"/>
      <c r="C175" s="383"/>
      <c r="D175" s="383"/>
      <c r="E175" s="383"/>
      <c r="F175" s="383"/>
      <c r="G175" s="383"/>
      <c r="H175" s="383"/>
      <c r="I175" s="383"/>
      <c r="J175" s="383"/>
      <c r="K175" s="383"/>
      <c r="L175" s="383"/>
      <c r="M175" s="383"/>
      <c r="N175" s="383"/>
      <c r="O175" s="383"/>
      <c r="P175" s="383"/>
      <c r="Q175" s="383"/>
      <c r="R175" s="383"/>
      <c r="S175" s="383"/>
      <c r="T175" s="383"/>
      <c r="U175" s="383"/>
      <c r="V175" s="383"/>
      <c r="W175" s="383"/>
      <c r="X175" s="383"/>
      <c r="Y175" s="383"/>
      <c r="Z175" s="383"/>
      <c r="AA175" s="383"/>
      <c r="AB175" s="383"/>
    </row>
    <row r="176" ht="16.5" customHeight="1">
      <c r="A176" s="465"/>
      <c r="B176" s="465"/>
      <c r="C176" s="383"/>
      <c r="D176" s="383"/>
      <c r="E176" s="383"/>
      <c r="F176" s="383"/>
      <c r="G176" s="383"/>
      <c r="H176" s="383"/>
      <c r="I176" s="383"/>
      <c r="J176" s="383"/>
      <c r="K176" s="383"/>
      <c r="L176" s="383"/>
      <c r="M176" s="383"/>
      <c r="N176" s="383"/>
      <c r="O176" s="383"/>
      <c r="P176" s="383"/>
      <c r="Q176" s="383"/>
      <c r="R176" s="383"/>
      <c r="S176" s="383"/>
      <c r="T176" s="383"/>
      <c r="U176" s="383"/>
      <c r="V176" s="383"/>
      <c r="W176" s="383"/>
      <c r="X176" s="383"/>
      <c r="Y176" s="383"/>
      <c r="Z176" s="383"/>
      <c r="AA176" s="383"/>
      <c r="AB176" s="383"/>
    </row>
    <row r="177" ht="16.5" customHeight="1">
      <c r="A177" s="465"/>
      <c r="B177" s="465"/>
      <c r="C177" s="383"/>
      <c r="D177" s="383"/>
      <c r="E177" s="383"/>
      <c r="F177" s="383"/>
      <c r="G177" s="383"/>
      <c r="H177" s="383"/>
      <c r="I177" s="383"/>
      <c r="J177" s="383"/>
      <c r="K177" s="383"/>
      <c r="L177" s="383"/>
      <c r="M177" s="383"/>
      <c r="N177" s="383"/>
      <c r="O177" s="383"/>
      <c r="P177" s="383"/>
      <c r="Q177" s="383"/>
      <c r="R177" s="383"/>
      <c r="S177" s="383"/>
      <c r="T177" s="383"/>
      <c r="U177" s="383"/>
      <c r="V177" s="383"/>
      <c r="W177" s="383"/>
      <c r="X177" s="383"/>
      <c r="Y177" s="383"/>
      <c r="Z177" s="383"/>
      <c r="AA177" s="383"/>
      <c r="AB177" s="383"/>
    </row>
    <row r="178" ht="16.5" customHeight="1">
      <c r="A178" s="465"/>
      <c r="B178" s="465"/>
      <c r="C178" s="383"/>
      <c r="D178" s="383"/>
      <c r="E178" s="383"/>
      <c r="F178" s="383"/>
      <c r="G178" s="383"/>
      <c r="H178" s="383"/>
      <c r="I178" s="383"/>
      <c r="J178" s="383"/>
      <c r="K178" s="383"/>
      <c r="L178" s="383"/>
      <c r="M178" s="383"/>
      <c r="N178" s="383"/>
      <c r="O178" s="383"/>
      <c r="P178" s="383"/>
      <c r="Q178" s="383"/>
      <c r="R178" s="383"/>
      <c r="S178" s="383"/>
      <c r="T178" s="383"/>
      <c r="U178" s="383"/>
      <c r="V178" s="383"/>
      <c r="W178" s="383"/>
      <c r="X178" s="383"/>
      <c r="Y178" s="383"/>
      <c r="Z178" s="383"/>
      <c r="AA178" s="383"/>
      <c r="AB178" s="383"/>
    </row>
    <row r="179" ht="16.5" customHeight="1">
      <c r="A179" s="465"/>
      <c r="B179" s="465"/>
      <c r="C179" s="383"/>
      <c r="D179" s="383"/>
      <c r="E179" s="383"/>
      <c r="F179" s="383"/>
      <c r="G179" s="383"/>
      <c r="H179" s="383"/>
      <c r="I179" s="383"/>
      <c r="J179" s="383"/>
      <c r="K179" s="383"/>
      <c r="L179" s="383"/>
      <c r="M179" s="383"/>
      <c r="N179" s="383"/>
      <c r="O179" s="383"/>
      <c r="P179" s="383"/>
      <c r="Q179" s="383"/>
      <c r="R179" s="383"/>
      <c r="S179" s="383"/>
      <c r="T179" s="383"/>
      <c r="U179" s="383"/>
      <c r="V179" s="383"/>
      <c r="W179" s="383"/>
      <c r="X179" s="383"/>
      <c r="Y179" s="383"/>
      <c r="Z179" s="383"/>
      <c r="AA179" s="383"/>
      <c r="AB179" s="383"/>
    </row>
    <row r="180" ht="16.5" customHeight="1">
      <c r="A180" s="465"/>
      <c r="B180" s="465"/>
      <c r="C180" s="383"/>
      <c r="D180" s="383"/>
      <c r="E180" s="383"/>
      <c r="F180" s="383"/>
      <c r="G180" s="383"/>
      <c r="H180" s="383"/>
      <c r="I180" s="383"/>
      <c r="J180" s="383"/>
      <c r="K180" s="383"/>
      <c r="L180" s="383"/>
      <c r="M180" s="383"/>
      <c r="N180" s="383"/>
      <c r="O180" s="383"/>
      <c r="P180" s="383"/>
      <c r="Q180" s="383"/>
      <c r="R180" s="383"/>
      <c r="S180" s="383"/>
      <c r="T180" s="383"/>
      <c r="U180" s="383"/>
      <c r="V180" s="383"/>
      <c r="W180" s="383"/>
      <c r="X180" s="383"/>
      <c r="Y180" s="383"/>
      <c r="Z180" s="383"/>
      <c r="AA180" s="383"/>
      <c r="AB180" s="383"/>
    </row>
    <row r="181" ht="16.5" customHeight="1">
      <c r="A181" s="465"/>
      <c r="B181" s="465"/>
      <c r="C181" s="383"/>
      <c r="D181" s="383"/>
      <c r="E181" s="383"/>
      <c r="F181" s="383"/>
      <c r="G181" s="383"/>
      <c r="H181" s="383"/>
      <c r="I181" s="383"/>
      <c r="J181" s="383"/>
      <c r="K181" s="383"/>
      <c r="L181" s="383"/>
      <c r="M181" s="383"/>
      <c r="N181" s="383"/>
      <c r="O181" s="383"/>
      <c r="P181" s="383"/>
      <c r="Q181" s="383"/>
      <c r="R181" s="383"/>
      <c r="S181" s="383"/>
      <c r="T181" s="383"/>
      <c r="U181" s="383"/>
      <c r="V181" s="383"/>
      <c r="W181" s="383"/>
      <c r="X181" s="383"/>
      <c r="Y181" s="383"/>
      <c r="Z181" s="383"/>
      <c r="AA181" s="383"/>
      <c r="AB181" s="383"/>
    </row>
    <row r="182" ht="16.5" customHeight="1">
      <c r="A182" s="465"/>
      <c r="B182" s="465"/>
      <c r="C182" s="383"/>
      <c r="D182" s="383"/>
      <c r="E182" s="383"/>
      <c r="F182" s="383"/>
      <c r="G182" s="383"/>
      <c r="H182" s="383"/>
      <c r="I182" s="383"/>
      <c r="J182" s="383"/>
      <c r="K182" s="383"/>
      <c r="L182" s="383"/>
      <c r="M182" s="383"/>
      <c r="N182" s="383"/>
      <c r="O182" s="383"/>
      <c r="P182" s="383"/>
      <c r="Q182" s="383"/>
      <c r="R182" s="383"/>
      <c r="S182" s="383"/>
      <c r="T182" s="383"/>
      <c r="U182" s="383"/>
      <c r="V182" s="383"/>
      <c r="W182" s="383"/>
      <c r="X182" s="383"/>
      <c r="Y182" s="383"/>
      <c r="Z182" s="383"/>
      <c r="AA182" s="383"/>
      <c r="AB182" s="383"/>
    </row>
    <row r="183" ht="16.5" customHeight="1">
      <c r="A183" s="465"/>
      <c r="B183" s="465"/>
      <c r="C183" s="383"/>
      <c r="D183" s="383"/>
      <c r="E183" s="383"/>
      <c r="F183" s="383"/>
      <c r="G183" s="383"/>
      <c r="H183" s="383"/>
      <c r="I183" s="383"/>
      <c r="J183" s="383"/>
      <c r="K183" s="383"/>
      <c r="L183" s="383"/>
      <c r="M183" s="383"/>
      <c r="N183" s="383"/>
      <c r="O183" s="383"/>
      <c r="P183" s="383"/>
      <c r="Q183" s="383"/>
      <c r="R183" s="383"/>
      <c r="S183" s="383"/>
      <c r="T183" s="383"/>
      <c r="U183" s="383"/>
      <c r="V183" s="383"/>
      <c r="W183" s="383"/>
      <c r="X183" s="383"/>
      <c r="Y183" s="383"/>
      <c r="Z183" s="383"/>
      <c r="AA183" s="383"/>
      <c r="AB183" s="383"/>
    </row>
    <row r="184" ht="16.5" customHeight="1">
      <c r="A184" s="465"/>
      <c r="B184" s="465"/>
      <c r="C184" s="383"/>
      <c r="D184" s="383"/>
      <c r="E184" s="383"/>
      <c r="F184" s="383"/>
      <c r="G184" s="383"/>
      <c r="H184" s="383"/>
      <c r="I184" s="383"/>
      <c r="J184" s="383"/>
      <c r="K184" s="383"/>
      <c r="L184" s="383"/>
      <c r="M184" s="383"/>
      <c r="N184" s="383"/>
      <c r="O184" s="383"/>
      <c r="P184" s="383"/>
      <c r="Q184" s="383"/>
      <c r="R184" s="383"/>
      <c r="S184" s="383"/>
      <c r="T184" s="383"/>
      <c r="U184" s="383"/>
      <c r="V184" s="383"/>
      <c r="W184" s="383"/>
      <c r="X184" s="383"/>
      <c r="Y184" s="383"/>
      <c r="Z184" s="383"/>
      <c r="AA184" s="383"/>
      <c r="AB184" s="383"/>
    </row>
    <row r="185" ht="16.5" customHeight="1">
      <c r="A185" s="465"/>
      <c r="B185" s="465"/>
      <c r="C185" s="383"/>
      <c r="D185" s="383"/>
      <c r="E185" s="383"/>
      <c r="F185" s="383"/>
      <c r="G185" s="383"/>
      <c r="H185" s="383"/>
      <c r="I185" s="383"/>
      <c r="J185" s="383"/>
      <c r="K185" s="383"/>
      <c r="L185" s="383"/>
      <c r="M185" s="383"/>
      <c r="N185" s="383"/>
      <c r="O185" s="383"/>
      <c r="P185" s="383"/>
      <c r="Q185" s="383"/>
      <c r="R185" s="383"/>
      <c r="S185" s="383"/>
      <c r="T185" s="383"/>
      <c r="U185" s="383"/>
      <c r="V185" s="383"/>
      <c r="W185" s="383"/>
      <c r="X185" s="383"/>
      <c r="Y185" s="383"/>
      <c r="Z185" s="383"/>
      <c r="AA185" s="383"/>
      <c r="AB185" s="383"/>
    </row>
    <row r="186" ht="16.5" customHeight="1">
      <c r="A186" s="465"/>
      <c r="B186" s="465"/>
      <c r="C186" s="383"/>
      <c r="D186" s="383"/>
      <c r="E186" s="383"/>
      <c r="F186" s="383"/>
      <c r="G186" s="383"/>
      <c r="H186" s="383"/>
      <c r="I186" s="383"/>
      <c r="J186" s="383"/>
      <c r="K186" s="383"/>
      <c r="L186" s="383"/>
      <c r="M186" s="383"/>
      <c r="N186" s="383"/>
      <c r="O186" s="383"/>
      <c r="P186" s="383"/>
      <c r="Q186" s="383"/>
      <c r="R186" s="383"/>
      <c r="S186" s="383"/>
      <c r="T186" s="383"/>
      <c r="U186" s="383"/>
      <c r="V186" s="383"/>
      <c r="W186" s="383"/>
      <c r="X186" s="383"/>
      <c r="Y186" s="383"/>
      <c r="Z186" s="383"/>
      <c r="AA186" s="383"/>
      <c r="AB186" s="383"/>
    </row>
    <row r="187" ht="16.5" customHeight="1">
      <c r="A187" s="465"/>
      <c r="B187" s="465"/>
      <c r="C187" s="383"/>
      <c r="D187" s="383"/>
      <c r="E187" s="383"/>
      <c r="F187" s="383"/>
      <c r="G187" s="383"/>
      <c r="H187" s="383"/>
      <c r="I187" s="383"/>
      <c r="J187" s="383"/>
      <c r="K187" s="383"/>
      <c r="L187" s="383"/>
      <c r="M187" s="383"/>
      <c r="N187" s="383"/>
      <c r="O187" s="383"/>
      <c r="P187" s="383"/>
      <c r="Q187" s="383"/>
      <c r="R187" s="383"/>
      <c r="S187" s="383"/>
      <c r="T187" s="383"/>
      <c r="U187" s="383"/>
      <c r="V187" s="383"/>
      <c r="W187" s="383"/>
      <c r="X187" s="383"/>
      <c r="Y187" s="383"/>
      <c r="Z187" s="383"/>
      <c r="AA187" s="383"/>
      <c r="AB187" s="383"/>
    </row>
    <row r="188" ht="16.5" customHeight="1">
      <c r="A188" s="465"/>
      <c r="B188" s="465"/>
      <c r="C188" s="383"/>
      <c r="D188" s="383"/>
      <c r="E188" s="383"/>
      <c r="F188" s="383"/>
      <c r="G188" s="383"/>
      <c r="H188" s="383"/>
      <c r="I188" s="383"/>
      <c r="J188" s="383"/>
      <c r="K188" s="383"/>
      <c r="L188" s="383"/>
      <c r="M188" s="383"/>
      <c r="N188" s="383"/>
      <c r="O188" s="383"/>
      <c r="P188" s="383"/>
      <c r="Q188" s="383"/>
      <c r="R188" s="383"/>
      <c r="S188" s="383"/>
      <c r="T188" s="383"/>
      <c r="U188" s="383"/>
      <c r="V188" s="383"/>
      <c r="W188" s="383"/>
      <c r="X188" s="383"/>
      <c r="Y188" s="383"/>
      <c r="Z188" s="383"/>
      <c r="AA188" s="383"/>
      <c r="AB188" s="383"/>
    </row>
    <row r="189" ht="16.5" customHeight="1">
      <c r="A189" s="465"/>
      <c r="B189" s="465"/>
      <c r="C189" s="383"/>
      <c r="D189" s="383"/>
      <c r="E189" s="383"/>
      <c r="F189" s="383"/>
      <c r="G189" s="383"/>
      <c r="H189" s="383"/>
      <c r="I189" s="383"/>
      <c r="J189" s="383"/>
      <c r="K189" s="383"/>
      <c r="L189" s="383"/>
      <c r="M189" s="383"/>
      <c r="N189" s="383"/>
      <c r="O189" s="383"/>
      <c r="P189" s="383"/>
      <c r="Q189" s="383"/>
      <c r="R189" s="383"/>
      <c r="S189" s="383"/>
      <c r="T189" s="383"/>
      <c r="U189" s="383"/>
      <c r="V189" s="383"/>
      <c r="W189" s="383"/>
      <c r="X189" s="383"/>
      <c r="Y189" s="383"/>
      <c r="Z189" s="383"/>
      <c r="AA189" s="383"/>
      <c r="AB189" s="383"/>
    </row>
    <row r="190" ht="16.5" customHeight="1">
      <c r="A190" s="465"/>
      <c r="B190" s="465"/>
      <c r="C190" s="383"/>
      <c r="D190" s="383"/>
      <c r="E190" s="383"/>
      <c r="F190" s="383"/>
      <c r="G190" s="383"/>
      <c r="H190" s="383"/>
      <c r="I190" s="383"/>
      <c r="J190" s="383"/>
      <c r="K190" s="383"/>
      <c r="L190" s="383"/>
      <c r="M190" s="383"/>
      <c r="N190" s="383"/>
      <c r="O190" s="383"/>
      <c r="P190" s="383"/>
      <c r="Q190" s="383"/>
      <c r="R190" s="383"/>
      <c r="S190" s="383"/>
      <c r="T190" s="383"/>
      <c r="U190" s="383"/>
      <c r="V190" s="383"/>
      <c r="W190" s="383"/>
      <c r="X190" s="383"/>
      <c r="Y190" s="383"/>
      <c r="Z190" s="383"/>
      <c r="AA190" s="383"/>
      <c r="AB190" s="383"/>
    </row>
    <row r="191" ht="16.5" customHeight="1">
      <c r="A191" s="465"/>
      <c r="B191" s="465"/>
      <c r="C191" s="383"/>
      <c r="D191" s="383"/>
      <c r="E191" s="383"/>
      <c r="F191" s="383"/>
      <c r="G191" s="383"/>
      <c r="H191" s="383"/>
      <c r="I191" s="383"/>
      <c r="J191" s="383"/>
      <c r="K191" s="383"/>
      <c r="L191" s="383"/>
      <c r="M191" s="383"/>
      <c r="N191" s="383"/>
      <c r="O191" s="383"/>
      <c r="P191" s="383"/>
      <c r="Q191" s="383"/>
      <c r="R191" s="383"/>
      <c r="S191" s="383"/>
      <c r="T191" s="383"/>
      <c r="U191" s="383"/>
      <c r="V191" s="383"/>
      <c r="W191" s="383"/>
      <c r="X191" s="383"/>
      <c r="Y191" s="383"/>
      <c r="Z191" s="383"/>
      <c r="AA191" s="383"/>
      <c r="AB191" s="383"/>
    </row>
    <row r="192" ht="16.5" customHeight="1">
      <c r="A192" s="465"/>
      <c r="B192" s="465"/>
      <c r="C192" s="383"/>
      <c r="D192" s="383"/>
      <c r="E192" s="383"/>
      <c r="F192" s="383"/>
      <c r="G192" s="383"/>
      <c r="H192" s="383"/>
      <c r="I192" s="383"/>
      <c r="J192" s="383"/>
      <c r="K192" s="383"/>
      <c r="L192" s="383"/>
      <c r="M192" s="383"/>
      <c r="N192" s="383"/>
      <c r="O192" s="383"/>
      <c r="P192" s="383"/>
      <c r="Q192" s="383"/>
      <c r="R192" s="383"/>
      <c r="S192" s="383"/>
      <c r="T192" s="383"/>
      <c r="U192" s="383"/>
      <c r="V192" s="383"/>
      <c r="W192" s="383"/>
      <c r="X192" s="383"/>
      <c r="Y192" s="383"/>
      <c r="Z192" s="383"/>
      <c r="AA192" s="383"/>
      <c r="AB192" s="383"/>
    </row>
    <row r="193" ht="16.5" customHeight="1">
      <c r="A193" s="465"/>
      <c r="B193" s="465"/>
      <c r="C193" s="383"/>
      <c r="D193" s="383"/>
      <c r="E193" s="383"/>
      <c r="F193" s="383"/>
      <c r="G193" s="383"/>
      <c r="H193" s="383"/>
      <c r="I193" s="383"/>
      <c r="J193" s="383"/>
      <c r="K193" s="383"/>
      <c r="L193" s="383"/>
      <c r="M193" s="383"/>
      <c r="N193" s="383"/>
      <c r="O193" s="383"/>
      <c r="P193" s="383"/>
      <c r="Q193" s="383"/>
      <c r="R193" s="383"/>
      <c r="S193" s="383"/>
      <c r="T193" s="383"/>
      <c r="U193" s="383"/>
      <c r="V193" s="383"/>
      <c r="W193" s="383"/>
      <c r="X193" s="383"/>
      <c r="Y193" s="383"/>
      <c r="Z193" s="383"/>
      <c r="AA193" s="383"/>
      <c r="AB193" s="383"/>
    </row>
    <row r="194" ht="16.5" customHeight="1">
      <c r="A194" s="465"/>
      <c r="B194" s="465"/>
      <c r="C194" s="383"/>
      <c r="D194" s="383"/>
      <c r="E194" s="383"/>
      <c r="F194" s="383"/>
      <c r="G194" s="383"/>
      <c r="H194" s="383"/>
      <c r="I194" s="383"/>
      <c r="J194" s="383"/>
      <c r="K194" s="383"/>
      <c r="L194" s="383"/>
      <c r="M194" s="383"/>
      <c r="N194" s="383"/>
      <c r="O194" s="383"/>
      <c r="P194" s="383"/>
      <c r="Q194" s="383"/>
      <c r="R194" s="383"/>
      <c r="S194" s="383"/>
      <c r="T194" s="383"/>
      <c r="U194" s="383"/>
      <c r="V194" s="383"/>
      <c r="W194" s="383"/>
      <c r="X194" s="383"/>
      <c r="Y194" s="383"/>
      <c r="Z194" s="383"/>
      <c r="AA194" s="383"/>
      <c r="AB194" s="383"/>
    </row>
    <row r="195" ht="16.5" customHeight="1">
      <c r="A195" s="465"/>
      <c r="B195" s="465"/>
      <c r="C195" s="383"/>
      <c r="D195" s="383"/>
      <c r="E195" s="383"/>
      <c r="F195" s="383"/>
      <c r="G195" s="383"/>
      <c r="H195" s="383"/>
      <c r="I195" s="383"/>
      <c r="J195" s="383"/>
      <c r="K195" s="383"/>
      <c r="L195" s="383"/>
      <c r="M195" s="383"/>
      <c r="N195" s="383"/>
      <c r="O195" s="383"/>
      <c r="P195" s="383"/>
      <c r="Q195" s="383"/>
      <c r="R195" s="383"/>
      <c r="S195" s="383"/>
      <c r="T195" s="383"/>
      <c r="U195" s="383"/>
      <c r="V195" s="383"/>
      <c r="W195" s="383"/>
      <c r="X195" s="383"/>
      <c r="Y195" s="383"/>
      <c r="Z195" s="383"/>
      <c r="AA195" s="383"/>
      <c r="AB195" s="383"/>
    </row>
    <row r="196" ht="16.5" customHeight="1">
      <c r="A196" s="465"/>
      <c r="B196" s="465"/>
      <c r="C196" s="383"/>
      <c r="D196" s="383"/>
      <c r="E196" s="383"/>
      <c r="F196" s="383"/>
      <c r="G196" s="383"/>
      <c r="H196" s="383"/>
      <c r="I196" s="383"/>
      <c r="J196" s="383"/>
      <c r="K196" s="383"/>
      <c r="L196" s="383"/>
      <c r="M196" s="383"/>
      <c r="N196" s="383"/>
      <c r="O196" s="383"/>
      <c r="P196" s="383"/>
      <c r="Q196" s="383"/>
      <c r="R196" s="383"/>
      <c r="S196" s="383"/>
      <c r="T196" s="383"/>
      <c r="U196" s="383"/>
      <c r="V196" s="383"/>
      <c r="W196" s="383"/>
      <c r="X196" s="383"/>
      <c r="Y196" s="383"/>
      <c r="Z196" s="383"/>
      <c r="AA196" s="383"/>
      <c r="AB196" s="383"/>
    </row>
    <row r="197" ht="16.5" customHeight="1">
      <c r="A197" s="465"/>
      <c r="B197" s="465"/>
      <c r="C197" s="383"/>
      <c r="D197" s="383"/>
      <c r="E197" s="383"/>
      <c r="F197" s="383"/>
      <c r="G197" s="383"/>
      <c r="H197" s="383"/>
      <c r="I197" s="383"/>
      <c r="J197" s="383"/>
      <c r="K197" s="383"/>
      <c r="L197" s="383"/>
      <c r="M197" s="383"/>
      <c r="N197" s="383"/>
      <c r="O197" s="383"/>
      <c r="P197" s="383"/>
      <c r="Q197" s="383"/>
      <c r="R197" s="383"/>
      <c r="S197" s="383"/>
      <c r="T197" s="383"/>
      <c r="U197" s="383"/>
      <c r="V197" s="383"/>
      <c r="W197" s="383"/>
      <c r="X197" s="383"/>
      <c r="Y197" s="383"/>
      <c r="Z197" s="383"/>
      <c r="AA197" s="383"/>
      <c r="AB197" s="383"/>
    </row>
    <row r="198" ht="16.5" customHeight="1">
      <c r="A198" s="465"/>
      <c r="B198" s="465"/>
      <c r="C198" s="383"/>
      <c r="D198" s="383"/>
      <c r="E198" s="383"/>
      <c r="F198" s="383"/>
      <c r="G198" s="383"/>
      <c r="H198" s="383"/>
      <c r="I198" s="383"/>
      <c r="J198" s="383"/>
      <c r="K198" s="383"/>
      <c r="L198" s="383"/>
      <c r="M198" s="383"/>
      <c r="N198" s="383"/>
      <c r="O198" s="383"/>
      <c r="P198" s="383"/>
      <c r="Q198" s="383"/>
      <c r="R198" s="383"/>
      <c r="S198" s="383"/>
      <c r="T198" s="383"/>
      <c r="U198" s="383"/>
      <c r="V198" s="383"/>
      <c r="W198" s="383"/>
      <c r="X198" s="383"/>
      <c r="Y198" s="383"/>
      <c r="Z198" s="383"/>
      <c r="AA198" s="383"/>
      <c r="AB198" s="383"/>
    </row>
    <row r="199" ht="16.5" customHeight="1">
      <c r="A199" s="465"/>
      <c r="B199" s="465"/>
      <c r="C199" s="383"/>
      <c r="D199" s="383"/>
      <c r="E199" s="383"/>
      <c r="F199" s="383"/>
      <c r="G199" s="383"/>
      <c r="H199" s="383"/>
      <c r="I199" s="383"/>
      <c r="J199" s="383"/>
      <c r="K199" s="383"/>
      <c r="L199" s="383"/>
      <c r="M199" s="383"/>
      <c r="N199" s="383"/>
      <c r="O199" s="383"/>
      <c r="P199" s="383"/>
      <c r="Q199" s="383"/>
      <c r="R199" s="383"/>
      <c r="S199" s="383"/>
      <c r="T199" s="383"/>
      <c r="U199" s="383"/>
      <c r="V199" s="383"/>
      <c r="W199" s="383"/>
      <c r="X199" s="383"/>
      <c r="Y199" s="383"/>
      <c r="Z199" s="383"/>
      <c r="AA199" s="383"/>
      <c r="AB199" s="383"/>
    </row>
    <row r="200" ht="16.5" customHeight="1">
      <c r="A200" s="465"/>
      <c r="B200" s="465"/>
      <c r="C200" s="383"/>
      <c r="D200" s="383"/>
      <c r="E200" s="383"/>
      <c r="F200" s="383"/>
      <c r="G200" s="383"/>
      <c r="H200" s="383"/>
      <c r="I200" s="383"/>
      <c r="J200" s="383"/>
      <c r="K200" s="383"/>
      <c r="L200" s="383"/>
      <c r="M200" s="383"/>
      <c r="N200" s="383"/>
      <c r="O200" s="383"/>
      <c r="P200" s="383"/>
      <c r="Q200" s="383"/>
      <c r="R200" s="383"/>
      <c r="S200" s="383"/>
      <c r="T200" s="383"/>
      <c r="U200" s="383"/>
      <c r="V200" s="383"/>
      <c r="W200" s="383"/>
      <c r="X200" s="383"/>
      <c r="Y200" s="383"/>
      <c r="Z200" s="383"/>
      <c r="AA200" s="383"/>
      <c r="AB200" s="383"/>
    </row>
    <row r="201" ht="16.5" customHeight="1">
      <c r="A201" s="465"/>
      <c r="B201" s="465"/>
      <c r="C201" s="383"/>
      <c r="D201" s="383"/>
      <c r="E201" s="383"/>
      <c r="F201" s="383"/>
      <c r="G201" s="383"/>
      <c r="H201" s="383"/>
      <c r="I201" s="383"/>
      <c r="J201" s="383"/>
      <c r="K201" s="383"/>
      <c r="L201" s="383"/>
      <c r="M201" s="383"/>
      <c r="N201" s="383"/>
      <c r="O201" s="383"/>
      <c r="P201" s="383"/>
      <c r="Q201" s="383"/>
      <c r="R201" s="383"/>
      <c r="S201" s="383"/>
      <c r="T201" s="383"/>
      <c r="U201" s="383"/>
      <c r="V201" s="383"/>
      <c r="W201" s="383"/>
      <c r="X201" s="383"/>
      <c r="Y201" s="383"/>
      <c r="Z201" s="383"/>
      <c r="AA201" s="383"/>
      <c r="AB201" s="383"/>
    </row>
    <row r="202" ht="16.5" customHeight="1">
      <c r="A202" s="465"/>
      <c r="B202" s="465"/>
      <c r="C202" s="383"/>
      <c r="D202" s="383"/>
      <c r="E202" s="383"/>
      <c r="F202" s="383"/>
      <c r="G202" s="383"/>
      <c r="H202" s="383"/>
      <c r="I202" s="383"/>
      <c r="J202" s="383"/>
      <c r="K202" s="383"/>
      <c r="L202" s="383"/>
      <c r="M202" s="383"/>
      <c r="N202" s="383"/>
      <c r="O202" s="383"/>
      <c r="P202" s="383"/>
      <c r="Q202" s="383"/>
      <c r="R202" s="383"/>
      <c r="S202" s="383"/>
      <c r="T202" s="383"/>
      <c r="U202" s="383"/>
      <c r="V202" s="383"/>
      <c r="W202" s="383"/>
      <c r="X202" s="383"/>
      <c r="Y202" s="383"/>
      <c r="Z202" s="383"/>
      <c r="AA202" s="383"/>
      <c r="AB202" s="383"/>
    </row>
    <row r="203" ht="16.5" customHeight="1">
      <c r="A203" s="465"/>
      <c r="B203" s="465"/>
      <c r="C203" s="383"/>
      <c r="D203" s="383"/>
      <c r="E203" s="383"/>
      <c r="F203" s="383"/>
      <c r="G203" s="383"/>
      <c r="H203" s="383"/>
      <c r="I203" s="383"/>
      <c r="J203" s="383"/>
      <c r="K203" s="383"/>
      <c r="L203" s="383"/>
      <c r="M203" s="383"/>
      <c r="N203" s="383"/>
      <c r="O203" s="383"/>
      <c r="P203" s="383"/>
      <c r="Q203" s="383"/>
      <c r="R203" s="383"/>
      <c r="S203" s="383"/>
      <c r="T203" s="383"/>
      <c r="U203" s="383"/>
      <c r="V203" s="383"/>
      <c r="W203" s="383"/>
      <c r="X203" s="383"/>
      <c r="Y203" s="383"/>
      <c r="Z203" s="383"/>
      <c r="AA203" s="383"/>
      <c r="AB203" s="383"/>
    </row>
    <row r="204" ht="16.5" customHeight="1">
      <c r="A204" s="465"/>
      <c r="B204" s="465"/>
      <c r="C204" s="383"/>
      <c r="D204" s="383"/>
      <c r="E204" s="383"/>
      <c r="F204" s="383"/>
      <c r="G204" s="383"/>
      <c r="H204" s="383"/>
      <c r="I204" s="383"/>
      <c r="J204" s="383"/>
      <c r="K204" s="383"/>
      <c r="L204" s="383"/>
      <c r="M204" s="383"/>
      <c r="N204" s="383"/>
      <c r="O204" s="383"/>
      <c r="P204" s="383"/>
      <c r="Q204" s="383"/>
      <c r="R204" s="383"/>
      <c r="S204" s="383"/>
      <c r="T204" s="383"/>
      <c r="U204" s="383"/>
      <c r="V204" s="383"/>
      <c r="W204" s="383"/>
      <c r="X204" s="383"/>
      <c r="Y204" s="383"/>
      <c r="Z204" s="383"/>
      <c r="AA204" s="383"/>
      <c r="AB204" s="383"/>
    </row>
    <row r="205" ht="16.5" customHeight="1">
      <c r="A205" s="465"/>
      <c r="B205" s="465"/>
      <c r="C205" s="383"/>
      <c r="D205" s="383"/>
      <c r="E205" s="383"/>
      <c r="F205" s="383"/>
      <c r="G205" s="383"/>
      <c r="H205" s="383"/>
      <c r="I205" s="383"/>
      <c r="J205" s="383"/>
      <c r="K205" s="383"/>
      <c r="L205" s="383"/>
      <c r="M205" s="383"/>
      <c r="N205" s="383"/>
      <c r="O205" s="383"/>
      <c r="P205" s="383"/>
      <c r="Q205" s="383"/>
      <c r="R205" s="383"/>
      <c r="S205" s="383"/>
      <c r="T205" s="383"/>
      <c r="U205" s="383"/>
      <c r="V205" s="383"/>
      <c r="W205" s="383"/>
      <c r="X205" s="383"/>
      <c r="Y205" s="383"/>
      <c r="Z205" s="383"/>
      <c r="AA205" s="383"/>
      <c r="AB205" s="383"/>
    </row>
    <row r="206" ht="16.5" customHeight="1">
      <c r="A206" s="465"/>
      <c r="B206" s="465"/>
      <c r="C206" s="383"/>
      <c r="D206" s="383"/>
      <c r="E206" s="383"/>
      <c r="F206" s="383"/>
      <c r="G206" s="383"/>
      <c r="H206" s="383"/>
      <c r="I206" s="383"/>
      <c r="J206" s="383"/>
      <c r="K206" s="383"/>
      <c r="L206" s="383"/>
      <c r="M206" s="383"/>
      <c r="N206" s="383"/>
      <c r="O206" s="383"/>
      <c r="P206" s="383"/>
      <c r="Q206" s="383"/>
      <c r="R206" s="383"/>
      <c r="S206" s="383"/>
      <c r="T206" s="383"/>
      <c r="U206" s="383"/>
      <c r="V206" s="383"/>
      <c r="W206" s="383"/>
      <c r="X206" s="383"/>
      <c r="Y206" s="383"/>
      <c r="Z206" s="383"/>
      <c r="AA206" s="383"/>
      <c r="AB206" s="383"/>
    </row>
    <row r="207" ht="16.5" customHeight="1">
      <c r="A207" s="465"/>
      <c r="B207" s="465"/>
      <c r="C207" s="383"/>
      <c r="D207" s="383"/>
      <c r="E207" s="383"/>
      <c r="F207" s="383"/>
      <c r="G207" s="383"/>
      <c r="H207" s="383"/>
      <c r="I207" s="383"/>
      <c r="J207" s="383"/>
      <c r="K207" s="383"/>
      <c r="L207" s="383"/>
      <c r="M207" s="383"/>
      <c r="N207" s="383"/>
      <c r="O207" s="383"/>
      <c r="P207" s="383"/>
      <c r="Q207" s="383"/>
      <c r="R207" s="383"/>
      <c r="S207" s="383"/>
      <c r="T207" s="383"/>
      <c r="U207" s="383"/>
      <c r="V207" s="383"/>
      <c r="W207" s="383"/>
      <c r="X207" s="383"/>
      <c r="Y207" s="383"/>
      <c r="Z207" s="383"/>
      <c r="AA207" s="383"/>
      <c r="AB207" s="383"/>
    </row>
    <row r="208" ht="16.5" customHeight="1">
      <c r="A208" s="465"/>
      <c r="B208" s="465"/>
      <c r="C208" s="383"/>
      <c r="D208" s="383"/>
      <c r="E208" s="383"/>
      <c r="F208" s="383"/>
      <c r="G208" s="383"/>
      <c r="H208" s="383"/>
      <c r="I208" s="383"/>
      <c r="J208" s="383"/>
      <c r="K208" s="383"/>
      <c r="L208" s="383"/>
      <c r="M208" s="383"/>
      <c r="N208" s="383"/>
      <c r="O208" s="383"/>
      <c r="P208" s="383"/>
      <c r="Q208" s="383"/>
      <c r="R208" s="383"/>
      <c r="S208" s="383"/>
      <c r="T208" s="383"/>
      <c r="U208" s="383"/>
      <c r="V208" s="383"/>
      <c r="W208" s="383"/>
      <c r="X208" s="383"/>
      <c r="Y208" s="383"/>
      <c r="Z208" s="383"/>
      <c r="AA208" s="383"/>
      <c r="AB208" s="383"/>
    </row>
    <row r="209" ht="16.5" customHeight="1">
      <c r="A209" s="465"/>
      <c r="B209" s="465"/>
      <c r="C209" s="383"/>
      <c r="D209" s="383"/>
      <c r="E209" s="383"/>
      <c r="F209" s="383"/>
      <c r="G209" s="383"/>
      <c r="H209" s="383"/>
      <c r="I209" s="383"/>
      <c r="J209" s="383"/>
      <c r="K209" s="383"/>
      <c r="L209" s="383"/>
      <c r="M209" s="383"/>
      <c r="N209" s="383"/>
      <c r="O209" s="383"/>
      <c r="P209" s="383"/>
      <c r="Q209" s="383"/>
      <c r="R209" s="383"/>
      <c r="S209" s="383"/>
      <c r="T209" s="383"/>
      <c r="U209" s="383"/>
      <c r="V209" s="383"/>
      <c r="W209" s="383"/>
      <c r="X209" s="383"/>
      <c r="Y209" s="383"/>
      <c r="Z209" s="383"/>
      <c r="AA209" s="383"/>
      <c r="AB209" s="383"/>
    </row>
    <row r="210" ht="16.5" customHeight="1">
      <c r="A210" s="465"/>
      <c r="B210" s="465"/>
      <c r="C210" s="383"/>
      <c r="D210" s="383"/>
      <c r="E210" s="383"/>
      <c r="F210" s="383"/>
      <c r="G210" s="383"/>
      <c r="H210" s="383"/>
      <c r="I210" s="383"/>
      <c r="J210" s="383"/>
      <c r="K210" s="383"/>
      <c r="L210" s="383"/>
      <c r="M210" s="383"/>
      <c r="N210" s="383"/>
      <c r="O210" s="383"/>
      <c r="P210" s="383"/>
      <c r="Q210" s="383"/>
      <c r="R210" s="383"/>
      <c r="S210" s="383"/>
      <c r="T210" s="383"/>
      <c r="U210" s="383"/>
      <c r="V210" s="383"/>
      <c r="W210" s="383"/>
      <c r="X210" s="383"/>
      <c r="Y210" s="383"/>
      <c r="Z210" s="383"/>
      <c r="AA210" s="383"/>
      <c r="AB210" s="383"/>
    </row>
    <row r="211" ht="16.5" customHeight="1">
      <c r="A211" s="465"/>
      <c r="B211" s="465"/>
      <c r="C211" s="383"/>
      <c r="D211" s="383"/>
      <c r="E211" s="383"/>
      <c r="F211" s="383"/>
      <c r="G211" s="383"/>
      <c r="H211" s="383"/>
      <c r="I211" s="383"/>
      <c r="J211" s="383"/>
      <c r="K211" s="383"/>
      <c r="L211" s="383"/>
      <c r="M211" s="383"/>
      <c r="N211" s="383"/>
      <c r="O211" s="383"/>
      <c r="P211" s="383"/>
      <c r="Q211" s="383"/>
      <c r="R211" s="383"/>
      <c r="S211" s="383"/>
      <c r="T211" s="383"/>
      <c r="U211" s="383"/>
      <c r="V211" s="383"/>
      <c r="W211" s="383"/>
      <c r="X211" s="383"/>
      <c r="Y211" s="383"/>
      <c r="Z211" s="383"/>
      <c r="AA211" s="383"/>
      <c r="AB211" s="383"/>
    </row>
    <row r="212" ht="16.5" customHeight="1">
      <c r="A212" s="465"/>
      <c r="B212" s="465"/>
      <c r="C212" s="383"/>
      <c r="D212" s="383"/>
      <c r="E212" s="383"/>
      <c r="F212" s="383"/>
      <c r="G212" s="383"/>
      <c r="H212" s="383"/>
      <c r="I212" s="383"/>
      <c r="J212" s="383"/>
      <c r="K212" s="383"/>
      <c r="L212" s="383"/>
      <c r="M212" s="383"/>
      <c r="N212" s="383"/>
      <c r="O212" s="383"/>
      <c r="P212" s="383"/>
      <c r="Q212" s="383"/>
      <c r="R212" s="383"/>
      <c r="S212" s="383"/>
      <c r="T212" s="383"/>
      <c r="U212" s="383"/>
      <c r="V212" s="383"/>
      <c r="W212" s="383"/>
      <c r="X212" s="383"/>
      <c r="Y212" s="383"/>
      <c r="Z212" s="383"/>
      <c r="AA212" s="383"/>
      <c r="AB212" s="383"/>
    </row>
    <row r="213" ht="16.5" customHeight="1">
      <c r="A213" s="465"/>
      <c r="B213" s="465"/>
      <c r="C213" s="383"/>
      <c r="D213" s="383"/>
      <c r="E213" s="383"/>
      <c r="F213" s="383"/>
      <c r="G213" s="383"/>
      <c r="H213" s="383"/>
      <c r="I213" s="383"/>
      <c r="J213" s="383"/>
      <c r="K213" s="383"/>
      <c r="L213" s="383"/>
      <c r="M213" s="383"/>
      <c r="N213" s="383"/>
      <c r="O213" s="383"/>
      <c r="P213" s="383"/>
      <c r="Q213" s="383"/>
      <c r="R213" s="383"/>
      <c r="S213" s="383"/>
      <c r="T213" s="383"/>
      <c r="U213" s="383"/>
      <c r="V213" s="383"/>
      <c r="W213" s="383"/>
      <c r="X213" s="383"/>
      <c r="Y213" s="383"/>
      <c r="Z213" s="383"/>
      <c r="AA213" s="383"/>
      <c r="AB213" s="383"/>
    </row>
    <row r="214" ht="16.5" customHeight="1">
      <c r="A214" s="465"/>
      <c r="B214" s="465"/>
      <c r="C214" s="383"/>
      <c r="D214" s="383"/>
      <c r="E214" s="383"/>
      <c r="F214" s="383"/>
      <c r="G214" s="383"/>
      <c r="H214" s="383"/>
      <c r="I214" s="383"/>
      <c r="J214" s="383"/>
      <c r="K214" s="383"/>
      <c r="L214" s="383"/>
      <c r="M214" s="383"/>
      <c r="N214" s="383"/>
      <c r="O214" s="383"/>
      <c r="P214" s="383"/>
      <c r="Q214" s="383"/>
      <c r="R214" s="383"/>
      <c r="S214" s="383"/>
      <c r="T214" s="383"/>
      <c r="U214" s="383"/>
      <c r="V214" s="383"/>
      <c r="W214" s="383"/>
      <c r="X214" s="383"/>
      <c r="Y214" s="383"/>
      <c r="Z214" s="383"/>
      <c r="AA214" s="383"/>
      <c r="AB214" s="383"/>
    </row>
    <row r="215" ht="16.5" customHeight="1">
      <c r="A215" s="465"/>
      <c r="B215" s="465"/>
      <c r="C215" s="383"/>
      <c r="D215" s="383"/>
      <c r="E215" s="383"/>
      <c r="F215" s="383"/>
      <c r="G215" s="383"/>
      <c r="H215" s="383"/>
      <c r="I215" s="383"/>
      <c r="J215" s="383"/>
      <c r="K215" s="383"/>
      <c r="L215" s="383"/>
      <c r="M215" s="383"/>
      <c r="N215" s="383"/>
      <c r="O215" s="383"/>
      <c r="P215" s="383"/>
      <c r="Q215" s="383"/>
      <c r="R215" s="383"/>
      <c r="S215" s="383"/>
      <c r="T215" s="383"/>
      <c r="U215" s="383"/>
      <c r="V215" s="383"/>
      <c r="W215" s="383"/>
      <c r="X215" s="383"/>
      <c r="Y215" s="383"/>
      <c r="Z215" s="383"/>
      <c r="AA215" s="383"/>
      <c r="AB215" s="383"/>
    </row>
    <row r="216" ht="16.5" customHeight="1">
      <c r="A216" s="465"/>
      <c r="B216" s="465"/>
      <c r="C216" s="383"/>
      <c r="D216" s="383"/>
      <c r="E216" s="383"/>
      <c r="F216" s="383"/>
      <c r="G216" s="383"/>
      <c r="H216" s="383"/>
      <c r="I216" s="383"/>
      <c r="J216" s="383"/>
      <c r="K216" s="383"/>
      <c r="L216" s="383"/>
      <c r="M216" s="383"/>
      <c r="N216" s="383"/>
      <c r="O216" s="383"/>
      <c r="P216" s="383"/>
      <c r="Q216" s="383"/>
      <c r="R216" s="383"/>
      <c r="S216" s="383"/>
      <c r="T216" s="383"/>
      <c r="U216" s="383"/>
      <c r="V216" s="383"/>
      <c r="W216" s="383"/>
      <c r="X216" s="383"/>
      <c r="Y216" s="383"/>
      <c r="Z216" s="383"/>
      <c r="AA216" s="383"/>
      <c r="AB216" s="383"/>
    </row>
    <row r="217" ht="16.5" customHeight="1">
      <c r="A217" s="465"/>
      <c r="B217" s="465"/>
      <c r="C217" s="383"/>
      <c r="D217" s="383"/>
      <c r="E217" s="383"/>
      <c r="F217" s="383"/>
      <c r="G217" s="383"/>
      <c r="H217" s="383"/>
      <c r="I217" s="383"/>
      <c r="J217" s="383"/>
      <c r="K217" s="383"/>
      <c r="L217" s="383"/>
      <c r="M217" s="383"/>
      <c r="N217" s="383"/>
      <c r="O217" s="383"/>
      <c r="P217" s="383"/>
      <c r="Q217" s="383"/>
      <c r="R217" s="383"/>
      <c r="S217" s="383"/>
      <c r="T217" s="383"/>
      <c r="U217" s="383"/>
      <c r="V217" s="383"/>
      <c r="W217" s="383"/>
      <c r="X217" s="383"/>
      <c r="Y217" s="383"/>
      <c r="Z217" s="383"/>
      <c r="AA217" s="383"/>
      <c r="AB217" s="383"/>
    </row>
    <row r="218" ht="16.5" customHeight="1">
      <c r="A218" s="465"/>
      <c r="B218" s="465"/>
      <c r="C218" s="383"/>
      <c r="D218" s="383"/>
      <c r="E218" s="383"/>
      <c r="F218" s="383"/>
      <c r="G218" s="383"/>
      <c r="H218" s="383"/>
      <c r="I218" s="383"/>
      <c r="J218" s="383"/>
      <c r="K218" s="383"/>
      <c r="L218" s="383"/>
      <c r="M218" s="383"/>
      <c r="N218" s="383"/>
      <c r="O218" s="383"/>
      <c r="P218" s="383"/>
      <c r="Q218" s="383"/>
      <c r="R218" s="383"/>
      <c r="S218" s="383"/>
      <c r="T218" s="383"/>
      <c r="U218" s="383"/>
      <c r="V218" s="383"/>
      <c r="W218" s="383"/>
      <c r="X218" s="383"/>
      <c r="Y218" s="383"/>
      <c r="Z218" s="383"/>
      <c r="AA218" s="383"/>
      <c r="AB218" s="383"/>
    </row>
    <row r="219" ht="16.5" customHeight="1">
      <c r="A219" s="465"/>
      <c r="B219" s="465"/>
      <c r="C219" s="383"/>
      <c r="D219" s="383"/>
      <c r="E219" s="383"/>
      <c r="F219" s="383"/>
      <c r="G219" s="383"/>
      <c r="H219" s="383"/>
      <c r="I219" s="383"/>
      <c r="J219" s="383"/>
      <c r="K219" s="383"/>
      <c r="L219" s="383"/>
      <c r="M219" s="383"/>
      <c r="N219" s="383"/>
      <c r="O219" s="383"/>
      <c r="P219" s="383"/>
      <c r="Q219" s="383"/>
      <c r="R219" s="383"/>
      <c r="S219" s="383"/>
      <c r="T219" s="383"/>
      <c r="U219" s="383"/>
      <c r="V219" s="383"/>
      <c r="W219" s="383"/>
      <c r="X219" s="383"/>
      <c r="Y219" s="383"/>
      <c r="Z219" s="383"/>
      <c r="AA219" s="383"/>
      <c r="AB219" s="383"/>
    </row>
    <row r="220" ht="16.5" customHeight="1">
      <c r="A220" s="465"/>
      <c r="B220" s="465"/>
      <c r="C220" s="383"/>
      <c r="D220" s="383"/>
      <c r="E220" s="383"/>
      <c r="F220" s="383"/>
      <c r="G220" s="383"/>
      <c r="H220" s="383"/>
      <c r="I220" s="383"/>
      <c r="J220" s="383"/>
      <c r="K220" s="383"/>
      <c r="L220" s="383"/>
      <c r="M220" s="383"/>
      <c r="N220" s="383"/>
      <c r="O220" s="383"/>
      <c r="P220" s="383"/>
      <c r="Q220" s="383"/>
      <c r="R220" s="383"/>
      <c r="S220" s="383"/>
      <c r="T220" s="383"/>
      <c r="U220" s="383"/>
      <c r="V220" s="383"/>
      <c r="W220" s="383"/>
      <c r="X220" s="383"/>
      <c r="Y220" s="383"/>
      <c r="Z220" s="383"/>
      <c r="AA220" s="383"/>
      <c r="AB220" s="383"/>
    </row>
    <row r="221" ht="16.5" customHeight="1">
      <c r="A221" s="465"/>
      <c r="B221" s="465"/>
      <c r="C221" s="383"/>
      <c r="D221" s="383"/>
      <c r="E221" s="383"/>
      <c r="F221" s="383"/>
      <c r="G221" s="383"/>
      <c r="H221" s="383"/>
      <c r="I221" s="383"/>
      <c r="J221" s="383"/>
      <c r="K221" s="383"/>
      <c r="L221" s="383"/>
      <c r="M221" s="383"/>
      <c r="N221" s="383"/>
      <c r="O221" s="383"/>
      <c r="P221" s="383"/>
      <c r="Q221" s="383"/>
      <c r="R221" s="383"/>
      <c r="S221" s="383"/>
      <c r="T221" s="383"/>
      <c r="U221" s="383"/>
      <c r="V221" s="383"/>
      <c r="W221" s="383"/>
      <c r="X221" s="383"/>
      <c r="Y221" s="383"/>
      <c r="Z221" s="383"/>
      <c r="AA221" s="383"/>
      <c r="AB221" s="383"/>
    </row>
    <row r="222" ht="16.5" customHeight="1">
      <c r="A222" s="465"/>
      <c r="B222" s="465"/>
      <c r="C222" s="383"/>
      <c r="D222" s="383"/>
      <c r="E222" s="383"/>
      <c r="F222" s="383"/>
      <c r="G222" s="383"/>
      <c r="H222" s="383"/>
      <c r="I222" s="383"/>
      <c r="J222" s="383"/>
      <c r="K222" s="383"/>
      <c r="L222" s="383"/>
      <c r="M222" s="383"/>
      <c r="N222" s="383"/>
      <c r="O222" s="383"/>
      <c r="P222" s="383"/>
      <c r="Q222" s="383"/>
      <c r="R222" s="383"/>
      <c r="S222" s="383"/>
      <c r="T222" s="383"/>
      <c r="U222" s="383"/>
      <c r="V222" s="383"/>
      <c r="W222" s="383"/>
      <c r="X222" s="383"/>
      <c r="Y222" s="383"/>
      <c r="Z222" s="383"/>
      <c r="AA222" s="383"/>
      <c r="AB222" s="383"/>
    </row>
    <row r="223" ht="16.5" customHeight="1">
      <c r="A223" s="465"/>
      <c r="B223" s="465"/>
      <c r="C223" s="383"/>
      <c r="D223" s="383"/>
      <c r="E223" s="383"/>
      <c r="F223" s="383"/>
      <c r="G223" s="383"/>
      <c r="H223" s="383"/>
      <c r="I223" s="383"/>
      <c r="J223" s="383"/>
      <c r="K223" s="383"/>
      <c r="L223" s="383"/>
      <c r="M223" s="383"/>
      <c r="N223" s="383"/>
      <c r="O223" s="383"/>
      <c r="P223" s="383"/>
      <c r="Q223" s="383"/>
      <c r="R223" s="383"/>
      <c r="S223" s="383"/>
      <c r="T223" s="383"/>
      <c r="U223" s="383"/>
      <c r="V223" s="383"/>
      <c r="W223" s="383"/>
      <c r="X223" s="383"/>
      <c r="Y223" s="383"/>
      <c r="Z223" s="383"/>
      <c r="AA223" s="383"/>
      <c r="AB223" s="383"/>
    </row>
    <row r="224" ht="16.5" customHeight="1">
      <c r="A224" s="465"/>
      <c r="B224" s="465"/>
      <c r="C224" s="383"/>
      <c r="D224" s="383"/>
      <c r="E224" s="383"/>
      <c r="F224" s="383"/>
      <c r="G224" s="383"/>
      <c r="H224" s="383"/>
      <c r="I224" s="383"/>
      <c r="J224" s="383"/>
      <c r="K224" s="383"/>
      <c r="L224" s="383"/>
      <c r="M224" s="383"/>
      <c r="N224" s="383"/>
      <c r="O224" s="383"/>
      <c r="P224" s="383"/>
      <c r="Q224" s="383"/>
      <c r="R224" s="383"/>
      <c r="S224" s="383"/>
      <c r="T224" s="383"/>
      <c r="U224" s="383"/>
      <c r="V224" s="383"/>
      <c r="W224" s="383"/>
      <c r="X224" s="383"/>
      <c r="Y224" s="383"/>
      <c r="Z224" s="383"/>
      <c r="AA224" s="383"/>
      <c r="AB224" s="383"/>
    </row>
    <row r="225" ht="16.5" customHeight="1">
      <c r="A225" s="465"/>
      <c r="B225" s="465"/>
      <c r="C225" s="383"/>
      <c r="D225" s="383"/>
      <c r="E225" s="383"/>
      <c r="F225" s="383"/>
      <c r="G225" s="383"/>
      <c r="H225" s="383"/>
      <c r="I225" s="383"/>
      <c r="J225" s="383"/>
      <c r="K225" s="383"/>
      <c r="L225" s="383"/>
      <c r="M225" s="383"/>
      <c r="N225" s="383"/>
      <c r="O225" s="383"/>
      <c r="P225" s="383"/>
      <c r="Q225" s="383"/>
      <c r="R225" s="383"/>
      <c r="S225" s="383"/>
      <c r="T225" s="383"/>
      <c r="U225" s="383"/>
      <c r="V225" s="383"/>
      <c r="W225" s="383"/>
      <c r="X225" s="383"/>
      <c r="Y225" s="383"/>
      <c r="Z225" s="383"/>
      <c r="AA225" s="383"/>
      <c r="AB225" s="383"/>
    </row>
    <row r="226" ht="16.5" customHeight="1">
      <c r="A226" s="465"/>
      <c r="B226" s="465"/>
      <c r="C226" s="383"/>
      <c r="D226" s="383"/>
      <c r="E226" s="383"/>
      <c r="F226" s="383"/>
      <c r="G226" s="383"/>
      <c r="H226" s="383"/>
      <c r="I226" s="383"/>
      <c r="J226" s="383"/>
      <c r="K226" s="383"/>
      <c r="L226" s="383"/>
      <c r="M226" s="383"/>
      <c r="N226" s="383"/>
      <c r="O226" s="383"/>
      <c r="P226" s="383"/>
      <c r="Q226" s="383"/>
      <c r="R226" s="383"/>
      <c r="S226" s="383"/>
      <c r="T226" s="383"/>
      <c r="U226" s="383"/>
      <c r="V226" s="383"/>
      <c r="W226" s="383"/>
      <c r="X226" s="383"/>
      <c r="Y226" s="383"/>
      <c r="Z226" s="383"/>
      <c r="AA226" s="383"/>
      <c r="AB226" s="383"/>
    </row>
    <row r="227" ht="16.5" customHeight="1">
      <c r="A227" s="465"/>
      <c r="B227" s="465"/>
      <c r="C227" s="383"/>
      <c r="D227" s="383"/>
      <c r="E227" s="383"/>
      <c r="F227" s="383"/>
      <c r="G227" s="383"/>
      <c r="H227" s="383"/>
      <c r="I227" s="383"/>
      <c r="J227" s="383"/>
      <c r="K227" s="383"/>
      <c r="L227" s="383"/>
      <c r="M227" s="383"/>
      <c r="N227" s="383"/>
      <c r="O227" s="383"/>
      <c r="P227" s="383"/>
      <c r="Q227" s="383"/>
      <c r="R227" s="383"/>
      <c r="S227" s="383"/>
      <c r="T227" s="383"/>
      <c r="U227" s="383"/>
      <c r="V227" s="383"/>
      <c r="W227" s="383"/>
      <c r="X227" s="383"/>
      <c r="Y227" s="383"/>
      <c r="Z227" s="383"/>
      <c r="AA227" s="383"/>
      <c r="AB227" s="383"/>
    </row>
    <row r="228" ht="16.5" customHeight="1">
      <c r="A228" s="465"/>
      <c r="B228" s="465"/>
      <c r="C228" s="383"/>
      <c r="D228" s="383"/>
      <c r="E228" s="383"/>
      <c r="F228" s="383"/>
      <c r="G228" s="383"/>
      <c r="H228" s="383"/>
      <c r="I228" s="383"/>
      <c r="J228" s="383"/>
      <c r="K228" s="383"/>
      <c r="L228" s="383"/>
      <c r="M228" s="383"/>
      <c r="N228" s="383"/>
      <c r="O228" s="383"/>
      <c r="P228" s="383"/>
      <c r="Q228" s="383"/>
      <c r="R228" s="383"/>
      <c r="S228" s="383"/>
      <c r="T228" s="383"/>
      <c r="U228" s="383"/>
      <c r="V228" s="383"/>
      <c r="W228" s="383"/>
      <c r="X228" s="383"/>
      <c r="Y228" s="383"/>
      <c r="Z228" s="383"/>
      <c r="AA228" s="383"/>
      <c r="AB228" s="383"/>
    </row>
    <row r="229" ht="16.5" customHeight="1">
      <c r="A229" s="465"/>
      <c r="B229" s="465"/>
      <c r="C229" s="383"/>
      <c r="D229" s="383"/>
      <c r="E229" s="383"/>
      <c r="F229" s="383"/>
      <c r="G229" s="383"/>
      <c r="H229" s="383"/>
      <c r="I229" s="383"/>
      <c r="J229" s="383"/>
      <c r="K229" s="383"/>
      <c r="L229" s="383"/>
      <c r="M229" s="383"/>
      <c r="N229" s="383"/>
      <c r="O229" s="383"/>
      <c r="P229" s="383"/>
      <c r="Q229" s="383"/>
      <c r="R229" s="383"/>
      <c r="S229" s="383"/>
      <c r="T229" s="383"/>
      <c r="U229" s="383"/>
      <c r="V229" s="383"/>
      <c r="W229" s="383"/>
      <c r="X229" s="383"/>
      <c r="Y229" s="383"/>
      <c r="Z229" s="383"/>
      <c r="AA229" s="383"/>
      <c r="AB229" s="383"/>
    </row>
    <row r="230" ht="16.5" customHeight="1">
      <c r="A230" s="465"/>
      <c r="B230" s="465"/>
      <c r="C230" s="383"/>
      <c r="D230" s="383"/>
      <c r="E230" s="383"/>
      <c r="F230" s="383"/>
      <c r="G230" s="383"/>
      <c r="H230" s="383"/>
      <c r="I230" s="383"/>
      <c r="J230" s="383"/>
      <c r="K230" s="383"/>
      <c r="L230" s="383"/>
      <c r="M230" s="383"/>
      <c r="N230" s="383"/>
      <c r="O230" s="383"/>
      <c r="P230" s="383"/>
      <c r="Q230" s="383"/>
      <c r="R230" s="383"/>
      <c r="S230" s="383"/>
      <c r="T230" s="383"/>
      <c r="U230" s="383"/>
      <c r="V230" s="383"/>
      <c r="W230" s="383"/>
      <c r="X230" s="383"/>
      <c r="Y230" s="383"/>
      <c r="Z230" s="383"/>
      <c r="AA230" s="383"/>
      <c r="AB230" s="383"/>
    </row>
    <row r="231" ht="16.5" customHeight="1">
      <c r="A231" s="465"/>
      <c r="B231" s="465"/>
      <c r="C231" s="383"/>
      <c r="D231" s="383"/>
      <c r="E231" s="383"/>
      <c r="F231" s="383"/>
      <c r="G231" s="383"/>
      <c r="H231" s="383"/>
      <c r="I231" s="383"/>
      <c r="J231" s="383"/>
      <c r="K231" s="383"/>
      <c r="L231" s="383"/>
      <c r="M231" s="383"/>
      <c r="N231" s="383"/>
      <c r="O231" s="383"/>
      <c r="P231" s="383"/>
      <c r="Q231" s="383"/>
      <c r="R231" s="383"/>
      <c r="S231" s="383"/>
      <c r="T231" s="383"/>
      <c r="U231" s="383"/>
      <c r="V231" s="383"/>
      <c r="W231" s="383"/>
      <c r="X231" s="383"/>
      <c r="Y231" s="383"/>
      <c r="Z231" s="383"/>
      <c r="AA231" s="383"/>
      <c r="AB231" s="383"/>
    </row>
    <row r="232" ht="16.5" customHeight="1">
      <c r="A232" s="465"/>
      <c r="B232" s="465"/>
      <c r="C232" s="383"/>
      <c r="D232" s="383"/>
      <c r="E232" s="383"/>
      <c r="F232" s="383"/>
      <c r="G232" s="383"/>
      <c r="H232" s="383"/>
      <c r="I232" s="383"/>
      <c r="J232" s="383"/>
      <c r="K232" s="383"/>
      <c r="L232" s="383"/>
      <c r="M232" s="383"/>
      <c r="N232" s="383"/>
      <c r="O232" s="383"/>
      <c r="P232" s="383"/>
      <c r="Q232" s="383"/>
      <c r="R232" s="383"/>
      <c r="S232" s="383"/>
      <c r="T232" s="383"/>
      <c r="U232" s="383"/>
      <c r="V232" s="383"/>
      <c r="W232" s="383"/>
      <c r="X232" s="383"/>
      <c r="Y232" s="383"/>
      <c r="Z232" s="383"/>
      <c r="AA232" s="383"/>
      <c r="AB232" s="383"/>
    </row>
    <row r="233" ht="16.5" customHeight="1">
      <c r="A233" s="465"/>
      <c r="B233" s="465"/>
      <c r="C233" s="383"/>
      <c r="D233" s="383"/>
      <c r="E233" s="383"/>
      <c r="F233" s="383"/>
      <c r="G233" s="383"/>
      <c r="H233" s="383"/>
      <c r="I233" s="383"/>
      <c r="J233" s="383"/>
      <c r="K233" s="383"/>
      <c r="L233" s="383"/>
      <c r="M233" s="383"/>
      <c r="N233" s="383"/>
      <c r="O233" s="383"/>
      <c r="P233" s="383"/>
      <c r="Q233" s="383"/>
      <c r="R233" s="383"/>
      <c r="S233" s="383"/>
      <c r="T233" s="383"/>
      <c r="U233" s="383"/>
      <c r="V233" s="383"/>
      <c r="W233" s="383"/>
      <c r="X233" s="383"/>
      <c r="Y233" s="383"/>
      <c r="Z233" s="383"/>
      <c r="AA233" s="383"/>
      <c r="AB233" s="383"/>
    </row>
    <row r="234" ht="16.5" customHeight="1">
      <c r="A234" s="465"/>
      <c r="B234" s="465"/>
      <c r="C234" s="383"/>
      <c r="D234" s="383"/>
      <c r="E234" s="383"/>
      <c r="F234" s="383"/>
      <c r="G234" s="383"/>
      <c r="H234" s="383"/>
      <c r="I234" s="383"/>
      <c r="J234" s="383"/>
      <c r="K234" s="383"/>
      <c r="L234" s="383"/>
      <c r="M234" s="383"/>
      <c r="N234" s="383"/>
      <c r="O234" s="383"/>
      <c r="P234" s="383"/>
      <c r="Q234" s="383"/>
      <c r="R234" s="383"/>
      <c r="S234" s="383"/>
      <c r="T234" s="383"/>
      <c r="U234" s="383"/>
      <c r="V234" s="383"/>
      <c r="W234" s="383"/>
      <c r="X234" s="383"/>
      <c r="Y234" s="383"/>
      <c r="Z234" s="383"/>
      <c r="AA234" s="383"/>
      <c r="AB234" s="383"/>
    </row>
    <row r="235" ht="16.5" customHeight="1">
      <c r="A235" s="465"/>
      <c r="B235" s="465"/>
      <c r="C235" s="383"/>
      <c r="D235" s="383"/>
      <c r="E235" s="383"/>
      <c r="F235" s="383"/>
      <c r="G235" s="383"/>
      <c r="H235" s="383"/>
      <c r="I235" s="383"/>
      <c r="J235" s="383"/>
      <c r="K235" s="383"/>
      <c r="L235" s="383"/>
      <c r="M235" s="383"/>
      <c r="N235" s="383"/>
      <c r="O235" s="383"/>
      <c r="P235" s="383"/>
      <c r="Q235" s="383"/>
      <c r="R235" s="383"/>
      <c r="S235" s="383"/>
      <c r="T235" s="383"/>
      <c r="U235" s="383"/>
      <c r="V235" s="383"/>
      <c r="W235" s="383"/>
      <c r="X235" s="383"/>
      <c r="Y235" s="383"/>
      <c r="Z235" s="383"/>
      <c r="AA235" s="383"/>
      <c r="AB235" s="383"/>
    </row>
    <row r="236" ht="16.5" customHeight="1">
      <c r="A236" s="465"/>
      <c r="B236" s="465"/>
      <c r="C236" s="383"/>
      <c r="D236" s="383"/>
      <c r="E236" s="383"/>
      <c r="F236" s="383"/>
      <c r="G236" s="383"/>
      <c r="H236" s="383"/>
      <c r="I236" s="383"/>
      <c r="J236" s="383"/>
      <c r="K236" s="383"/>
      <c r="L236" s="383"/>
      <c r="M236" s="383"/>
      <c r="N236" s="383"/>
      <c r="O236" s="383"/>
      <c r="P236" s="383"/>
      <c r="Q236" s="383"/>
      <c r="R236" s="383"/>
      <c r="S236" s="383"/>
      <c r="T236" s="383"/>
      <c r="U236" s="383"/>
      <c r="V236" s="383"/>
      <c r="W236" s="383"/>
      <c r="X236" s="383"/>
      <c r="Y236" s="383"/>
      <c r="Z236" s="383"/>
      <c r="AA236" s="383"/>
      <c r="AB236" s="383"/>
    </row>
    <row r="237" ht="16.5" customHeight="1">
      <c r="A237" s="465"/>
      <c r="B237" s="465"/>
      <c r="C237" s="383"/>
      <c r="D237" s="383"/>
      <c r="E237" s="383"/>
      <c r="F237" s="383"/>
      <c r="G237" s="383"/>
      <c r="H237" s="383"/>
      <c r="I237" s="383"/>
      <c r="J237" s="383"/>
      <c r="K237" s="383"/>
      <c r="L237" s="383"/>
      <c r="M237" s="383"/>
      <c r="N237" s="383"/>
      <c r="O237" s="383"/>
      <c r="P237" s="383"/>
      <c r="Q237" s="383"/>
      <c r="R237" s="383"/>
      <c r="S237" s="383"/>
      <c r="T237" s="383"/>
      <c r="U237" s="383"/>
      <c r="V237" s="383"/>
      <c r="W237" s="383"/>
      <c r="X237" s="383"/>
      <c r="Y237" s="383"/>
      <c r="Z237" s="383"/>
      <c r="AA237" s="383"/>
      <c r="AB237" s="383"/>
    </row>
    <row r="238" ht="16.5" customHeight="1">
      <c r="A238" s="465"/>
      <c r="B238" s="465"/>
      <c r="C238" s="383"/>
      <c r="D238" s="383"/>
      <c r="E238" s="383"/>
      <c r="F238" s="383"/>
      <c r="G238" s="383"/>
      <c r="H238" s="383"/>
      <c r="I238" s="383"/>
      <c r="J238" s="383"/>
      <c r="K238" s="383"/>
      <c r="L238" s="383"/>
      <c r="M238" s="383"/>
      <c r="N238" s="383"/>
      <c r="O238" s="383"/>
      <c r="P238" s="383"/>
      <c r="Q238" s="383"/>
      <c r="R238" s="383"/>
      <c r="S238" s="383"/>
      <c r="T238" s="383"/>
      <c r="U238" s="383"/>
      <c r="V238" s="383"/>
      <c r="W238" s="383"/>
      <c r="X238" s="383"/>
      <c r="Y238" s="383"/>
      <c r="Z238" s="383"/>
      <c r="AA238" s="383"/>
      <c r="AB238" s="383"/>
    </row>
    <row r="239" ht="16.5" customHeight="1">
      <c r="A239" s="465"/>
      <c r="B239" s="465"/>
      <c r="C239" s="383"/>
      <c r="D239" s="383"/>
      <c r="E239" s="383"/>
      <c r="F239" s="383"/>
      <c r="G239" s="383"/>
      <c r="H239" s="383"/>
      <c r="I239" s="383"/>
      <c r="J239" s="383"/>
      <c r="K239" s="383"/>
      <c r="L239" s="383"/>
      <c r="M239" s="383"/>
      <c r="N239" s="383"/>
      <c r="O239" s="383"/>
      <c r="P239" s="383"/>
      <c r="Q239" s="383"/>
      <c r="R239" s="383"/>
      <c r="S239" s="383"/>
      <c r="T239" s="383"/>
      <c r="U239" s="383"/>
      <c r="V239" s="383"/>
      <c r="W239" s="383"/>
      <c r="X239" s="383"/>
      <c r="Y239" s="383"/>
      <c r="Z239" s="383"/>
      <c r="AA239" s="383"/>
      <c r="AB239" s="383"/>
    </row>
    <row r="240" ht="16.5" customHeight="1">
      <c r="A240" s="465"/>
      <c r="B240" s="465"/>
      <c r="C240" s="383"/>
      <c r="D240" s="383"/>
      <c r="E240" s="383"/>
      <c r="F240" s="383"/>
      <c r="G240" s="383"/>
      <c r="H240" s="383"/>
      <c r="I240" s="383"/>
      <c r="J240" s="383"/>
      <c r="K240" s="383"/>
      <c r="L240" s="383"/>
      <c r="M240" s="383"/>
      <c r="N240" s="383"/>
      <c r="O240" s="383"/>
      <c r="P240" s="383"/>
      <c r="Q240" s="383"/>
      <c r="R240" s="383"/>
      <c r="S240" s="383"/>
      <c r="T240" s="383"/>
      <c r="U240" s="383"/>
      <c r="V240" s="383"/>
      <c r="W240" s="383"/>
      <c r="X240" s="383"/>
      <c r="Y240" s="383"/>
      <c r="Z240" s="383"/>
      <c r="AA240" s="383"/>
      <c r="AB240" s="383"/>
    </row>
    <row r="241" ht="16.5" customHeight="1">
      <c r="A241" s="465"/>
      <c r="B241" s="465"/>
      <c r="C241" s="383"/>
      <c r="D241" s="383"/>
      <c r="E241" s="383"/>
      <c r="F241" s="383"/>
      <c r="G241" s="383"/>
      <c r="H241" s="383"/>
      <c r="I241" s="383"/>
      <c r="J241" s="383"/>
      <c r="K241" s="383"/>
      <c r="L241" s="383"/>
      <c r="M241" s="383"/>
      <c r="N241" s="383"/>
      <c r="O241" s="383"/>
      <c r="P241" s="383"/>
      <c r="Q241" s="383"/>
      <c r="R241" s="383"/>
      <c r="S241" s="383"/>
      <c r="T241" s="383"/>
      <c r="U241" s="383"/>
      <c r="V241" s="383"/>
      <c r="W241" s="383"/>
      <c r="X241" s="383"/>
      <c r="Y241" s="383"/>
      <c r="Z241" s="383"/>
      <c r="AA241" s="383"/>
      <c r="AB241" s="383"/>
    </row>
    <row r="242" ht="16.5" customHeight="1">
      <c r="A242" s="465"/>
      <c r="B242" s="465"/>
      <c r="C242" s="383"/>
      <c r="D242" s="383"/>
      <c r="E242" s="383"/>
      <c r="F242" s="383"/>
      <c r="G242" s="383"/>
      <c r="H242" s="383"/>
      <c r="I242" s="383"/>
      <c r="J242" s="383"/>
      <c r="K242" s="383"/>
      <c r="L242" s="383"/>
      <c r="M242" s="383"/>
      <c r="N242" s="383"/>
      <c r="O242" s="383"/>
      <c r="P242" s="383"/>
      <c r="Q242" s="383"/>
      <c r="R242" s="383"/>
      <c r="S242" s="383"/>
      <c r="T242" s="383"/>
      <c r="U242" s="383"/>
      <c r="V242" s="383"/>
      <c r="W242" s="383"/>
      <c r="X242" s="383"/>
      <c r="Y242" s="383"/>
      <c r="Z242" s="383"/>
      <c r="AA242" s="383"/>
      <c r="AB242" s="383"/>
    </row>
    <row r="243" ht="16.5" customHeight="1">
      <c r="A243" s="465"/>
      <c r="B243" s="465"/>
      <c r="C243" s="383"/>
      <c r="D243" s="383"/>
      <c r="E243" s="383"/>
      <c r="F243" s="383"/>
      <c r="G243" s="383"/>
      <c r="H243" s="383"/>
      <c r="I243" s="383"/>
      <c r="J243" s="383"/>
      <c r="K243" s="383"/>
      <c r="L243" s="383"/>
      <c r="M243" s="383"/>
      <c r="N243" s="383"/>
      <c r="O243" s="383"/>
      <c r="P243" s="383"/>
      <c r="Q243" s="383"/>
      <c r="R243" s="383"/>
      <c r="S243" s="383"/>
      <c r="T243" s="383"/>
      <c r="U243" s="383"/>
      <c r="V243" s="383"/>
      <c r="W243" s="383"/>
      <c r="X243" s="383"/>
      <c r="Y243" s="383"/>
      <c r="Z243" s="383"/>
      <c r="AA243" s="383"/>
      <c r="AB243" s="383"/>
    </row>
    <row r="244" ht="16.5" customHeight="1">
      <c r="A244" s="465"/>
      <c r="B244" s="465"/>
      <c r="C244" s="383"/>
      <c r="D244" s="383"/>
      <c r="E244" s="383"/>
      <c r="F244" s="383"/>
      <c r="G244" s="383"/>
      <c r="H244" s="383"/>
      <c r="I244" s="383"/>
      <c r="J244" s="383"/>
      <c r="K244" s="383"/>
      <c r="L244" s="383"/>
      <c r="M244" s="383"/>
      <c r="N244" s="383"/>
      <c r="O244" s="383"/>
      <c r="P244" s="383"/>
      <c r="Q244" s="383"/>
      <c r="R244" s="383"/>
      <c r="S244" s="383"/>
      <c r="T244" s="383"/>
      <c r="U244" s="383"/>
      <c r="V244" s="383"/>
      <c r="W244" s="383"/>
      <c r="X244" s="383"/>
      <c r="Y244" s="383"/>
      <c r="Z244" s="383"/>
      <c r="AA244" s="383"/>
      <c r="AB244" s="383"/>
    </row>
    <row r="245" ht="16.5" customHeight="1">
      <c r="A245" s="465"/>
      <c r="B245" s="465"/>
      <c r="C245" s="383"/>
      <c r="D245" s="383"/>
      <c r="E245" s="383"/>
      <c r="F245" s="383"/>
      <c r="G245" s="383"/>
      <c r="H245" s="383"/>
      <c r="I245" s="383"/>
      <c r="J245" s="383"/>
      <c r="K245" s="383"/>
      <c r="L245" s="383"/>
      <c r="M245" s="383"/>
      <c r="N245" s="383"/>
      <c r="O245" s="383"/>
      <c r="P245" s="383"/>
      <c r="Q245" s="383"/>
      <c r="R245" s="383"/>
      <c r="S245" s="383"/>
      <c r="T245" s="383"/>
      <c r="U245" s="383"/>
      <c r="V245" s="383"/>
      <c r="W245" s="383"/>
      <c r="X245" s="383"/>
      <c r="Y245" s="383"/>
      <c r="Z245" s="383"/>
      <c r="AA245" s="383"/>
      <c r="AB245" s="383"/>
    </row>
    <row r="246" ht="16.5" customHeight="1">
      <c r="A246" s="465"/>
      <c r="B246" s="465"/>
      <c r="C246" s="383"/>
      <c r="D246" s="383"/>
      <c r="E246" s="383"/>
      <c r="F246" s="383"/>
      <c r="G246" s="383"/>
      <c r="H246" s="383"/>
      <c r="I246" s="383"/>
      <c r="J246" s="383"/>
      <c r="K246" s="383"/>
      <c r="L246" s="383"/>
      <c r="M246" s="383"/>
      <c r="N246" s="383"/>
      <c r="O246" s="383"/>
      <c r="P246" s="383"/>
      <c r="Q246" s="383"/>
      <c r="R246" s="383"/>
      <c r="S246" s="383"/>
      <c r="T246" s="383"/>
      <c r="U246" s="383"/>
      <c r="V246" s="383"/>
      <c r="W246" s="383"/>
      <c r="X246" s="383"/>
      <c r="Y246" s="383"/>
      <c r="Z246" s="383"/>
      <c r="AA246" s="383"/>
      <c r="AB246" s="383"/>
    </row>
    <row r="247" ht="16.5" customHeight="1">
      <c r="A247" s="465"/>
      <c r="B247" s="465"/>
      <c r="C247" s="383"/>
      <c r="D247" s="383"/>
      <c r="E247" s="383"/>
      <c r="F247" s="383"/>
      <c r="G247" s="383"/>
      <c r="H247" s="383"/>
      <c r="I247" s="383"/>
      <c r="J247" s="383"/>
      <c r="K247" s="383"/>
      <c r="L247" s="383"/>
      <c r="M247" s="383"/>
      <c r="N247" s="383"/>
      <c r="O247" s="383"/>
      <c r="P247" s="383"/>
      <c r="Q247" s="383"/>
      <c r="R247" s="383"/>
      <c r="S247" s="383"/>
      <c r="T247" s="383"/>
      <c r="U247" s="383"/>
      <c r="V247" s="383"/>
      <c r="W247" s="383"/>
      <c r="X247" s="383"/>
      <c r="Y247" s="383"/>
      <c r="Z247" s="383"/>
      <c r="AA247" s="383"/>
      <c r="AB247" s="383"/>
    </row>
    <row r="248" ht="16.5" customHeight="1">
      <c r="A248" s="465"/>
      <c r="B248" s="465"/>
      <c r="C248" s="383"/>
      <c r="D248" s="383"/>
      <c r="E248" s="383"/>
      <c r="F248" s="383"/>
      <c r="G248" s="383"/>
      <c r="H248" s="383"/>
      <c r="I248" s="383"/>
      <c r="J248" s="383"/>
      <c r="K248" s="383"/>
      <c r="L248" s="383"/>
      <c r="M248" s="383"/>
      <c r="N248" s="383"/>
      <c r="O248" s="383"/>
      <c r="P248" s="383"/>
      <c r="Q248" s="383"/>
      <c r="R248" s="383"/>
      <c r="S248" s="383"/>
      <c r="T248" s="383"/>
      <c r="U248" s="383"/>
      <c r="V248" s="383"/>
      <c r="W248" s="383"/>
      <c r="X248" s="383"/>
      <c r="Y248" s="383"/>
      <c r="Z248" s="383"/>
      <c r="AA248" s="383"/>
      <c r="AB248" s="383"/>
    </row>
    <row r="249" ht="16.5" customHeight="1">
      <c r="A249" s="465"/>
      <c r="B249" s="465"/>
      <c r="C249" s="383"/>
      <c r="D249" s="383"/>
      <c r="E249" s="383"/>
      <c r="F249" s="383"/>
      <c r="G249" s="383"/>
      <c r="H249" s="383"/>
      <c r="I249" s="383"/>
      <c r="J249" s="383"/>
      <c r="K249" s="383"/>
      <c r="L249" s="383"/>
      <c r="M249" s="383"/>
      <c r="N249" s="383"/>
      <c r="O249" s="383"/>
      <c r="P249" s="383"/>
      <c r="Q249" s="383"/>
      <c r="R249" s="383"/>
      <c r="S249" s="383"/>
      <c r="T249" s="383"/>
      <c r="U249" s="383"/>
      <c r="V249" s="383"/>
      <c r="W249" s="383"/>
      <c r="X249" s="383"/>
      <c r="Y249" s="383"/>
      <c r="Z249" s="383"/>
      <c r="AA249" s="383"/>
      <c r="AB249" s="383"/>
    </row>
    <row r="250" ht="16.5" customHeight="1">
      <c r="A250" s="465"/>
      <c r="B250" s="465"/>
      <c r="C250" s="383"/>
      <c r="D250" s="383"/>
      <c r="E250" s="383"/>
      <c r="F250" s="383"/>
      <c r="G250" s="383"/>
      <c r="H250" s="383"/>
      <c r="I250" s="383"/>
      <c r="J250" s="383"/>
      <c r="K250" s="383"/>
      <c r="L250" s="383"/>
      <c r="M250" s="383"/>
      <c r="N250" s="383"/>
      <c r="O250" s="383"/>
      <c r="P250" s="383"/>
      <c r="Q250" s="383"/>
      <c r="R250" s="383"/>
      <c r="S250" s="383"/>
      <c r="T250" s="383"/>
      <c r="U250" s="383"/>
      <c r="V250" s="383"/>
      <c r="W250" s="383"/>
      <c r="X250" s="383"/>
      <c r="Y250" s="383"/>
      <c r="Z250" s="383"/>
      <c r="AA250" s="383"/>
      <c r="AB250" s="383"/>
    </row>
    <row r="251" ht="16.5" customHeight="1">
      <c r="A251" s="465"/>
      <c r="B251" s="465"/>
      <c r="C251" s="383"/>
      <c r="D251" s="383"/>
      <c r="E251" s="383"/>
      <c r="F251" s="383"/>
      <c r="G251" s="383"/>
      <c r="H251" s="383"/>
      <c r="I251" s="383"/>
      <c r="J251" s="383"/>
      <c r="K251" s="383"/>
      <c r="L251" s="383"/>
      <c r="M251" s="383"/>
      <c r="N251" s="383"/>
      <c r="O251" s="383"/>
      <c r="P251" s="383"/>
      <c r="Q251" s="383"/>
      <c r="R251" s="383"/>
      <c r="S251" s="383"/>
      <c r="T251" s="383"/>
      <c r="U251" s="383"/>
      <c r="V251" s="383"/>
      <c r="W251" s="383"/>
      <c r="X251" s="383"/>
      <c r="Y251" s="383"/>
      <c r="Z251" s="383"/>
      <c r="AA251" s="383"/>
      <c r="AB251" s="383"/>
    </row>
    <row r="252" ht="16.5" customHeight="1">
      <c r="A252" s="465"/>
      <c r="B252" s="465"/>
      <c r="C252" s="383"/>
      <c r="D252" s="383"/>
      <c r="E252" s="383"/>
      <c r="F252" s="383"/>
      <c r="G252" s="383"/>
      <c r="H252" s="383"/>
      <c r="I252" s="383"/>
      <c r="J252" s="383"/>
      <c r="K252" s="383"/>
      <c r="L252" s="383"/>
      <c r="M252" s="383"/>
      <c r="N252" s="383"/>
      <c r="O252" s="383"/>
      <c r="P252" s="383"/>
      <c r="Q252" s="383"/>
      <c r="R252" s="383"/>
      <c r="S252" s="383"/>
      <c r="T252" s="383"/>
      <c r="U252" s="383"/>
      <c r="V252" s="383"/>
      <c r="W252" s="383"/>
      <c r="X252" s="383"/>
      <c r="Y252" s="383"/>
      <c r="Z252" s="383"/>
      <c r="AA252" s="383"/>
      <c r="AB252" s="383"/>
    </row>
    <row r="253" ht="16.5" customHeight="1">
      <c r="A253" s="465"/>
      <c r="B253" s="465"/>
      <c r="C253" s="383"/>
      <c r="D253" s="383"/>
      <c r="E253" s="383"/>
      <c r="F253" s="383"/>
      <c r="G253" s="383"/>
      <c r="H253" s="383"/>
      <c r="I253" s="383"/>
      <c r="J253" s="383"/>
      <c r="K253" s="383"/>
      <c r="L253" s="383"/>
      <c r="M253" s="383"/>
      <c r="N253" s="383"/>
      <c r="O253" s="383"/>
      <c r="P253" s="383"/>
      <c r="Q253" s="383"/>
      <c r="R253" s="383"/>
      <c r="S253" s="383"/>
      <c r="T253" s="383"/>
      <c r="U253" s="383"/>
      <c r="V253" s="383"/>
      <c r="W253" s="383"/>
      <c r="X253" s="383"/>
      <c r="Y253" s="383"/>
      <c r="Z253" s="383"/>
      <c r="AA253" s="383"/>
      <c r="AB253" s="383"/>
    </row>
    <row r="254" ht="16.5" customHeight="1">
      <c r="A254" s="465"/>
      <c r="B254" s="465"/>
      <c r="C254" s="383"/>
      <c r="D254" s="383"/>
      <c r="E254" s="383"/>
      <c r="F254" s="383"/>
      <c r="G254" s="383"/>
      <c r="H254" s="383"/>
      <c r="I254" s="383"/>
      <c r="J254" s="383"/>
      <c r="K254" s="383"/>
      <c r="L254" s="383"/>
      <c r="M254" s="383"/>
      <c r="N254" s="383"/>
      <c r="O254" s="383"/>
      <c r="P254" s="383"/>
      <c r="Q254" s="383"/>
      <c r="R254" s="383"/>
      <c r="S254" s="383"/>
      <c r="T254" s="383"/>
      <c r="U254" s="383"/>
      <c r="V254" s="383"/>
      <c r="W254" s="383"/>
      <c r="X254" s="383"/>
      <c r="Y254" s="383"/>
      <c r="Z254" s="383"/>
      <c r="AA254" s="383"/>
      <c r="AB254" s="383"/>
    </row>
    <row r="255" ht="16.5" customHeight="1">
      <c r="A255" s="465"/>
      <c r="B255" s="465"/>
      <c r="C255" s="383"/>
      <c r="D255" s="383"/>
      <c r="E255" s="383"/>
      <c r="F255" s="383"/>
      <c r="G255" s="383"/>
      <c r="H255" s="383"/>
      <c r="I255" s="383"/>
      <c r="J255" s="383"/>
      <c r="K255" s="383"/>
      <c r="L255" s="383"/>
      <c r="M255" s="383"/>
      <c r="N255" s="383"/>
      <c r="O255" s="383"/>
      <c r="P255" s="383"/>
      <c r="Q255" s="383"/>
      <c r="R255" s="383"/>
      <c r="S255" s="383"/>
      <c r="T255" s="383"/>
      <c r="U255" s="383"/>
      <c r="V255" s="383"/>
      <c r="W255" s="383"/>
      <c r="X255" s="383"/>
      <c r="Y255" s="383"/>
      <c r="Z255" s="383"/>
      <c r="AA255" s="383"/>
      <c r="AB255" s="383"/>
    </row>
    <row r="256" ht="16.5" customHeight="1">
      <c r="A256" s="465"/>
      <c r="B256" s="465"/>
      <c r="C256" s="383"/>
      <c r="D256" s="383"/>
      <c r="E256" s="383"/>
      <c r="F256" s="383"/>
      <c r="G256" s="383"/>
      <c r="H256" s="383"/>
      <c r="I256" s="383"/>
      <c r="J256" s="383"/>
      <c r="K256" s="383"/>
      <c r="L256" s="383"/>
      <c r="M256" s="383"/>
      <c r="N256" s="383"/>
      <c r="O256" s="383"/>
      <c r="P256" s="383"/>
      <c r="Q256" s="383"/>
      <c r="R256" s="383"/>
      <c r="S256" s="383"/>
      <c r="T256" s="383"/>
      <c r="U256" s="383"/>
      <c r="V256" s="383"/>
      <c r="W256" s="383"/>
      <c r="X256" s="383"/>
      <c r="Y256" s="383"/>
      <c r="Z256" s="383"/>
      <c r="AA256" s="383"/>
      <c r="AB256" s="383"/>
    </row>
    <row r="257" ht="16.5" customHeight="1">
      <c r="A257" s="465"/>
      <c r="B257" s="465"/>
      <c r="C257" s="383"/>
      <c r="D257" s="383"/>
      <c r="E257" s="383"/>
      <c r="F257" s="383"/>
      <c r="G257" s="383"/>
      <c r="H257" s="383"/>
      <c r="I257" s="383"/>
      <c r="J257" s="383"/>
      <c r="K257" s="383"/>
      <c r="L257" s="383"/>
      <c r="M257" s="383"/>
      <c r="N257" s="383"/>
      <c r="O257" s="383"/>
      <c r="P257" s="383"/>
      <c r="Q257" s="383"/>
      <c r="R257" s="383"/>
      <c r="S257" s="383"/>
      <c r="T257" s="383"/>
      <c r="U257" s="383"/>
      <c r="V257" s="383"/>
      <c r="W257" s="383"/>
      <c r="X257" s="383"/>
      <c r="Y257" s="383"/>
      <c r="Z257" s="383"/>
      <c r="AA257" s="383"/>
      <c r="AB257" s="383"/>
    </row>
    <row r="258" ht="16.5" customHeight="1">
      <c r="A258" s="465"/>
      <c r="B258" s="465"/>
      <c r="C258" s="383"/>
      <c r="D258" s="383"/>
      <c r="E258" s="383"/>
      <c r="F258" s="383"/>
      <c r="G258" s="383"/>
      <c r="H258" s="383"/>
      <c r="I258" s="383"/>
      <c r="J258" s="383"/>
      <c r="K258" s="383"/>
      <c r="L258" s="383"/>
      <c r="M258" s="383"/>
      <c r="N258" s="383"/>
      <c r="O258" s="383"/>
      <c r="P258" s="383"/>
      <c r="Q258" s="383"/>
      <c r="R258" s="383"/>
      <c r="S258" s="383"/>
      <c r="T258" s="383"/>
      <c r="U258" s="383"/>
      <c r="V258" s="383"/>
      <c r="W258" s="383"/>
      <c r="X258" s="383"/>
      <c r="Y258" s="383"/>
      <c r="Z258" s="383"/>
      <c r="AA258" s="383"/>
      <c r="AB258" s="383"/>
    </row>
    <row r="259" ht="16.5" customHeight="1">
      <c r="A259" s="465"/>
      <c r="B259" s="465"/>
      <c r="C259" s="383"/>
      <c r="D259" s="383"/>
      <c r="E259" s="383"/>
      <c r="F259" s="383"/>
      <c r="G259" s="383"/>
      <c r="H259" s="383"/>
      <c r="I259" s="383"/>
      <c r="J259" s="383"/>
      <c r="K259" s="383"/>
      <c r="L259" s="383"/>
      <c r="M259" s="383"/>
      <c r="N259" s="383"/>
      <c r="O259" s="383"/>
      <c r="P259" s="383"/>
      <c r="Q259" s="383"/>
      <c r="R259" s="383"/>
      <c r="S259" s="383"/>
      <c r="T259" s="383"/>
      <c r="U259" s="383"/>
      <c r="V259" s="383"/>
      <c r="W259" s="383"/>
      <c r="X259" s="383"/>
      <c r="Y259" s="383"/>
      <c r="Z259" s="383"/>
      <c r="AA259" s="383"/>
      <c r="AB259" s="383"/>
    </row>
    <row r="260" ht="16.5" customHeight="1">
      <c r="A260" s="465"/>
      <c r="B260" s="465"/>
      <c r="C260" s="383"/>
      <c r="D260" s="383"/>
      <c r="E260" s="383"/>
      <c r="F260" s="383"/>
      <c r="G260" s="383"/>
      <c r="H260" s="383"/>
      <c r="I260" s="383"/>
      <c r="J260" s="383"/>
      <c r="K260" s="383"/>
      <c r="L260" s="383"/>
      <c r="M260" s="383"/>
      <c r="N260" s="383"/>
      <c r="O260" s="383"/>
      <c r="P260" s="383"/>
      <c r="Q260" s="383"/>
      <c r="R260" s="383"/>
      <c r="S260" s="383"/>
      <c r="T260" s="383"/>
      <c r="U260" s="383"/>
      <c r="V260" s="383"/>
      <c r="W260" s="383"/>
      <c r="X260" s="383"/>
      <c r="Y260" s="383"/>
      <c r="Z260" s="383"/>
      <c r="AA260" s="383"/>
      <c r="AB260" s="383"/>
    </row>
    <row r="261" ht="16.5" customHeight="1">
      <c r="A261" s="465"/>
      <c r="B261" s="465"/>
      <c r="C261" s="383"/>
      <c r="D261" s="383"/>
      <c r="E261" s="383"/>
      <c r="F261" s="383"/>
      <c r="G261" s="383"/>
      <c r="H261" s="383"/>
      <c r="I261" s="383"/>
      <c r="J261" s="383"/>
      <c r="K261" s="383"/>
      <c r="L261" s="383"/>
      <c r="M261" s="383"/>
      <c r="N261" s="383"/>
      <c r="O261" s="383"/>
      <c r="P261" s="383"/>
      <c r="Q261" s="383"/>
      <c r="R261" s="383"/>
      <c r="S261" s="383"/>
      <c r="T261" s="383"/>
      <c r="U261" s="383"/>
      <c r="V261" s="383"/>
      <c r="W261" s="383"/>
      <c r="X261" s="383"/>
      <c r="Y261" s="383"/>
      <c r="Z261" s="383"/>
      <c r="AA261" s="383"/>
      <c r="AB261" s="383"/>
    </row>
    <row r="262" ht="16.5" customHeight="1">
      <c r="A262" s="465"/>
      <c r="B262" s="465"/>
      <c r="C262" s="383"/>
      <c r="D262" s="383"/>
      <c r="E262" s="383"/>
      <c r="F262" s="383"/>
      <c r="G262" s="383"/>
      <c r="H262" s="383"/>
      <c r="I262" s="383"/>
      <c r="J262" s="383"/>
      <c r="K262" s="383"/>
      <c r="L262" s="383"/>
      <c r="M262" s="383"/>
      <c r="N262" s="383"/>
      <c r="O262" s="383"/>
      <c r="P262" s="383"/>
      <c r="Q262" s="383"/>
      <c r="R262" s="383"/>
      <c r="S262" s="383"/>
      <c r="T262" s="383"/>
      <c r="U262" s="383"/>
      <c r="V262" s="383"/>
      <c r="W262" s="383"/>
      <c r="X262" s="383"/>
      <c r="Y262" s="383"/>
      <c r="Z262" s="383"/>
      <c r="AA262" s="383"/>
      <c r="AB262" s="383"/>
    </row>
    <row r="263" ht="16.5" customHeight="1">
      <c r="A263" s="465"/>
      <c r="B263" s="465"/>
      <c r="C263" s="383"/>
      <c r="D263" s="383"/>
      <c r="E263" s="383"/>
      <c r="F263" s="383"/>
      <c r="G263" s="383"/>
      <c r="H263" s="383"/>
      <c r="I263" s="383"/>
      <c r="J263" s="383"/>
      <c r="K263" s="383"/>
      <c r="L263" s="383"/>
      <c r="M263" s="383"/>
      <c r="N263" s="383"/>
      <c r="O263" s="383"/>
      <c r="P263" s="383"/>
      <c r="Q263" s="383"/>
      <c r="R263" s="383"/>
      <c r="S263" s="383"/>
      <c r="T263" s="383"/>
      <c r="U263" s="383"/>
      <c r="V263" s="383"/>
      <c r="W263" s="383"/>
      <c r="X263" s="383"/>
      <c r="Y263" s="383"/>
      <c r="Z263" s="383"/>
      <c r="AA263" s="383"/>
      <c r="AB263" s="383"/>
    </row>
    <row r="264" ht="16.5" customHeight="1">
      <c r="A264" s="465"/>
      <c r="B264" s="465"/>
      <c r="C264" s="383"/>
      <c r="D264" s="383"/>
      <c r="E264" s="383"/>
      <c r="F264" s="383"/>
      <c r="G264" s="383"/>
      <c r="H264" s="383"/>
      <c r="I264" s="383"/>
      <c r="J264" s="383"/>
      <c r="K264" s="383"/>
      <c r="L264" s="383"/>
      <c r="M264" s="383"/>
      <c r="N264" s="383"/>
      <c r="O264" s="383"/>
      <c r="P264" s="383"/>
      <c r="Q264" s="383"/>
      <c r="R264" s="383"/>
      <c r="S264" s="383"/>
      <c r="T264" s="383"/>
      <c r="U264" s="383"/>
      <c r="V264" s="383"/>
      <c r="W264" s="383"/>
      <c r="X264" s="383"/>
      <c r="Y264" s="383"/>
      <c r="Z264" s="383"/>
      <c r="AA264" s="383"/>
      <c r="AB264" s="383"/>
    </row>
    <row r="265" ht="16.5" customHeight="1">
      <c r="A265" s="465"/>
      <c r="B265" s="465"/>
      <c r="C265" s="383"/>
      <c r="D265" s="383"/>
      <c r="E265" s="383"/>
      <c r="F265" s="383"/>
      <c r="G265" s="383"/>
      <c r="H265" s="383"/>
      <c r="I265" s="383"/>
      <c r="J265" s="383"/>
      <c r="K265" s="383"/>
      <c r="L265" s="383"/>
      <c r="M265" s="383"/>
      <c r="N265" s="383"/>
      <c r="O265" s="383"/>
      <c r="P265" s="383"/>
      <c r="Q265" s="383"/>
      <c r="R265" s="383"/>
      <c r="S265" s="383"/>
      <c r="T265" s="383"/>
      <c r="U265" s="383"/>
      <c r="V265" s="383"/>
      <c r="W265" s="383"/>
      <c r="X265" s="383"/>
      <c r="Y265" s="383"/>
      <c r="Z265" s="383"/>
      <c r="AA265" s="383"/>
      <c r="AB265" s="383"/>
    </row>
    <row r="266" ht="16.5" customHeight="1">
      <c r="A266" s="465"/>
      <c r="B266" s="465"/>
      <c r="C266" s="383"/>
      <c r="D266" s="383"/>
      <c r="E266" s="383"/>
      <c r="F266" s="383"/>
      <c r="G266" s="383"/>
      <c r="H266" s="383"/>
      <c r="I266" s="383"/>
      <c r="J266" s="383"/>
      <c r="K266" s="383"/>
      <c r="L266" s="383"/>
      <c r="M266" s="383"/>
      <c r="N266" s="383"/>
      <c r="O266" s="383"/>
      <c r="P266" s="383"/>
      <c r="Q266" s="383"/>
      <c r="R266" s="383"/>
      <c r="S266" s="383"/>
      <c r="T266" s="383"/>
      <c r="U266" s="383"/>
      <c r="V266" s="383"/>
      <c r="W266" s="383"/>
      <c r="X266" s="383"/>
      <c r="Y266" s="383"/>
      <c r="Z266" s="383"/>
      <c r="AA266" s="383"/>
      <c r="AB266" s="383"/>
    </row>
    <row r="267" ht="16.5" customHeight="1">
      <c r="A267" s="465"/>
      <c r="B267" s="465"/>
      <c r="C267" s="383"/>
      <c r="D267" s="383"/>
      <c r="E267" s="383"/>
      <c r="F267" s="383"/>
      <c r="G267" s="383"/>
      <c r="H267" s="383"/>
      <c r="I267" s="383"/>
      <c r="J267" s="383"/>
      <c r="K267" s="383"/>
      <c r="L267" s="383"/>
      <c r="M267" s="383"/>
      <c r="N267" s="383"/>
      <c r="O267" s="383"/>
      <c r="P267" s="383"/>
      <c r="Q267" s="383"/>
      <c r="R267" s="383"/>
      <c r="S267" s="383"/>
      <c r="T267" s="383"/>
      <c r="U267" s="383"/>
      <c r="V267" s="383"/>
      <c r="W267" s="383"/>
      <c r="X267" s="383"/>
      <c r="Y267" s="383"/>
      <c r="Z267" s="383"/>
      <c r="AA267" s="383"/>
      <c r="AB267" s="383"/>
    </row>
    <row r="268" ht="16.5" customHeight="1">
      <c r="A268" s="465"/>
      <c r="B268" s="465"/>
      <c r="C268" s="383"/>
      <c r="D268" s="383"/>
      <c r="E268" s="383"/>
      <c r="F268" s="383"/>
      <c r="G268" s="383"/>
      <c r="H268" s="383"/>
      <c r="I268" s="383"/>
      <c r="J268" s="383"/>
      <c r="K268" s="383"/>
      <c r="L268" s="383"/>
      <c r="M268" s="383"/>
      <c r="N268" s="383"/>
      <c r="O268" s="383"/>
      <c r="P268" s="383"/>
      <c r="Q268" s="383"/>
      <c r="R268" s="383"/>
      <c r="S268" s="383"/>
      <c r="T268" s="383"/>
      <c r="U268" s="383"/>
      <c r="V268" s="383"/>
      <c r="W268" s="383"/>
      <c r="X268" s="383"/>
      <c r="Y268" s="383"/>
      <c r="Z268" s="383"/>
      <c r="AA268" s="383"/>
      <c r="AB268" s="383"/>
    </row>
    <row r="269" ht="16.5" customHeight="1">
      <c r="A269" s="465"/>
      <c r="B269" s="465"/>
      <c r="C269" s="383"/>
      <c r="D269" s="383"/>
      <c r="E269" s="383"/>
      <c r="F269" s="383"/>
      <c r="G269" s="383"/>
      <c r="H269" s="383"/>
      <c r="I269" s="383"/>
      <c r="J269" s="383"/>
      <c r="K269" s="383"/>
      <c r="L269" s="383"/>
      <c r="M269" s="383"/>
      <c r="N269" s="383"/>
      <c r="O269" s="383"/>
      <c r="P269" s="383"/>
      <c r="Q269" s="383"/>
      <c r="R269" s="383"/>
      <c r="S269" s="383"/>
      <c r="T269" s="383"/>
      <c r="U269" s="383"/>
      <c r="V269" s="383"/>
      <c r="W269" s="383"/>
      <c r="X269" s="383"/>
      <c r="Y269" s="383"/>
      <c r="Z269" s="383"/>
      <c r="AA269" s="383"/>
      <c r="AB269" s="383"/>
    </row>
    <row r="270" ht="16.5" customHeight="1">
      <c r="A270" s="465"/>
      <c r="B270" s="465"/>
      <c r="C270" s="383"/>
      <c r="D270" s="383"/>
      <c r="E270" s="383"/>
      <c r="F270" s="383"/>
      <c r="G270" s="383"/>
      <c r="H270" s="383"/>
      <c r="I270" s="383"/>
      <c r="J270" s="383"/>
      <c r="K270" s="383"/>
      <c r="L270" s="383"/>
      <c r="M270" s="383"/>
      <c r="N270" s="383"/>
      <c r="O270" s="383"/>
      <c r="P270" s="383"/>
      <c r="Q270" s="383"/>
      <c r="R270" s="383"/>
      <c r="S270" s="383"/>
      <c r="T270" s="383"/>
      <c r="U270" s="383"/>
      <c r="V270" s="383"/>
      <c r="W270" s="383"/>
      <c r="X270" s="383"/>
      <c r="Y270" s="383"/>
      <c r="Z270" s="383"/>
      <c r="AA270" s="383"/>
      <c r="AB270" s="383"/>
    </row>
    <row r="271" ht="16.5" customHeight="1">
      <c r="A271" s="465"/>
      <c r="B271" s="465"/>
      <c r="C271" s="383"/>
      <c r="D271" s="383"/>
      <c r="E271" s="383"/>
      <c r="F271" s="383"/>
      <c r="G271" s="383"/>
      <c r="H271" s="383"/>
      <c r="I271" s="383"/>
      <c r="J271" s="383"/>
      <c r="K271" s="383"/>
      <c r="L271" s="383"/>
      <c r="M271" s="383"/>
      <c r="N271" s="383"/>
      <c r="O271" s="383"/>
      <c r="P271" s="383"/>
      <c r="Q271" s="383"/>
      <c r="R271" s="383"/>
      <c r="S271" s="383"/>
      <c r="T271" s="383"/>
      <c r="U271" s="383"/>
      <c r="V271" s="383"/>
      <c r="W271" s="383"/>
      <c r="X271" s="383"/>
      <c r="Y271" s="383"/>
      <c r="Z271" s="383"/>
      <c r="AA271" s="383"/>
      <c r="AB271" s="383"/>
    </row>
    <row r="272" ht="16.5" customHeight="1">
      <c r="A272" s="465"/>
      <c r="B272" s="465"/>
      <c r="C272" s="383"/>
      <c r="D272" s="383"/>
      <c r="E272" s="383"/>
      <c r="F272" s="383"/>
      <c r="G272" s="383"/>
      <c r="H272" s="383"/>
      <c r="I272" s="383"/>
      <c r="J272" s="383"/>
      <c r="K272" s="383"/>
      <c r="L272" s="383"/>
      <c r="M272" s="383"/>
      <c r="N272" s="383"/>
      <c r="O272" s="383"/>
      <c r="P272" s="383"/>
      <c r="Q272" s="383"/>
      <c r="R272" s="383"/>
      <c r="S272" s="383"/>
      <c r="T272" s="383"/>
      <c r="U272" s="383"/>
      <c r="V272" s="383"/>
      <c r="W272" s="383"/>
      <c r="X272" s="383"/>
      <c r="Y272" s="383"/>
      <c r="Z272" s="383"/>
      <c r="AA272" s="383"/>
      <c r="AB272" s="383"/>
    </row>
    <row r="273" ht="16.5" customHeight="1">
      <c r="A273" s="465"/>
      <c r="B273" s="465"/>
      <c r="C273" s="383"/>
      <c r="D273" s="383"/>
      <c r="E273" s="383"/>
      <c r="F273" s="383"/>
      <c r="G273" s="383"/>
      <c r="H273" s="383"/>
      <c r="I273" s="383"/>
      <c r="J273" s="383"/>
      <c r="K273" s="383"/>
      <c r="L273" s="383"/>
      <c r="M273" s="383"/>
      <c r="N273" s="383"/>
      <c r="O273" s="383"/>
      <c r="P273" s="383"/>
      <c r="Q273" s="383"/>
      <c r="R273" s="383"/>
      <c r="S273" s="383"/>
      <c r="T273" s="383"/>
      <c r="U273" s="383"/>
      <c r="V273" s="383"/>
      <c r="W273" s="383"/>
      <c r="X273" s="383"/>
      <c r="Y273" s="383"/>
      <c r="Z273" s="383"/>
      <c r="AA273" s="383"/>
      <c r="AB273" s="383"/>
    </row>
    <row r="274" ht="16.5" customHeight="1">
      <c r="A274" s="465"/>
      <c r="B274" s="465"/>
      <c r="C274" s="383"/>
      <c r="D274" s="383"/>
      <c r="E274" s="383"/>
      <c r="F274" s="383"/>
      <c r="G274" s="383"/>
      <c r="H274" s="383"/>
      <c r="I274" s="383"/>
      <c r="J274" s="383"/>
      <c r="K274" s="383"/>
      <c r="L274" s="383"/>
      <c r="M274" s="383"/>
      <c r="N274" s="383"/>
      <c r="O274" s="383"/>
      <c r="P274" s="383"/>
      <c r="Q274" s="383"/>
      <c r="R274" s="383"/>
      <c r="S274" s="383"/>
      <c r="T274" s="383"/>
      <c r="U274" s="383"/>
      <c r="V274" s="383"/>
      <c r="W274" s="383"/>
      <c r="X274" s="383"/>
      <c r="Y274" s="383"/>
      <c r="Z274" s="383"/>
      <c r="AA274" s="383"/>
      <c r="AB274" s="383"/>
    </row>
    <row r="275" ht="16.5" customHeight="1">
      <c r="A275" s="465"/>
      <c r="B275" s="465"/>
      <c r="C275" s="383"/>
      <c r="D275" s="383"/>
      <c r="E275" s="383"/>
      <c r="F275" s="383"/>
      <c r="G275" s="383"/>
      <c r="H275" s="383"/>
      <c r="I275" s="383"/>
      <c r="J275" s="383"/>
      <c r="K275" s="383"/>
      <c r="L275" s="383"/>
      <c r="M275" s="383"/>
      <c r="N275" s="383"/>
      <c r="O275" s="383"/>
      <c r="P275" s="383"/>
      <c r="Q275" s="383"/>
      <c r="R275" s="383"/>
      <c r="S275" s="383"/>
      <c r="T275" s="383"/>
      <c r="U275" s="383"/>
      <c r="V275" s="383"/>
      <c r="W275" s="383"/>
      <c r="X275" s="383"/>
      <c r="Y275" s="383"/>
      <c r="Z275" s="383"/>
      <c r="AA275" s="383"/>
      <c r="AB275" s="383"/>
    </row>
    <row r="276" ht="16.5" customHeight="1">
      <c r="A276" s="465"/>
      <c r="B276" s="465"/>
      <c r="C276" s="383"/>
      <c r="D276" s="383"/>
      <c r="E276" s="383"/>
      <c r="F276" s="383"/>
      <c r="G276" s="383"/>
      <c r="H276" s="383"/>
      <c r="I276" s="383"/>
      <c r="J276" s="383"/>
      <c r="K276" s="383"/>
      <c r="L276" s="383"/>
      <c r="M276" s="383"/>
      <c r="N276" s="383"/>
      <c r="O276" s="383"/>
      <c r="P276" s="383"/>
      <c r="Q276" s="383"/>
      <c r="R276" s="383"/>
      <c r="S276" s="383"/>
      <c r="T276" s="383"/>
      <c r="U276" s="383"/>
      <c r="V276" s="383"/>
      <c r="W276" s="383"/>
      <c r="X276" s="383"/>
      <c r="Y276" s="383"/>
      <c r="Z276" s="383"/>
      <c r="AA276" s="383"/>
      <c r="AB276" s="383"/>
    </row>
    <row r="277" ht="16.5" customHeight="1">
      <c r="A277" s="465"/>
      <c r="B277" s="465"/>
      <c r="C277" s="383"/>
      <c r="D277" s="383"/>
      <c r="E277" s="383"/>
      <c r="F277" s="383"/>
      <c r="G277" s="383"/>
      <c r="H277" s="383"/>
      <c r="I277" s="383"/>
      <c r="J277" s="383"/>
      <c r="K277" s="383"/>
      <c r="L277" s="383"/>
      <c r="M277" s="383"/>
      <c r="N277" s="383"/>
      <c r="O277" s="383"/>
      <c r="P277" s="383"/>
      <c r="Q277" s="383"/>
      <c r="R277" s="383"/>
      <c r="S277" s="383"/>
      <c r="T277" s="383"/>
      <c r="U277" s="383"/>
      <c r="V277" s="383"/>
      <c r="W277" s="383"/>
      <c r="X277" s="383"/>
      <c r="Y277" s="383"/>
      <c r="Z277" s="383"/>
      <c r="AA277" s="383"/>
      <c r="AB277" s="383"/>
    </row>
    <row r="278" ht="16.5" customHeight="1">
      <c r="A278" s="465"/>
      <c r="B278" s="465"/>
      <c r="C278" s="383"/>
      <c r="D278" s="383"/>
      <c r="E278" s="383"/>
      <c r="F278" s="383"/>
      <c r="G278" s="383"/>
      <c r="H278" s="383"/>
      <c r="I278" s="383"/>
      <c r="J278" s="383"/>
      <c r="K278" s="383"/>
      <c r="L278" s="383"/>
      <c r="M278" s="383"/>
      <c r="N278" s="383"/>
      <c r="O278" s="383"/>
      <c r="P278" s="383"/>
      <c r="Q278" s="383"/>
      <c r="R278" s="383"/>
      <c r="S278" s="383"/>
      <c r="T278" s="383"/>
      <c r="U278" s="383"/>
      <c r="V278" s="383"/>
      <c r="W278" s="383"/>
      <c r="X278" s="383"/>
      <c r="Y278" s="383"/>
      <c r="Z278" s="383"/>
      <c r="AA278" s="383"/>
      <c r="AB278" s="383"/>
    </row>
    <row r="279" ht="16.5" customHeight="1">
      <c r="A279" s="465"/>
      <c r="B279" s="465"/>
      <c r="C279" s="383"/>
      <c r="D279" s="383"/>
      <c r="E279" s="383"/>
      <c r="F279" s="383"/>
      <c r="G279" s="383"/>
      <c r="H279" s="383"/>
      <c r="I279" s="383"/>
      <c r="J279" s="383"/>
      <c r="K279" s="383"/>
      <c r="L279" s="383"/>
      <c r="M279" s="383"/>
      <c r="N279" s="383"/>
      <c r="O279" s="383"/>
      <c r="P279" s="383"/>
      <c r="Q279" s="383"/>
      <c r="R279" s="383"/>
      <c r="S279" s="383"/>
      <c r="T279" s="383"/>
      <c r="U279" s="383"/>
      <c r="V279" s="383"/>
      <c r="W279" s="383"/>
      <c r="X279" s="383"/>
      <c r="Y279" s="383"/>
      <c r="Z279" s="383"/>
      <c r="AA279" s="383"/>
      <c r="AB279" s="383"/>
    </row>
    <row r="280" ht="16.5" customHeight="1">
      <c r="A280" s="465"/>
      <c r="B280" s="465"/>
      <c r="C280" s="383"/>
      <c r="D280" s="383"/>
      <c r="E280" s="383"/>
      <c r="F280" s="383"/>
      <c r="G280" s="383"/>
      <c r="H280" s="383"/>
      <c r="I280" s="383"/>
      <c r="J280" s="383"/>
      <c r="K280" s="383"/>
      <c r="L280" s="383"/>
      <c r="M280" s="383"/>
      <c r="N280" s="383"/>
      <c r="O280" s="383"/>
      <c r="P280" s="383"/>
      <c r="Q280" s="383"/>
      <c r="R280" s="383"/>
      <c r="S280" s="383"/>
      <c r="T280" s="383"/>
      <c r="U280" s="383"/>
      <c r="V280" s="383"/>
      <c r="W280" s="383"/>
      <c r="X280" s="383"/>
      <c r="Y280" s="383"/>
      <c r="Z280" s="383"/>
      <c r="AA280" s="383"/>
      <c r="AB280" s="383"/>
    </row>
    <row r="281" ht="16.5" customHeight="1">
      <c r="A281" s="465"/>
      <c r="B281" s="465"/>
      <c r="C281" s="383"/>
      <c r="D281" s="383"/>
      <c r="E281" s="383"/>
      <c r="F281" s="383"/>
      <c r="G281" s="383"/>
      <c r="H281" s="383"/>
      <c r="I281" s="383"/>
      <c r="J281" s="383"/>
      <c r="K281" s="383"/>
      <c r="L281" s="383"/>
      <c r="M281" s="383"/>
      <c r="N281" s="383"/>
      <c r="O281" s="383"/>
      <c r="P281" s="383"/>
      <c r="Q281" s="383"/>
      <c r="R281" s="383"/>
      <c r="S281" s="383"/>
      <c r="T281" s="383"/>
      <c r="U281" s="383"/>
      <c r="V281" s="383"/>
      <c r="W281" s="383"/>
      <c r="X281" s="383"/>
      <c r="Y281" s="383"/>
      <c r="Z281" s="383"/>
      <c r="AA281" s="383"/>
      <c r="AB281" s="383"/>
    </row>
    <row r="282" ht="16.5" customHeight="1">
      <c r="A282" s="465"/>
      <c r="B282" s="465"/>
      <c r="C282" s="383"/>
      <c r="D282" s="383"/>
      <c r="E282" s="383"/>
      <c r="F282" s="383"/>
      <c r="G282" s="383"/>
      <c r="H282" s="383"/>
      <c r="I282" s="383"/>
      <c r="J282" s="383"/>
      <c r="K282" s="383"/>
      <c r="L282" s="383"/>
      <c r="M282" s="383"/>
      <c r="N282" s="383"/>
      <c r="O282" s="383"/>
      <c r="P282" s="383"/>
      <c r="Q282" s="383"/>
      <c r="R282" s="383"/>
      <c r="S282" s="383"/>
      <c r="T282" s="383"/>
      <c r="U282" s="383"/>
      <c r="V282" s="383"/>
      <c r="W282" s="383"/>
      <c r="X282" s="383"/>
      <c r="Y282" s="383"/>
      <c r="Z282" s="383"/>
      <c r="AA282" s="383"/>
      <c r="AB282" s="383"/>
    </row>
    <row r="283" ht="16.5" customHeight="1">
      <c r="A283" s="465"/>
      <c r="B283" s="465"/>
      <c r="C283" s="383"/>
      <c r="D283" s="383"/>
      <c r="E283" s="383"/>
      <c r="F283" s="383"/>
      <c r="G283" s="383"/>
      <c r="H283" s="383"/>
      <c r="I283" s="383"/>
      <c r="J283" s="383"/>
      <c r="K283" s="383"/>
      <c r="L283" s="383"/>
      <c r="M283" s="383"/>
      <c r="N283" s="383"/>
      <c r="O283" s="383"/>
      <c r="P283" s="383"/>
      <c r="Q283" s="383"/>
      <c r="R283" s="383"/>
      <c r="S283" s="383"/>
      <c r="T283" s="383"/>
      <c r="U283" s="383"/>
      <c r="V283" s="383"/>
      <c r="W283" s="383"/>
      <c r="X283" s="383"/>
      <c r="Y283" s="383"/>
      <c r="Z283" s="383"/>
      <c r="AA283" s="383"/>
      <c r="AB283" s="383"/>
    </row>
    <row r="284" ht="16.5" customHeight="1">
      <c r="A284" s="465"/>
      <c r="B284" s="465"/>
      <c r="C284" s="383"/>
      <c r="D284" s="383"/>
      <c r="E284" s="383"/>
      <c r="F284" s="383"/>
      <c r="G284" s="383"/>
      <c r="H284" s="383"/>
      <c r="I284" s="383"/>
      <c r="J284" s="383"/>
      <c r="K284" s="383"/>
      <c r="L284" s="383"/>
      <c r="M284" s="383"/>
      <c r="N284" s="383"/>
      <c r="O284" s="383"/>
      <c r="P284" s="383"/>
      <c r="Q284" s="383"/>
      <c r="R284" s="383"/>
      <c r="S284" s="383"/>
      <c r="T284" s="383"/>
      <c r="U284" s="383"/>
      <c r="V284" s="383"/>
      <c r="W284" s="383"/>
      <c r="X284" s="383"/>
      <c r="Y284" s="383"/>
      <c r="Z284" s="383"/>
      <c r="AA284" s="383"/>
      <c r="AB284" s="383"/>
    </row>
    <row r="285" ht="16.5" customHeight="1">
      <c r="A285" s="465"/>
      <c r="B285" s="465"/>
      <c r="C285" s="383"/>
      <c r="D285" s="383"/>
      <c r="E285" s="383"/>
      <c r="F285" s="383"/>
      <c r="G285" s="383"/>
      <c r="H285" s="383"/>
      <c r="I285" s="383"/>
      <c r="J285" s="383"/>
      <c r="K285" s="383"/>
      <c r="L285" s="383"/>
      <c r="M285" s="383"/>
      <c r="N285" s="383"/>
      <c r="O285" s="383"/>
      <c r="P285" s="383"/>
      <c r="Q285" s="383"/>
      <c r="R285" s="383"/>
      <c r="S285" s="383"/>
      <c r="T285" s="383"/>
      <c r="U285" s="383"/>
      <c r="V285" s="383"/>
      <c r="W285" s="383"/>
      <c r="X285" s="383"/>
      <c r="Y285" s="383"/>
      <c r="Z285" s="383"/>
      <c r="AA285" s="383"/>
      <c r="AB285" s="383"/>
    </row>
    <row r="286" ht="16.5" customHeight="1">
      <c r="A286" s="465"/>
      <c r="B286" s="465"/>
      <c r="C286" s="383"/>
      <c r="D286" s="383"/>
      <c r="E286" s="383"/>
      <c r="F286" s="383"/>
      <c r="G286" s="383"/>
      <c r="H286" s="383"/>
      <c r="I286" s="383"/>
      <c r="J286" s="383"/>
      <c r="K286" s="383"/>
      <c r="L286" s="383"/>
      <c r="M286" s="383"/>
      <c r="N286" s="383"/>
      <c r="O286" s="383"/>
      <c r="P286" s="383"/>
      <c r="Q286" s="383"/>
      <c r="R286" s="383"/>
      <c r="S286" s="383"/>
      <c r="T286" s="383"/>
      <c r="U286" s="383"/>
      <c r="V286" s="383"/>
      <c r="W286" s="383"/>
      <c r="X286" s="383"/>
      <c r="Y286" s="383"/>
      <c r="Z286" s="383"/>
      <c r="AA286" s="383"/>
      <c r="AB286" s="383"/>
    </row>
    <row r="287" ht="16.5" customHeight="1">
      <c r="A287" s="465"/>
      <c r="B287" s="465"/>
      <c r="C287" s="383"/>
      <c r="D287" s="383"/>
      <c r="E287" s="383"/>
      <c r="F287" s="383"/>
      <c r="G287" s="383"/>
      <c r="H287" s="383"/>
      <c r="I287" s="383"/>
      <c r="J287" s="383"/>
      <c r="K287" s="383"/>
      <c r="L287" s="383"/>
      <c r="M287" s="383"/>
      <c r="N287" s="383"/>
      <c r="O287" s="383"/>
      <c r="P287" s="383"/>
      <c r="Q287" s="383"/>
      <c r="R287" s="383"/>
      <c r="S287" s="383"/>
      <c r="T287" s="383"/>
      <c r="U287" s="383"/>
      <c r="V287" s="383"/>
      <c r="W287" s="383"/>
      <c r="X287" s="383"/>
      <c r="Y287" s="383"/>
      <c r="Z287" s="383"/>
      <c r="AA287" s="383"/>
      <c r="AB287" s="383"/>
    </row>
    <row r="288" ht="16.5" customHeight="1">
      <c r="A288" s="465"/>
      <c r="B288" s="465"/>
      <c r="C288" s="383"/>
      <c r="D288" s="383"/>
      <c r="E288" s="383"/>
      <c r="F288" s="383"/>
      <c r="G288" s="383"/>
      <c r="H288" s="383"/>
      <c r="I288" s="383"/>
      <c r="J288" s="383"/>
      <c r="K288" s="383"/>
      <c r="L288" s="383"/>
      <c r="M288" s="383"/>
      <c r="N288" s="383"/>
      <c r="O288" s="383"/>
      <c r="P288" s="383"/>
      <c r="Q288" s="383"/>
      <c r="R288" s="383"/>
      <c r="S288" s="383"/>
      <c r="T288" s="383"/>
      <c r="U288" s="383"/>
      <c r="V288" s="383"/>
      <c r="W288" s="383"/>
      <c r="X288" s="383"/>
      <c r="Y288" s="383"/>
      <c r="Z288" s="383"/>
      <c r="AA288" s="383"/>
      <c r="AB288" s="383"/>
    </row>
    <row r="289" ht="16.5" customHeight="1">
      <c r="A289" s="465"/>
      <c r="B289" s="465"/>
      <c r="C289" s="383"/>
      <c r="D289" s="383"/>
      <c r="E289" s="383"/>
      <c r="F289" s="383"/>
      <c r="G289" s="383"/>
      <c r="H289" s="383"/>
      <c r="I289" s="383"/>
      <c r="J289" s="383"/>
      <c r="K289" s="383"/>
      <c r="L289" s="383"/>
      <c r="M289" s="383"/>
      <c r="N289" s="383"/>
      <c r="O289" s="383"/>
      <c r="P289" s="383"/>
      <c r="Q289" s="383"/>
      <c r="R289" s="383"/>
      <c r="S289" s="383"/>
      <c r="T289" s="383"/>
      <c r="U289" s="383"/>
      <c r="V289" s="383"/>
      <c r="W289" s="383"/>
      <c r="X289" s="383"/>
      <c r="Y289" s="383"/>
      <c r="Z289" s="383"/>
      <c r="AA289" s="383"/>
      <c r="AB289" s="383"/>
    </row>
    <row r="290" ht="16.5" customHeight="1">
      <c r="A290" s="465"/>
      <c r="B290" s="465"/>
      <c r="C290" s="383"/>
      <c r="D290" s="383"/>
      <c r="E290" s="383"/>
      <c r="F290" s="383"/>
      <c r="G290" s="383"/>
      <c r="H290" s="383"/>
      <c r="I290" s="383"/>
      <c r="J290" s="383"/>
      <c r="K290" s="383"/>
      <c r="L290" s="383"/>
      <c r="M290" s="383"/>
      <c r="N290" s="383"/>
      <c r="O290" s="383"/>
      <c r="P290" s="383"/>
      <c r="Q290" s="383"/>
      <c r="R290" s="383"/>
      <c r="S290" s="383"/>
      <c r="T290" s="383"/>
      <c r="U290" s="383"/>
      <c r="V290" s="383"/>
      <c r="W290" s="383"/>
      <c r="X290" s="383"/>
      <c r="Y290" s="383"/>
      <c r="Z290" s="383"/>
      <c r="AA290" s="383"/>
      <c r="AB290" s="383"/>
    </row>
    <row r="291" ht="16.5" customHeight="1">
      <c r="A291" s="465"/>
      <c r="B291" s="465"/>
      <c r="C291" s="383"/>
      <c r="D291" s="383"/>
      <c r="E291" s="383"/>
      <c r="F291" s="383"/>
      <c r="G291" s="383"/>
      <c r="H291" s="383"/>
      <c r="I291" s="383"/>
      <c r="J291" s="383"/>
      <c r="K291" s="383"/>
      <c r="L291" s="383"/>
      <c r="M291" s="383"/>
      <c r="N291" s="383"/>
      <c r="O291" s="383"/>
      <c r="P291" s="383"/>
      <c r="Q291" s="383"/>
      <c r="R291" s="383"/>
      <c r="S291" s="383"/>
      <c r="T291" s="383"/>
      <c r="U291" s="383"/>
      <c r="V291" s="383"/>
      <c r="W291" s="383"/>
      <c r="X291" s="383"/>
      <c r="Y291" s="383"/>
      <c r="Z291" s="383"/>
      <c r="AA291" s="383"/>
      <c r="AB291" s="383"/>
    </row>
    <row r="292" ht="16.5" customHeight="1">
      <c r="A292" s="465"/>
      <c r="B292" s="465"/>
      <c r="C292" s="383"/>
      <c r="D292" s="383"/>
      <c r="E292" s="383"/>
      <c r="F292" s="383"/>
      <c r="G292" s="383"/>
      <c r="H292" s="383"/>
      <c r="I292" s="383"/>
      <c r="J292" s="383"/>
      <c r="K292" s="383"/>
      <c r="L292" s="383"/>
      <c r="M292" s="383"/>
      <c r="N292" s="383"/>
      <c r="O292" s="383"/>
      <c r="P292" s="383"/>
      <c r="Q292" s="383"/>
      <c r="R292" s="383"/>
      <c r="S292" s="383"/>
      <c r="T292" s="383"/>
      <c r="U292" s="383"/>
      <c r="V292" s="383"/>
      <c r="W292" s="383"/>
      <c r="X292" s="383"/>
      <c r="Y292" s="383"/>
      <c r="Z292" s="383"/>
      <c r="AA292" s="383"/>
      <c r="AB292" s="383"/>
    </row>
    <row r="293" ht="16.5" customHeight="1">
      <c r="A293" s="465"/>
      <c r="B293" s="465"/>
      <c r="C293" s="383"/>
      <c r="D293" s="383"/>
      <c r="E293" s="383"/>
      <c r="F293" s="383"/>
      <c r="G293" s="383"/>
      <c r="H293" s="383"/>
      <c r="I293" s="383"/>
      <c r="J293" s="383"/>
      <c r="K293" s="383"/>
      <c r="L293" s="383"/>
      <c r="M293" s="383"/>
      <c r="N293" s="383"/>
      <c r="O293" s="383"/>
      <c r="P293" s="383"/>
      <c r="Q293" s="383"/>
      <c r="R293" s="383"/>
      <c r="S293" s="383"/>
      <c r="T293" s="383"/>
      <c r="U293" s="383"/>
      <c r="V293" s="383"/>
      <c r="W293" s="383"/>
      <c r="X293" s="383"/>
      <c r="Y293" s="383"/>
      <c r="Z293" s="383"/>
      <c r="AA293" s="383"/>
      <c r="AB293" s="383"/>
    </row>
    <row r="294" ht="16.5" customHeight="1">
      <c r="A294" s="465"/>
      <c r="B294" s="465"/>
      <c r="C294" s="383"/>
      <c r="D294" s="383"/>
      <c r="E294" s="383"/>
      <c r="F294" s="383"/>
      <c r="G294" s="383"/>
      <c r="H294" s="383"/>
      <c r="I294" s="383"/>
      <c r="J294" s="383"/>
      <c r="K294" s="383"/>
      <c r="L294" s="383"/>
      <c r="M294" s="383"/>
      <c r="N294" s="383"/>
      <c r="O294" s="383"/>
      <c r="P294" s="383"/>
      <c r="Q294" s="383"/>
      <c r="R294" s="383"/>
      <c r="S294" s="383"/>
      <c r="T294" s="383"/>
      <c r="U294" s="383"/>
      <c r="V294" s="383"/>
      <c r="W294" s="383"/>
      <c r="X294" s="383"/>
      <c r="Y294" s="383"/>
      <c r="Z294" s="383"/>
      <c r="AA294" s="383"/>
      <c r="AB294" s="383"/>
    </row>
    <row r="295" ht="16.5" customHeight="1">
      <c r="A295" s="465"/>
      <c r="B295" s="465"/>
      <c r="C295" s="383"/>
      <c r="D295" s="383"/>
      <c r="E295" s="383"/>
      <c r="F295" s="383"/>
      <c r="G295" s="383"/>
      <c r="H295" s="383"/>
      <c r="I295" s="383"/>
      <c r="J295" s="383"/>
      <c r="K295" s="383"/>
      <c r="L295" s="383"/>
      <c r="M295" s="383"/>
      <c r="N295" s="383"/>
      <c r="O295" s="383"/>
      <c r="P295" s="383"/>
      <c r="Q295" s="383"/>
      <c r="R295" s="383"/>
      <c r="S295" s="383"/>
      <c r="T295" s="383"/>
      <c r="U295" s="383"/>
      <c r="V295" s="383"/>
      <c r="W295" s="383"/>
      <c r="X295" s="383"/>
      <c r="Y295" s="383"/>
      <c r="Z295" s="383"/>
      <c r="AA295" s="383"/>
      <c r="AB295" s="383"/>
    </row>
    <row r="296" ht="16.5" customHeight="1">
      <c r="A296" s="465"/>
      <c r="B296" s="465"/>
      <c r="C296" s="383"/>
      <c r="D296" s="383"/>
      <c r="E296" s="383"/>
      <c r="F296" s="383"/>
      <c r="G296" s="383"/>
      <c r="H296" s="383"/>
      <c r="I296" s="383"/>
      <c r="J296" s="383"/>
      <c r="K296" s="383"/>
      <c r="L296" s="383"/>
      <c r="M296" s="383"/>
      <c r="N296" s="383"/>
      <c r="O296" s="383"/>
      <c r="P296" s="383"/>
      <c r="Q296" s="383"/>
      <c r="R296" s="383"/>
      <c r="S296" s="383"/>
      <c r="T296" s="383"/>
      <c r="U296" s="383"/>
      <c r="V296" s="383"/>
      <c r="W296" s="383"/>
      <c r="X296" s="383"/>
      <c r="Y296" s="383"/>
      <c r="Z296" s="383"/>
      <c r="AA296" s="383"/>
      <c r="AB296" s="383"/>
    </row>
    <row r="297" ht="16.5" customHeight="1">
      <c r="A297" s="465"/>
      <c r="B297" s="465"/>
      <c r="C297" s="383"/>
      <c r="D297" s="383"/>
      <c r="E297" s="383"/>
      <c r="F297" s="383"/>
      <c r="G297" s="383"/>
      <c r="H297" s="383"/>
      <c r="I297" s="383"/>
      <c r="J297" s="383"/>
      <c r="K297" s="383"/>
      <c r="L297" s="383"/>
      <c r="M297" s="383"/>
      <c r="N297" s="383"/>
      <c r="O297" s="383"/>
      <c r="P297" s="383"/>
      <c r="Q297" s="383"/>
      <c r="R297" s="383"/>
      <c r="S297" s="383"/>
      <c r="T297" s="383"/>
      <c r="U297" s="383"/>
      <c r="V297" s="383"/>
      <c r="W297" s="383"/>
      <c r="X297" s="383"/>
      <c r="Y297" s="383"/>
      <c r="Z297" s="383"/>
      <c r="AA297" s="383"/>
      <c r="AB297" s="383"/>
    </row>
    <row r="298" ht="16.5" customHeight="1">
      <c r="A298" s="465"/>
      <c r="B298" s="465"/>
      <c r="C298" s="383"/>
      <c r="D298" s="383"/>
      <c r="E298" s="383"/>
      <c r="F298" s="383"/>
      <c r="G298" s="383"/>
      <c r="H298" s="383"/>
      <c r="I298" s="383"/>
      <c r="J298" s="383"/>
      <c r="K298" s="383"/>
      <c r="L298" s="383"/>
      <c r="M298" s="383"/>
      <c r="N298" s="383"/>
      <c r="O298" s="383"/>
      <c r="P298" s="383"/>
      <c r="Q298" s="383"/>
      <c r="R298" s="383"/>
      <c r="S298" s="383"/>
      <c r="T298" s="383"/>
      <c r="U298" s="383"/>
      <c r="V298" s="383"/>
      <c r="W298" s="383"/>
      <c r="X298" s="383"/>
      <c r="Y298" s="383"/>
      <c r="Z298" s="383"/>
      <c r="AA298" s="383"/>
      <c r="AB298" s="383"/>
    </row>
    <row r="299" ht="16.5" customHeight="1">
      <c r="A299" s="465"/>
      <c r="B299" s="465"/>
      <c r="C299" s="383"/>
      <c r="D299" s="383"/>
      <c r="E299" s="383"/>
      <c r="F299" s="383"/>
      <c r="G299" s="383"/>
      <c r="H299" s="383"/>
      <c r="I299" s="383"/>
      <c r="J299" s="383"/>
      <c r="K299" s="383"/>
      <c r="L299" s="383"/>
      <c r="M299" s="383"/>
      <c r="N299" s="383"/>
      <c r="O299" s="383"/>
      <c r="P299" s="383"/>
      <c r="Q299" s="383"/>
      <c r="R299" s="383"/>
      <c r="S299" s="383"/>
      <c r="T299" s="383"/>
      <c r="U299" s="383"/>
      <c r="V299" s="383"/>
      <c r="W299" s="383"/>
      <c r="X299" s="383"/>
      <c r="Y299" s="383"/>
      <c r="Z299" s="383"/>
      <c r="AA299" s="383"/>
      <c r="AB299" s="383"/>
    </row>
    <row r="300" ht="16.5" customHeight="1">
      <c r="A300" s="465"/>
      <c r="B300" s="465"/>
      <c r="C300" s="383"/>
      <c r="D300" s="383"/>
      <c r="E300" s="383"/>
      <c r="F300" s="383"/>
      <c r="G300" s="383"/>
      <c r="H300" s="383"/>
      <c r="I300" s="383"/>
      <c r="J300" s="383"/>
      <c r="K300" s="383"/>
      <c r="L300" s="383"/>
      <c r="M300" s="383"/>
      <c r="N300" s="383"/>
      <c r="O300" s="383"/>
      <c r="P300" s="383"/>
      <c r="Q300" s="383"/>
      <c r="R300" s="383"/>
      <c r="S300" s="383"/>
      <c r="T300" s="383"/>
      <c r="U300" s="383"/>
      <c r="V300" s="383"/>
      <c r="W300" s="383"/>
      <c r="X300" s="383"/>
      <c r="Y300" s="383"/>
      <c r="Z300" s="383"/>
      <c r="AA300" s="383"/>
      <c r="AB300" s="383"/>
    </row>
    <row r="301" ht="16.5" customHeight="1">
      <c r="A301" s="465"/>
      <c r="B301" s="465"/>
      <c r="C301" s="383"/>
      <c r="D301" s="383"/>
      <c r="E301" s="383"/>
      <c r="F301" s="383"/>
      <c r="G301" s="383"/>
      <c r="H301" s="383"/>
      <c r="I301" s="383"/>
      <c r="J301" s="383"/>
      <c r="K301" s="383"/>
      <c r="L301" s="383"/>
      <c r="M301" s="383"/>
      <c r="N301" s="383"/>
      <c r="O301" s="383"/>
      <c r="P301" s="383"/>
      <c r="Q301" s="383"/>
      <c r="R301" s="383"/>
      <c r="S301" s="383"/>
      <c r="T301" s="383"/>
      <c r="U301" s="383"/>
      <c r="V301" s="383"/>
      <c r="W301" s="383"/>
      <c r="X301" s="383"/>
      <c r="Y301" s="383"/>
      <c r="Z301" s="383"/>
      <c r="AA301" s="383"/>
      <c r="AB301" s="383"/>
    </row>
    <row r="302" ht="16.5" customHeight="1">
      <c r="A302" s="465"/>
      <c r="B302" s="465"/>
      <c r="C302" s="383"/>
      <c r="D302" s="383"/>
      <c r="E302" s="383"/>
      <c r="F302" s="383"/>
      <c r="G302" s="383"/>
      <c r="H302" s="383"/>
      <c r="I302" s="383"/>
      <c r="J302" s="383"/>
      <c r="K302" s="383"/>
      <c r="L302" s="383"/>
      <c r="M302" s="383"/>
      <c r="N302" s="383"/>
      <c r="O302" s="383"/>
      <c r="P302" s="383"/>
      <c r="Q302" s="383"/>
      <c r="R302" s="383"/>
      <c r="S302" s="383"/>
      <c r="T302" s="383"/>
      <c r="U302" s="383"/>
      <c r="V302" s="383"/>
      <c r="W302" s="383"/>
      <c r="X302" s="383"/>
      <c r="Y302" s="383"/>
      <c r="Z302" s="383"/>
      <c r="AA302" s="383"/>
      <c r="AB302" s="383"/>
    </row>
    <row r="303" ht="16.5" customHeight="1">
      <c r="A303" s="465"/>
      <c r="B303" s="465"/>
      <c r="C303" s="383"/>
      <c r="D303" s="383"/>
      <c r="E303" s="383"/>
      <c r="F303" s="383"/>
      <c r="G303" s="383"/>
      <c r="H303" s="383"/>
      <c r="I303" s="383"/>
      <c r="J303" s="383"/>
      <c r="K303" s="383"/>
      <c r="L303" s="383"/>
      <c r="M303" s="383"/>
      <c r="N303" s="383"/>
      <c r="O303" s="383"/>
      <c r="P303" s="383"/>
      <c r="Q303" s="383"/>
      <c r="R303" s="383"/>
      <c r="S303" s="383"/>
      <c r="T303" s="383"/>
      <c r="U303" s="383"/>
      <c r="V303" s="383"/>
      <c r="W303" s="383"/>
      <c r="X303" s="383"/>
      <c r="Y303" s="383"/>
      <c r="Z303" s="383"/>
      <c r="AA303" s="383"/>
      <c r="AB303" s="383"/>
    </row>
    <row r="304" ht="16.5" customHeight="1">
      <c r="A304" s="465"/>
      <c r="B304" s="465"/>
      <c r="C304" s="383"/>
      <c r="D304" s="383"/>
      <c r="E304" s="383"/>
      <c r="F304" s="383"/>
      <c r="G304" s="383"/>
      <c r="H304" s="383"/>
      <c r="I304" s="383"/>
      <c r="J304" s="383"/>
      <c r="K304" s="383"/>
      <c r="L304" s="383"/>
      <c r="M304" s="383"/>
      <c r="N304" s="383"/>
      <c r="O304" s="383"/>
      <c r="P304" s="383"/>
      <c r="Q304" s="383"/>
      <c r="R304" s="383"/>
      <c r="S304" s="383"/>
      <c r="T304" s="383"/>
      <c r="U304" s="383"/>
      <c r="V304" s="383"/>
      <c r="W304" s="383"/>
      <c r="X304" s="383"/>
      <c r="Y304" s="383"/>
      <c r="Z304" s="383"/>
      <c r="AA304" s="383"/>
      <c r="AB304" s="383"/>
    </row>
    <row r="305" ht="16.5" customHeight="1">
      <c r="A305" s="465"/>
      <c r="B305" s="465"/>
      <c r="C305" s="383"/>
      <c r="D305" s="383"/>
      <c r="E305" s="383"/>
      <c r="F305" s="383"/>
      <c r="G305" s="383"/>
      <c r="H305" s="383"/>
      <c r="I305" s="383"/>
      <c r="J305" s="383"/>
      <c r="K305" s="383"/>
      <c r="L305" s="383"/>
      <c r="M305" s="383"/>
      <c r="N305" s="383"/>
      <c r="O305" s="383"/>
      <c r="P305" s="383"/>
      <c r="Q305" s="383"/>
      <c r="R305" s="383"/>
      <c r="S305" s="383"/>
      <c r="T305" s="383"/>
      <c r="U305" s="383"/>
      <c r="V305" s="383"/>
      <c r="W305" s="383"/>
      <c r="X305" s="383"/>
      <c r="Y305" s="383"/>
      <c r="Z305" s="383"/>
      <c r="AA305" s="383"/>
      <c r="AB305" s="383"/>
    </row>
    <row r="306" ht="16.5" customHeight="1">
      <c r="A306" s="465"/>
      <c r="B306" s="465"/>
      <c r="C306" s="383"/>
      <c r="D306" s="383"/>
      <c r="E306" s="383"/>
      <c r="F306" s="383"/>
      <c r="G306" s="383"/>
      <c r="H306" s="383"/>
      <c r="I306" s="383"/>
      <c r="J306" s="383"/>
      <c r="K306" s="383"/>
      <c r="L306" s="383"/>
      <c r="M306" s="383"/>
      <c r="N306" s="383"/>
      <c r="O306" s="383"/>
      <c r="P306" s="383"/>
      <c r="Q306" s="383"/>
      <c r="R306" s="383"/>
      <c r="S306" s="383"/>
      <c r="T306" s="383"/>
      <c r="U306" s="383"/>
      <c r="V306" s="383"/>
      <c r="W306" s="383"/>
      <c r="X306" s="383"/>
      <c r="Y306" s="383"/>
      <c r="Z306" s="383"/>
      <c r="AA306" s="383"/>
      <c r="AB306" s="383"/>
    </row>
    <row r="307" ht="16.5" customHeight="1">
      <c r="A307" s="465"/>
      <c r="B307" s="465"/>
      <c r="C307" s="383"/>
      <c r="D307" s="383"/>
      <c r="E307" s="383"/>
      <c r="F307" s="383"/>
      <c r="G307" s="383"/>
      <c r="H307" s="383"/>
      <c r="I307" s="383"/>
      <c r="J307" s="383"/>
      <c r="K307" s="383"/>
      <c r="L307" s="383"/>
      <c r="M307" s="383"/>
      <c r="N307" s="383"/>
      <c r="O307" s="383"/>
      <c r="P307" s="383"/>
      <c r="Q307" s="383"/>
      <c r="R307" s="383"/>
      <c r="S307" s="383"/>
      <c r="T307" s="383"/>
      <c r="U307" s="383"/>
      <c r="V307" s="383"/>
      <c r="W307" s="383"/>
      <c r="X307" s="383"/>
      <c r="Y307" s="383"/>
      <c r="Z307" s="383"/>
      <c r="AA307" s="383"/>
      <c r="AB307" s="383"/>
    </row>
    <row r="308" ht="16.5" customHeight="1">
      <c r="A308" s="465"/>
      <c r="B308" s="465"/>
      <c r="C308" s="383"/>
      <c r="D308" s="383"/>
      <c r="E308" s="383"/>
      <c r="F308" s="383"/>
      <c r="G308" s="383"/>
      <c r="H308" s="383"/>
      <c r="I308" s="383"/>
      <c r="J308" s="383"/>
      <c r="K308" s="383"/>
      <c r="L308" s="383"/>
      <c r="M308" s="383"/>
      <c r="N308" s="383"/>
      <c r="O308" s="383"/>
      <c r="P308" s="383"/>
      <c r="Q308" s="383"/>
      <c r="R308" s="383"/>
      <c r="S308" s="383"/>
      <c r="T308" s="383"/>
      <c r="U308" s="383"/>
      <c r="V308" s="383"/>
      <c r="W308" s="383"/>
      <c r="X308" s="383"/>
      <c r="Y308" s="383"/>
      <c r="Z308" s="383"/>
      <c r="AA308" s="383"/>
      <c r="AB308" s="383"/>
    </row>
    <row r="309" ht="16.5" customHeight="1">
      <c r="A309" s="465"/>
      <c r="B309" s="465"/>
      <c r="C309" s="383"/>
      <c r="D309" s="383"/>
      <c r="E309" s="383"/>
      <c r="F309" s="383"/>
      <c r="G309" s="383"/>
      <c r="H309" s="383"/>
      <c r="I309" s="383"/>
      <c r="J309" s="383"/>
      <c r="K309" s="383"/>
      <c r="L309" s="383"/>
      <c r="M309" s="383"/>
      <c r="N309" s="383"/>
      <c r="O309" s="383"/>
      <c r="P309" s="383"/>
      <c r="Q309" s="383"/>
      <c r="R309" s="383"/>
      <c r="S309" s="383"/>
      <c r="T309" s="383"/>
      <c r="U309" s="383"/>
      <c r="V309" s="383"/>
      <c r="W309" s="383"/>
      <c r="X309" s="383"/>
      <c r="Y309" s="383"/>
      <c r="Z309" s="383"/>
      <c r="AA309" s="383"/>
      <c r="AB309" s="383"/>
    </row>
    <row r="310" ht="16.5" customHeight="1">
      <c r="A310" s="465"/>
      <c r="B310" s="465"/>
      <c r="C310" s="383"/>
      <c r="D310" s="383"/>
      <c r="E310" s="383"/>
      <c r="F310" s="383"/>
      <c r="G310" s="383"/>
      <c r="H310" s="383"/>
      <c r="I310" s="383"/>
      <c r="J310" s="383"/>
      <c r="K310" s="383"/>
      <c r="L310" s="383"/>
      <c r="M310" s="383"/>
      <c r="N310" s="383"/>
      <c r="O310" s="383"/>
      <c r="P310" s="383"/>
      <c r="Q310" s="383"/>
      <c r="R310" s="383"/>
      <c r="S310" s="383"/>
      <c r="T310" s="383"/>
      <c r="U310" s="383"/>
      <c r="V310" s="383"/>
      <c r="W310" s="383"/>
      <c r="X310" s="383"/>
      <c r="Y310" s="383"/>
      <c r="Z310" s="383"/>
      <c r="AA310" s="383"/>
      <c r="AB310" s="383"/>
    </row>
    <row r="311" ht="16.5" customHeight="1">
      <c r="A311" s="465"/>
      <c r="B311" s="465"/>
      <c r="C311" s="383"/>
      <c r="D311" s="383"/>
      <c r="E311" s="383"/>
      <c r="F311" s="383"/>
      <c r="G311" s="383"/>
      <c r="H311" s="383"/>
      <c r="I311" s="383"/>
      <c r="J311" s="383"/>
      <c r="K311" s="383"/>
      <c r="L311" s="383"/>
      <c r="M311" s="383"/>
      <c r="N311" s="383"/>
      <c r="O311" s="383"/>
      <c r="P311" s="383"/>
      <c r="Q311" s="383"/>
      <c r="R311" s="383"/>
      <c r="S311" s="383"/>
      <c r="T311" s="383"/>
      <c r="U311" s="383"/>
      <c r="V311" s="383"/>
      <c r="W311" s="383"/>
      <c r="X311" s="383"/>
      <c r="Y311" s="383"/>
      <c r="Z311" s="383"/>
      <c r="AA311" s="383"/>
      <c r="AB311" s="383"/>
    </row>
    <row r="312" ht="16.5" customHeight="1">
      <c r="A312" s="465"/>
      <c r="B312" s="465"/>
      <c r="C312" s="383"/>
      <c r="D312" s="383"/>
      <c r="E312" s="383"/>
      <c r="F312" s="383"/>
      <c r="G312" s="383"/>
      <c r="H312" s="383"/>
      <c r="I312" s="383"/>
      <c r="J312" s="383"/>
      <c r="K312" s="383"/>
      <c r="L312" s="383"/>
      <c r="M312" s="383"/>
      <c r="N312" s="383"/>
      <c r="O312" s="383"/>
      <c r="P312" s="383"/>
      <c r="Q312" s="383"/>
      <c r="R312" s="383"/>
      <c r="S312" s="383"/>
      <c r="T312" s="383"/>
      <c r="U312" s="383"/>
      <c r="V312" s="383"/>
      <c r="W312" s="383"/>
      <c r="X312" s="383"/>
      <c r="Y312" s="383"/>
      <c r="Z312" s="383"/>
      <c r="AA312" s="383"/>
      <c r="AB312" s="383"/>
    </row>
    <row r="313" ht="16.5" customHeight="1">
      <c r="A313" s="465"/>
      <c r="B313" s="465"/>
      <c r="C313" s="383"/>
      <c r="D313" s="383"/>
      <c r="E313" s="383"/>
      <c r="F313" s="383"/>
      <c r="G313" s="383"/>
      <c r="H313" s="383"/>
      <c r="I313" s="383"/>
      <c r="J313" s="383"/>
      <c r="K313" s="383"/>
      <c r="L313" s="383"/>
      <c r="M313" s="383"/>
      <c r="N313" s="383"/>
      <c r="O313" s="383"/>
      <c r="P313" s="383"/>
      <c r="Q313" s="383"/>
      <c r="R313" s="383"/>
      <c r="S313" s="383"/>
      <c r="T313" s="383"/>
      <c r="U313" s="383"/>
      <c r="V313" s="383"/>
      <c r="W313" s="383"/>
      <c r="X313" s="383"/>
      <c r="Y313" s="383"/>
      <c r="Z313" s="383"/>
      <c r="AA313" s="383"/>
      <c r="AB313" s="383"/>
    </row>
    <row r="314" ht="16.5" customHeight="1">
      <c r="A314" s="465"/>
      <c r="B314" s="465"/>
      <c r="C314" s="383"/>
      <c r="D314" s="383"/>
      <c r="E314" s="383"/>
      <c r="F314" s="383"/>
      <c r="G314" s="383"/>
      <c r="H314" s="383"/>
      <c r="I314" s="383"/>
      <c r="J314" s="383"/>
      <c r="K314" s="383"/>
      <c r="L314" s="383"/>
      <c r="M314" s="383"/>
      <c r="N314" s="383"/>
      <c r="O314" s="383"/>
      <c r="P314" s="383"/>
      <c r="Q314" s="383"/>
      <c r="R314" s="383"/>
      <c r="S314" s="383"/>
      <c r="T314" s="383"/>
      <c r="U314" s="383"/>
      <c r="V314" s="383"/>
      <c r="W314" s="383"/>
      <c r="X314" s="383"/>
      <c r="Y314" s="383"/>
      <c r="Z314" s="383"/>
      <c r="AA314" s="383"/>
      <c r="AB314" s="383"/>
    </row>
    <row r="315" ht="16.5" customHeight="1">
      <c r="A315" s="465"/>
      <c r="B315" s="465"/>
      <c r="C315" s="383"/>
      <c r="D315" s="383"/>
      <c r="E315" s="383"/>
      <c r="F315" s="383"/>
      <c r="G315" s="383"/>
      <c r="H315" s="383"/>
      <c r="I315" s="383"/>
      <c r="J315" s="383"/>
      <c r="K315" s="383"/>
      <c r="L315" s="383"/>
      <c r="M315" s="383"/>
      <c r="N315" s="383"/>
      <c r="O315" s="383"/>
      <c r="P315" s="383"/>
      <c r="Q315" s="383"/>
      <c r="R315" s="383"/>
      <c r="S315" s="383"/>
      <c r="T315" s="383"/>
      <c r="U315" s="383"/>
      <c r="V315" s="383"/>
      <c r="W315" s="383"/>
      <c r="X315" s="383"/>
      <c r="Y315" s="383"/>
      <c r="Z315" s="383"/>
      <c r="AA315" s="383"/>
      <c r="AB315" s="383"/>
    </row>
    <row r="316" ht="16.5" customHeight="1">
      <c r="A316" s="465"/>
      <c r="B316" s="465"/>
      <c r="C316" s="383"/>
      <c r="D316" s="383"/>
      <c r="E316" s="383"/>
      <c r="F316" s="383"/>
      <c r="G316" s="383"/>
      <c r="H316" s="383"/>
      <c r="I316" s="383"/>
      <c r="J316" s="383"/>
      <c r="K316" s="383"/>
      <c r="L316" s="383"/>
      <c r="M316" s="383"/>
      <c r="N316" s="383"/>
      <c r="O316" s="383"/>
      <c r="P316" s="383"/>
      <c r="Q316" s="383"/>
      <c r="R316" s="383"/>
      <c r="S316" s="383"/>
      <c r="T316" s="383"/>
      <c r="U316" s="383"/>
      <c r="V316" s="383"/>
      <c r="W316" s="383"/>
      <c r="X316" s="383"/>
      <c r="Y316" s="383"/>
      <c r="Z316" s="383"/>
      <c r="AA316" s="383"/>
      <c r="AB316" s="383"/>
    </row>
    <row r="317" ht="16.5" customHeight="1">
      <c r="A317" s="465"/>
      <c r="B317" s="465"/>
      <c r="C317" s="383"/>
      <c r="D317" s="383"/>
      <c r="E317" s="383"/>
      <c r="F317" s="383"/>
      <c r="G317" s="383"/>
      <c r="H317" s="383"/>
      <c r="I317" s="383"/>
      <c r="J317" s="383"/>
      <c r="K317" s="383"/>
      <c r="L317" s="383"/>
      <c r="M317" s="383"/>
      <c r="N317" s="383"/>
      <c r="O317" s="383"/>
      <c r="P317" s="383"/>
      <c r="Q317" s="383"/>
      <c r="R317" s="383"/>
      <c r="S317" s="383"/>
      <c r="T317" s="383"/>
      <c r="U317" s="383"/>
      <c r="V317" s="383"/>
      <c r="W317" s="383"/>
      <c r="X317" s="383"/>
      <c r="Y317" s="383"/>
      <c r="Z317" s="383"/>
      <c r="AA317" s="383"/>
      <c r="AB317" s="383"/>
    </row>
    <row r="318" ht="16.5" customHeight="1">
      <c r="A318" s="465"/>
      <c r="B318" s="465"/>
      <c r="C318" s="383"/>
      <c r="D318" s="383"/>
      <c r="E318" s="383"/>
      <c r="F318" s="383"/>
      <c r="G318" s="383"/>
      <c r="H318" s="383"/>
      <c r="I318" s="383"/>
      <c r="J318" s="383"/>
      <c r="K318" s="383"/>
      <c r="L318" s="383"/>
      <c r="M318" s="383"/>
      <c r="N318" s="383"/>
      <c r="O318" s="383"/>
      <c r="P318" s="383"/>
      <c r="Q318" s="383"/>
      <c r="R318" s="383"/>
      <c r="S318" s="383"/>
      <c r="T318" s="383"/>
      <c r="U318" s="383"/>
      <c r="V318" s="383"/>
      <c r="W318" s="383"/>
      <c r="X318" s="383"/>
      <c r="Y318" s="383"/>
      <c r="Z318" s="383"/>
      <c r="AA318" s="383"/>
      <c r="AB318" s="383"/>
    </row>
    <row r="319" ht="16.5" customHeight="1">
      <c r="A319" s="465"/>
      <c r="B319" s="465"/>
      <c r="C319" s="383"/>
      <c r="D319" s="383"/>
      <c r="E319" s="383"/>
      <c r="F319" s="383"/>
      <c r="G319" s="383"/>
      <c r="H319" s="383"/>
      <c r="I319" s="383"/>
      <c r="J319" s="383"/>
      <c r="K319" s="383"/>
      <c r="L319" s="383"/>
      <c r="M319" s="383"/>
      <c r="N319" s="383"/>
      <c r="O319" s="383"/>
      <c r="P319" s="383"/>
      <c r="Q319" s="383"/>
      <c r="R319" s="383"/>
      <c r="S319" s="383"/>
      <c r="T319" s="383"/>
      <c r="U319" s="383"/>
      <c r="V319" s="383"/>
      <c r="W319" s="383"/>
      <c r="X319" s="383"/>
      <c r="Y319" s="383"/>
      <c r="Z319" s="383"/>
      <c r="AA319" s="383"/>
      <c r="AB319" s="383"/>
    </row>
    <row r="320" ht="16.5" customHeight="1">
      <c r="A320" s="465"/>
      <c r="B320" s="465"/>
      <c r="C320" s="383"/>
      <c r="D320" s="383"/>
      <c r="E320" s="383"/>
      <c r="F320" s="383"/>
      <c r="G320" s="383"/>
      <c r="H320" s="383"/>
      <c r="I320" s="383"/>
      <c r="J320" s="383"/>
      <c r="K320" s="383"/>
      <c r="L320" s="383"/>
      <c r="M320" s="383"/>
      <c r="N320" s="383"/>
      <c r="O320" s="383"/>
      <c r="P320" s="383"/>
      <c r="Q320" s="383"/>
      <c r="R320" s="383"/>
      <c r="S320" s="383"/>
      <c r="T320" s="383"/>
      <c r="U320" s="383"/>
      <c r="V320" s="383"/>
      <c r="W320" s="383"/>
      <c r="X320" s="383"/>
      <c r="Y320" s="383"/>
      <c r="Z320" s="383"/>
      <c r="AA320" s="383"/>
      <c r="AB320" s="383"/>
    </row>
    <row r="321" ht="16.5" customHeight="1">
      <c r="A321" s="465"/>
      <c r="B321" s="465"/>
      <c r="C321" s="383"/>
      <c r="D321" s="383"/>
      <c r="E321" s="383"/>
      <c r="F321" s="383"/>
      <c r="G321" s="383"/>
      <c r="H321" s="383"/>
      <c r="I321" s="383"/>
      <c r="J321" s="383"/>
      <c r="K321" s="383"/>
      <c r="L321" s="383"/>
      <c r="M321" s="383"/>
      <c r="N321" s="383"/>
      <c r="O321" s="383"/>
      <c r="P321" s="383"/>
      <c r="Q321" s="383"/>
      <c r="R321" s="383"/>
      <c r="S321" s="383"/>
      <c r="T321" s="383"/>
      <c r="U321" s="383"/>
      <c r="V321" s="383"/>
      <c r="W321" s="383"/>
      <c r="X321" s="383"/>
      <c r="Y321" s="383"/>
      <c r="Z321" s="383"/>
      <c r="AA321" s="383"/>
      <c r="AB321" s="383"/>
    </row>
    <row r="322" ht="16.5" customHeight="1">
      <c r="A322" s="465"/>
      <c r="B322" s="465"/>
      <c r="C322" s="383"/>
      <c r="D322" s="383"/>
      <c r="E322" s="383"/>
      <c r="F322" s="383"/>
      <c r="G322" s="383"/>
      <c r="H322" s="383"/>
      <c r="I322" s="383"/>
      <c r="J322" s="383"/>
      <c r="K322" s="383"/>
      <c r="L322" s="383"/>
      <c r="M322" s="383"/>
      <c r="N322" s="383"/>
      <c r="O322" s="383"/>
      <c r="P322" s="383"/>
      <c r="Q322" s="383"/>
      <c r="R322" s="383"/>
      <c r="S322" s="383"/>
      <c r="T322" s="383"/>
      <c r="U322" s="383"/>
      <c r="V322" s="383"/>
      <c r="W322" s="383"/>
      <c r="X322" s="383"/>
      <c r="Y322" s="383"/>
      <c r="Z322" s="383"/>
      <c r="AA322" s="383"/>
      <c r="AB322" s="383"/>
    </row>
    <row r="323" ht="16.5" customHeight="1">
      <c r="A323" s="465"/>
      <c r="B323" s="465"/>
      <c r="C323" s="383"/>
      <c r="D323" s="383"/>
      <c r="E323" s="383"/>
      <c r="F323" s="383"/>
      <c r="G323" s="383"/>
      <c r="H323" s="383"/>
      <c r="I323" s="383"/>
      <c r="J323" s="383"/>
      <c r="K323" s="383"/>
      <c r="L323" s="383"/>
      <c r="M323" s="383"/>
      <c r="N323" s="383"/>
      <c r="O323" s="383"/>
      <c r="P323" s="383"/>
      <c r="Q323" s="383"/>
      <c r="R323" s="383"/>
      <c r="S323" s="383"/>
      <c r="T323" s="383"/>
      <c r="U323" s="383"/>
      <c r="V323" s="383"/>
      <c r="W323" s="383"/>
      <c r="X323" s="383"/>
      <c r="Y323" s="383"/>
      <c r="Z323" s="383"/>
      <c r="AA323" s="383"/>
      <c r="AB323" s="383"/>
    </row>
    <row r="324" ht="16.5" customHeight="1">
      <c r="A324" s="465"/>
      <c r="B324" s="465"/>
      <c r="C324" s="383"/>
      <c r="D324" s="383"/>
      <c r="E324" s="383"/>
      <c r="F324" s="383"/>
      <c r="G324" s="383"/>
      <c r="H324" s="383"/>
      <c r="I324" s="383"/>
      <c r="J324" s="383"/>
      <c r="K324" s="383"/>
      <c r="L324" s="383"/>
      <c r="M324" s="383"/>
      <c r="N324" s="383"/>
      <c r="O324" s="383"/>
      <c r="P324" s="383"/>
      <c r="Q324" s="383"/>
      <c r="R324" s="383"/>
      <c r="S324" s="383"/>
      <c r="T324" s="383"/>
      <c r="U324" s="383"/>
      <c r="V324" s="383"/>
      <c r="W324" s="383"/>
      <c r="X324" s="383"/>
      <c r="Y324" s="383"/>
      <c r="Z324" s="383"/>
      <c r="AA324" s="383"/>
      <c r="AB324" s="383"/>
    </row>
    <row r="325" ht="16.5" customHeight="1">
      <c r="A325" s="465"/>
      <c r="B325" s="465"/>
      <c r="C325" s="383"/>
      <c r="D325" s="383"/>
      <c r="E325" s="383"/>
      <c r="F325" s="383"/>
      <c r="G325" s="383"/>
      <c r="H325" s="383"/>
      <c r="I325" s="383"/>
      <c r="J325" s="383"/>
      <c r="K325" s="383"/>
      <c r="L325" s="383"/>
      <c r="M325" s="383"/>
      <c r="N325" s="383"/>
      <c r="O325" s="383"/>
      <c r="P325" s="383"/>
      <c r="Q325" s="383"/>
      <c r="R325" s="383"/>
      <c r="S325" s="383"/>
      <c r="T325" s="383"/>
      <c r="U325" s="383"/>
      <c r="V325" s="383"/>
      <c r="W325" s="383"/>
      <c r="X325" s="383"/>
      <c r="Y325" s="383"/>
      <c r="Z325" s="383"/>
      <c r="AA325" s="383"/>
      <c r="AB325" s="383"/>
    </row>
    <row r="326" ht="16.5" customHeight="1">
      <c r="A326" s="465"/>
      <c r="B326" s="465"/>
      <c r="C326" s="383"/>
      <c r="D326" s="383"/>
      <c r="E326" s="383"/>
      <c r="F326" s="383"/>
      <c r="G326" s="383"/>
      <c r="H326" s="383"/>
      <c r="I326" s="383"/>
      <c r="J326" s="383"/>
      <c r="K326" s="383"/>
      <c r="L326" s="383"/>
      <c r="M326" s="383"/>
      <c r="N326" s="383"/>
      <c r="O326" s="383"/>
      <c r="P326" s="383"/>
      <c r="Q326" s="383"/>
      <c r="R326" s="383"/>
      <c r="S326" s="383"/>
      <c r="T326" s="383"/>
      <c r="U326" s="383"/>
      <c r="V326" s="383"/>
      <c r="W326" s="383"/>
      <c r="X326" s="383"/>
      <c r="Y326" s="383"/>
      <c r="Z326" s="383"/>
      <c r="AA326" s="383"/>
      <c r="AB326" s="383"/>
    </row>
    <row r="327" ht="16.5" customHeight="1">
      <c r="A327" s="465"/>
      <c r="B327" s="465"/>
      <c r="C327" s="383"/>
      <c r="D327" s="383"/>
      <c r="E327" s="383"/>
      <c r="F327" s="383"/>
      <c r="G327" s="383"/>
      <c r="H327" s="383"/>
      <c r="I327" s="383"/>
      <c r="J327" s="383"/>
      <c r="K327" s="383"/>
      <c r="L327" s="383"/>
      <c r="M327" s="383"/>
      <c r="N327" s="383"/>
      <c r="O327" s="383"/>
      <c r="P327" s="383"/>
      <c r="Q327" s="383"/>
      <c r="R327" s="383"/>
      <c r="S327" s="383"/>
      <c r="T327" s="383"/>
      <c r="U327" s="383"/>
      <c r="V327" s="383"/>
      <c r="W327" s="383"/>
      <c r="X327" s="383"/>
      <c r="Y327" s="383"/>
      <c r="Z327" s="383"/>
      <c r="AA327" s="383"/>
      <c r="AB327" s="383"/>
    </row>
    <row r="328" ht="16.5" customHeight="1">
      <c r="A328" s="465"/>
      <c r="B328" s="465"/>
      <c r="C328" s="383"/>
      <c r="D328" s="383"/>
      <c r="E328" s="383"/>
      <c r="F328" s="383"/>
      <c r="G328" s="383"/>
      <c r="H328" s="383"/>
      <c r="I328" s="383"/>
      <c r="J328" s="383"/>
      <c r="K328" s="383"/>
      <c r="L328" s="383"/>
      <c r="M328" s="383"/>
      <c r="N328" s="383"/>
      <c r="O328" s="383"/>
      <c r="P328" s="383"/>
      <c r="Q328" s="383"/>
      <c r="R328" s="383"/>
      <c r="S328" s="383"/>
      <c r="T328" s="383"/>
      <c r="U328" s="383"/>
      <c r="V328" s="383"/>
      <c r="W328" s="383"/>
      <c r="X328" s="383"/>
      <c r="Y328" s="383"/>
      <c r="Z328" s="383"/>
      <c r="AA328" s="383"/>
      <c r="AB328" s="383"/>
    </row>
    <row r="329" ht="16.5" customHeight="1">
      <c r="A329" s="465"/>
      <c r="B329" s="465"/>
      <c r="C329" s="383"/>
      <c r="D329" s="383"/>
      <c r="E329" s="383"/>
      <c r="F329" s="383"/>
      <c r="G329" s="383"/>
      <c r="H329" s="383"/>
      <c r="I329" s="383"/>
      <c r="J329" s="383"/>
      <c r="K329" s="383"/>
      <c r="L329" s="383"/>
      <c r="M329" s="383"/>
      <c r="N329" s="383"/>
      <c r="O329" s="383"/>
      <c r="P329" s="383"/>
      <c r="Q329" s="383"/>
      <c r="R329" s="383"/>
      <c r="S329" s="383"/>
      <c r="T329" s="383"/>
      <c r="U329" s="383"/>
      <c r="V329" s="383"/>
      <c r="W329" s="383"/>
      <c r="X329" s="383"/>
      <c r="Y329" s="383"/>
      <c r="Z329" s="383"/>
      <c r="AA329" s="383"/>
      <c r="AB329" s="383"/>
    </row>
    <row r="330" ht="16.5" customHeight="1">
      <c r="A330" s="465"/>
      <c r="B330" s="465"/>
      <c r="C330" s="383"/>
      <c r="D330" s="383"/>
      <c r="E330" s="383"/>
      <c r="F330" s="383"/>
      <c r="G330" s="383"/>
      <c r="H330" s="383"/>
      <c r="I330" s="383"/>
      <c r="J330" s="383"/>
      <c r="K330" s="383"/>
      <c r="L330" s="383"/>
      <c r="M330" s="383"/>
      <c r="N330" s="383"/>
      <c r="O330" s="383"/>
      <c r="P330" s="383"/>
      <c r="Q330" s="383"/>
      <c r="R330" s="383"/>
      <c r="S330" s="383"/>
      <c r="T330" s="383"/>
      <c r="U330" s="383"/>
      <c r="V330" s="383"/>
      <c r="W330" s="383"/>
      <c r="X330" s="383"/>
      <c r="Y330" s="383"/>
      <c r="Z330" s="383"/>
      <c r="AA330" s="383"/>
      <c r="AB330" s="383"/>
    </row>
    <row r="331" ht="16.5" customHeight="1">
      <c r="A331" s="465"/>
      <c r="B331" s="465"/>
      <c r="C331" s="383"/>
      <c r="D331" s="383"/>
      <c r="E331" s="383"/>
      <c r="F331" s="383"/>
      <c r="G331" s="383"/>
      <c r="H331" s="383"/>
      <c r="I331" s="383"/>
      <c r="J331" s="383"/>
      <c r="K331" s="383"/>
      <c r="L331" s="383"/>
      <c r="M331" s="383"/>
      <c r="N331" s="383"/>
      <c r="O331" s="383"/>
      <c r="P331" s="383"/>
      <c r="Q331" s="383"/>
      <c r="R331" s="383"/>
      <c r="S331" s="383"/>
      <c r="T331" s="383"/>
      <c r="U331" s="383"/>
      <c r="V331" s="383"/>
      <c r="W331" s="383"/>
      <c r="X331" s="383"/>
      <c r="Y331" s="383"/>
      <c r="Z331" s="383"/>
      <c r="AA331" s="383"/>
      <c r="AB331" s="383"/>
    </row>
    <row r="332" ht="16.5" customHeight="1">
      <c r="A332" s="465"/>
      <c r="B332" s="465"/>
      <c r="C332" s="383"/>
      <c r="D332" s="383"/>
      <c r="E332" s="383"/>
      <c r="F332" s="383"/>
      <c r="G332" s="383"/>
      <c r="H332" s="383"/>
      <c r="I332" s="383"/>
      <c r="J332" s="383"/>
      <c r="K332" s="383"/>
      <c r="L332" s="383"/>
      <c r="M332" s="383"/>
      <c r="N332" s="383"/>
      <c r="O332" s="383"/>
      <c r="P332" s="383"/>
      <c r="Q332" s="383"/>
      <c r="R332" s="383"/>
      <c r="S332" s="383"/>
      <c r="T332" s="383"/>
      <c r="U332" s="383"/>
      <c r="V332" s="383"/>
      <c r="W332" s="383"/>
      <c r="X332" s="383"/>
      <c r="Y332" s="383"/>
      <c r="Z332" s="383"/>
      <c r="AA332" s="383"/>
      <c r="AB332" s="383"/>
    </row>
    <row r="333" ht="16.5" customHeight="1">
      <c r="A333" s="465"/>
      <c r="B333" s="465"/>
      <c r="C333" s="383"/>
      <c r="D333" s="383"/>
      <c r="E333" s="383"/>
      <c r="F333" s="383"/>
      <c r="G333" s="383"/>
      <c r="H333" s="383"/>
      <c r="I333" s="383"/>
      <c r="J333" s="383"/>
      <c r="K333" s="383"/>
      <c r="L333" s="383"/>
      <c r="M333" s="383"/>
      <c r="N333" s="383"/>
      <c r="O333" s="383"/>
      <c r="P333" s="383"/>
      <c r="Q333" s="383"/>
      <c r="R333" s="383"/>
      <c r="S333" s="383"/>
      <c r="T333" s="383"/>
      <c r="U333" s="383"/>
      <c r="V333" s="383"/>
      <c r="W333" s="383"/>
      <c r="X333" s="383"/>
      <c r="Y333" s="383"/>
      <c r="Z333" s="383"/>
      <c r="AA333" s="383"/>
      <c r="AB333" s="383"/>
    </row>
    <row r="334" ht="16.5" customHeight="1">
      <c r="A334" s="465"/>
      <c r="B334" s="465"/>
      <c r="C334" s="383"/>
      <c r="D334" s="383"/>
      <c r="E334" s="383"/>
      <c r="F334" s="383"/>
      <c r="G334" s="383"/>
      <c r="H334" s="383"/>
      <c r="I334" s="383"/>
      <c r="J334" s="383"/>
      <c r="K334" s="383"/>
      <c r="L334" s="383"/>
      <c r="M334" s="383"/>
      <c r="N334" s="383"/>
      <c r="O334" s="383"/>
      <c r="P334" s="383"/>
      <c r="Q334" s="383"/>
      <c r="R334" s="383"/>
      <c r="S334" s="383"/>
      <c r="T334" s="383"/>
      <c r="U334" s="383"/>
      <c r="V334" s="383"/>
      <c r="W334" s="383"/>
      <c r="X334" s="383"/>
      <c r="Y334" s="383"/>
      <c r="Z334" s="383"/>
      <c r="AA334" s="383"/>
      <c r="AB334" s="383"/>
    </row>
    <row r="335" ht="16.5" customHeight="1">
      <c r="A335" s="465"/>
      <c r="B335" s="465"/>
      <c r="C335" s="383"/>
      <c r="D335" s="383"/>
      <c r="E335" s="383"/>
      <c r="F335" s="383"/>
      <c r="G335" s="383"/>
      <c r="H335" s="383"/>
      <c r="I335" s="383"/>
      <c r="J335" s="383"/>
      <c r="K335" s="383"/>
      <c r="L335" s="383"/>
      <c r="M335" s="383"/>
      <c r="N335" s="383"/>
      <c r="O335" s="383"/>
      <c r="P335" s="383"/>
      <c r="Q335" s="383"/>
      <c r="R335" s="383"/>
      <c r="S335" s="383"/>
      <c r="T335" s="383"/>
      <c r="U335" s="383"/>
      <c r="V335" s="383"/>
      <c r="W335" s="383"/>
      <c r="X335" s="383"/>
      <c r="Y335" s="383"/>
      <c r="Z335" s="383"/>
      <c r="AA335" s="383"/>
      <c r="AB335" s="383"/>
    </row>
    <row r="336" ht="16.5" customHeight="1">
      <c r="A336" s="465"/>
      <c r="B336" s="465"/>
      <c r="C336" s="383"/>
      <c r="D336" s="383"/>
      <c r="E336" s="383"/>
      <c r="F336" s="383"/>
      <c r="G336" s="383"/>
      <c r="H336" s="383"/>
      <c r="I336" s="383"/>
      <c r="J336" s="383"/>
      <c r="K336" s="383"/>
      <c r="L336" s="383"/>
      <c r="M336" s="383"/>
      <c r="N336" s="383"/>
      <c r="O336" s="383"/>
      <c r="P336" s="383"/>
      <c r="Q336" s="383"/>
      <c r="R336" s="383"/>
      <c r="S336" s="383"/>
      <c r="T336" s="383"/>
      <c r="U336" s="383"/>
      <c r="V336" s="383"/>
      <c r="W336" s="383"/>
      <c r="X336" s="383"/>
      <c r="Y336" s="383"/>
      <c r="Z336" s="383"/>
      <c r="AA336" s="383"/>
      <c r="AB336" s="383"/>
    </row>
    <row r="337" ht="16.5" customHeight="1">
      <c r="A337" s="465"/>
      <c r="B337" s="465"/>
      <c r="C337" s="383"/>
      <c r="D337" s="383"/>
      <c r="E337" s="383"/>
      <c r="F337" s="383"/>
      <c r="G337" s="383"/>
      <c r="H337" s="383"/>
      <c r="I337" s="383"/>
      <c r="J337" s="383"/>
      <c r="K337" s="383"/>
      <c r="L337" s="383"/>
      <c r="M337" s="383"/>
      <c r="N337" s="383"/>
      <c r="O337" s="383"/>
      <c r="P337" s="383"/>
      <c r="Q337" s="383"/>
      <c r="R337" s="383"/>
      <c r="S337" s="383"/>
      <c r="T337" s="383"/>
      <c r="U337" s="383"/>
      <c r="V337" s="383"/>
      <c r="W337" s="383"/>
      <c r="X337" s="383"/>
      <c r="Y337" s="383"/>
      <c r="Z337" s="383"/>
      <c r="AA337" s="383"/>
      <c r="AB337" s="383"/>
    </row>
    <row r="338" ht="16.5" customHeight="1">
      <c r="A338" s="465"/>
      <c r="B338" s="465"/>
      <c r="C338" s="383"/>
      <c r="D338" s="383"/>
      <c r="E338" s="383"/>
      <c r="F338" s="383"/>
      <c r="G338" s="383"/>
      <c r="H338" s="383"/>
      <c r="I338" s="383"/>
      <c r="J338" s="383"/>
      <c r="K338" s="383"/>
      <c r="L338" s="383"/>
      <c r="M338" s="383"/>
      <c r="N338" s="383"/>
      <c r="O338" s="383"/>
      <c r="P338" s="383"/>
      <c r="Q338" s="383"/>
      <c r="R338" s="383"/>
      <c r="S338" s="383"/>
      <c r="T338" s="383"/>
      <c r="U338" s="383"/>
      <c r="V338" s="383"/>
      <c r="W338" s="383"/>
      <c r="X338" s="383"/>
      <c r="Y338" s="383"/>
      <c r="Z338" s="383"/>
      <c r="AA338" s="383"/>
      <c r="AB338" s="383"/>
    </row>
    <row r="339" ht="16.5" customHeight="1">
      <c r="A339" s="465"/>
      <c r="B339" s="465"/>
      <c r="C339" s="383"/>
      <c r="D339" s="383"/>
      <c r="E339" s="383"/>
      <c r="F339" s="383"/>
      <c r="G339" s="383"/>
      <c r="H339" s="383"/>
      <c r="I339" s="383"/>
      <c r="J339" s="383"/>
      <c r="K339" s="383"/>
      <c r="L339" s="383"/>
      <c r="M339" s="383"/>
      <c r="N339" s="383"/>
      <c r="O339" s="383"/>
      <c r="P339" s="383"/>
      <c r="Q339" s="383"/>
      <c r="R339" s="383"/>
      <c r="S339" s="383"/>
      <c r="T339" s="383"/>
      <c r="U339" s="383"/>
      <c r="V339" s="383"/>
      <c r="W339" s="383"/>
      <c r="X339" s="383"/>
      <c r="Y339" s="383"/>
      <c r="Z339" s="383"/>
      <c r="AA339" s="383"/>
      <c r="AB339" s="383"/>
    </row>
    <row r="340" ht="16.5" customHeight="1">
      <c r="A340" s="465"/>
      <c r="B340" s="465"/>
      <c r="C340" s="383"/>
      <c r="D340" s="383"/>
      <c r="E340" s="383"/>
      <c r="F340" s="383"/>
      <c r="G340" s="383"/>
      <c r="H340" s="383"/>
      <c r="I340" s="383"/>
      <c r="J340" s="383"/>
      <c r="K340" s="383"/>
      <c r="L340" s="383"/>
      <c r="M340" s="383"/>
      <c r="N340" s="383"/>
      <c r="O340" s="383"/>
      <c r="P340" s="383"/>
      <c r="Q340" s="383"/>
      <c r="R340" s="383"/>
      <c r="S340" s="383"/>
      <c r="T340" s="383"/>
      <c r="U340" s="383"/>
      <c r="V340" s="383"/>
      <c r="W340" s="383"/>
      <c r="X340" s="383"/>
      <c r="Y340" s="383"/>
      <c r="Z340" s="383"/>
      <c r="AA340" s="383"/>
      <c r="AB340" s="383"/>
    </row>
    <row r="341" ht="16.5" customHeight="1">
      <c r="A341" s="465"/>
      <c r="B341" s="465"/>
      <c r="C341" s="383"/>
      <c r="D341" s="383"/>
      <c r="E341" s="383"/>
      <c r="F341" s="383"/>
      <c r="G341" s="383"/>
      <c r="H341" s="383"/>
      <c r="I341" s="383"/>
      <c r="J341" s="383"/>
      <c r="K341" s="383"/>
      <c r="L341" s="383"/>
      <c r="M341" s="383"/>
      <c r="N341" s="383"/>
      <c r="O341" s="383"/>
      <c r="P341" s="383"/>
      <c r="Q341" s="383"/>
      <c r="R341" s="383"/>
      <c r="S341" s="383"/>
      <c r="T341" s="383"/>
      <c r="U341" s="383"/>
      <c r="V341" s="383"/>
      <c r="W341" s="383"/>
      <c r="X341" s="383"/>
      <c r="Y341" s="383"/>
      <c r="Z341" s="383"/>
      <c r="AA341" s="383"/>
      <c r="AB341" s="383"/>
    </row>
    <row r="342" ht="16.5" customHeight="1">
      <c r="A342" s="465"/>
      <c r="B342" s="465"/>
      <c r="C342" s="383"/>
      <c r="D342" s="383"/>
      <c r="E342" s="383"/>
      <c r="F342" s="383"/>
      <c r="G342" s="383"/>
      <c r="H342" s="383"/>
      <c r="I342" s="383"/>
      <c r="J342" s="383"/>
      <c r="K342" s="383"/>
      <c r="L342" s="383"/>
      <c r="M342" s="383"/>
      <c r="N342" s="383"/>
      <c r="O342" s="383"/>
      <c r="P342" s="383"/>
      <c r="Q342" s="383"/>
      <c r="R342" s="383"/>
      <c r="S342" s="383"/>
      <c r="T342" s="383"/>
      <c r="U342" s="383"/>
      <c r="V342" s="383"/>
      <c r="W342" s="383"/>
      <c r="X342" s="383"/>
      <c r="Y342" s="383"/>
      <c r="Z342" s="383"/>
      <c r="AA342" s="383"/>
      <c r="AB342" s="383"/>
    </row>
    <row r="343" ht="16.5" customHeight="1">
      <c r="A343" s="465"/>
      <c r="B343" s="465"/>
      <c r="C343" s="383"/>
      <c r="D343" s="383"/>
      <c r="E343" s="383"/>
      <c r="F343" s="383"/>
      <c r="G343" s="383"/>
      <c r="H343" s="383"/>
      <c r="I343" s="383"/>
      <c r="J343" s="383"/>
      <c r="K343" s="383"/>
      <c r="L343" s="383"/>
      <c r="M343" s="383"/>
      <c r="N343" s="383"/>
      <c r="O343" s="383"/>
      <c r="P343" s="383"/>
      <c r="Q343" s="383"/>
      <c r="R343" s="383"/>
      <c r="S343" s="383"/>
      <c r="T343" s="383"/>
      <c r="U343" s="383"/>
      <c r="V343" s="383"/>
      <c r="W343" s="383"/>
      <c r="X343" s="383"/>
      <c r="Y343" s="383"/>
      <c r="Z343" s="383"/>
      <c r="AA343" s="383"/>
      <c r="AB343" s="383"/>
    </row>
    <row r="344" ht="16.5" customHeight="1">
      <c r="A344" s="465"/>
      <c r="B344" s="465"/>
      <c r="C344" s="383"/>
      <c r="D344" s="383"/>
      <c r="E344" s="383"/>
      <c r="F344" s="383"/>
      <c r="G344" s="383"/>
      <c r="H344" s="383"/>
      <c r="I344" s="383"/>
      <c r="J344" s="383"/>
      <c r="K344" s="383"/>
      <c r="L344" s="383"/>
      <c r="M344" s="383"/>
      <c r="N344" s="383"/>
      <c r="O344" s="383"/>
      <c r="P344" s="383"/>
      <c r="Q344" s="383"/>
      <c r="R344" s="383"/>
      <c r="S344" s="383"/>
      <c r="T344" s="383"/>
      <c r="U344" s="383"/>
      <c r="V344" s="383"/>
      <c r="W344" s="383"/>
      <c r="X344" s="383"/>
      <c r="Y344" s="383"/>
      <c r="Z344" s="383"/>
      <c r="AA344" s="383"/>
      <c r="AB344" s="383"/>
    </row>
    <row r="345" ht="16.5" customHeight="1">
      <c r="A345" s="465"/>
      <c r="B345" s="465"/>
      <c r="C345" s="383"/>
      <c r="D345" s="383"/>
      <c r="E345" s="383"/>
      <c r="F345" s="383"/>
      <c r="G345" s="383"/>
      <c r="H345" s="383"/>
      <c r="I345" s="383"/>
      <c r="J345" s="383"/>
      <c r="K345" s="383"/>
      <c r="L345" s="383"/>
      <c r="M345" s="383"/>
      <c r="N345" s="383"/>
      <c r="O345" s="383"/>
      <c r="P345" s="383"/>
      <c r="Q345" s="383"/>
      <c r="R345" s="383"/>
      <c r="S345" s="383"/>
      <c r="T345" s="383"/>
      <c r="U345" s="383"/>
      <c r="V345" s="383"/>
      <c r="W345" s="383"/>
      <c r="X345" s="383"/>
      <c r="Y345" s="383"/>
      <c r="Z345" s="383"/>
      <c r="AA345" s="383"/>
      <c r="AB345" s="383"/>
    </row>
    <row r="346" ht="16.5" customHeight="1">
      <c r="A346" s="465"/>
      <c r="B346" s="465"/>
      <c r="C346" s="383"/>
      <c r="D346" s="383"/>
      <c r="E346" s="383"/>
      <c r="F346" s="383"/>
      <c r="G346" s="383"/>
      <c r="H346" s="383"/>
      <c r="I346" s="383"/>
      <c r="J346" s="383"/>
      <c r="K346" s="383"/>
      <c r="L346" s="383"/>
      <c r="M346" s="383"/>
      <c r="N346" s="383"/>
      <c r="O346" s="383"/>
      <c r="P346" s="383"/>
      <c r="Q346" s="383"/>
      <c r="R346" s="383"/>
      <c r="S346" s="383"/>
      <c r="T346" s="383"/>
      <c r="U346" s="383"/>
      <c r="V346" s="383"/>
      <c r="W346" s="383"/>
      <c r="X346" s="383"/>
      <c r="Y346" s="383"/>
      <c r="Z346" s="383"/>
      <c r="AA346" s="383"/>
      <c r="AB346" s="383"/>
    </row>
    <row r="347" ht="16.5" customHeight="1">
      <c r="A347" s="465"/>
      <c r="B347" s="465"/>
      <c r="C347" s="383"/>
      <c r="D347" s="383"/>
      <c r="E347" s="383"/>
      <c r="F347" s="383"/>
      <c r="G347" s="383"/>
      <c r="H347" s="383"/>
      <c r="I347" s="383"/>
      <c r="J347" s="383"/>
      <c r="K347" s="383"/>
      <c r="L347" s="383"/>
      <c r="M347" s="383"/>
      <c r="N347" s="383"/>
      <c r="O347" s="383"/>
      <c r="P347" s="383"/>
      <c r="Q347" s="383"/>
      <c r="R347" s="383"/>
      <c r="S347" s="383"/>
      <c r="T347" s="383"/>
      <c r="U347" s="383"/>
      <c r="V347" s="383"/>
      <c r="W347" s="383"/>
      <c r="X347" s="383"/>
      <c r="Y347" s="383"/>
      <c r="Z347" s="383"/>
      <c r="AA347" s="383"/>
      <c r="AB347" s="383"/>
    </row>
    <row r="348" ht="16.5" customHeight="1">
      <c r="A348" s="465"/>
      <c r="B348" s="465"/>
      <c r="C348" s="383"/>
      <c r="D348" s="383"/>
      <c r="E348" s="383"/>
      <c r="F348" s="383"/>
      <c r="G348" s="383"/>
      <c r="H348" s="383"/>
      <c r="I348" s="383"/>
      <c r="J348" s="383"/>
      <c r="K348" s="383"/>
      <c r="L348" s="383"/>
      <c r="M348" s="383"/>
      <c r="N348" s="383"/>
      <c r="O348" s="383"/>
      <c r="P348" s="383"/>
      <c r="Q348" s="383"/>
      <c r="R348" s="383"/>
      <c r="S348" s="383"/>
      <c r="T348" s="383"/>
      <c r="U348" s="383"/>
      <c r="V348" s="383"/>
      <c r="W348" s="383"/>
      <c r="X348" s="383"/>
      <c r="Y348" s="383"/>
      <c r="Z348" s="383"/>
      <c r="AA348" s="383"/>
      <c r="AB348" s="383"/>
    </row>
    <row r="349" ht="16.5" customHeight="1">
      <c r="A349" s="465"/>
      <c r="B349" s="465"/>
      <c r="C349" s="383"/>
      <c r="D349" s="383"/>
      <c r="E349" s="383"/>
      <c r="F349" s="383"/>
      <c r="G349" s="383"/>
      <c r="H349" s="383"/>
      <c r="I349" s="383"/>
      <c r="J349" s="383"/>
      <c r="K349" s="383"/>
      <c r="L349" s="383"/>
      <c r="M349" s="383"/>
      <c r="N349" s="383"/>
      <c r="O349" s="383"/>
      <c r="P349" s="383"/>
      <c r="Q349" s="383"/>
      <c r="R349" s="383"/>
      <c r="S349" s="383"/>
      <c r="T349" s="383"/>
      <c r="U349" s="383"/>
      <c r="V349" s="383"/>
      <c r="W349" s="383"/>
      <c r="X349" s="383"/>
      <c r="Y349" s="383"/>
      <c r="Z349" s="383"/>
      <c r="AA349" s="383"/>
      <c r="AB349" s="383"/>
    </row>
    <row r="350" ht="16.5" customHeight="1">
      <c r="A350" s="465"/>
      <c r="B350" s="465"/>
      <c r="C350" s="383"/>
      <c r="D350" s="383"/>
      <c r="E350" s="383"/>
      <c r="F350" s="383"/>
      <c r="G350" s="383"/>
      <c r="H350" s="383"/>
      <c r="I350" s="383"/>
      <c r="J350" s="383"/>
      <c r="K350" s="383"/>
      <c r="L350" s="383"/>
      <c r="M350" s="383"/>
      <c r="N350" s="383"/>
      <c r="O350" s="383"/>
      <c r="P350" s="383"/>
      <c r="Q350" s="383"/>
      <c r="R350" s="383"/>
      <c r="S350" s="383"/>
      <c r="T350" s="383"/>
      <c r="U350" s="383"/>
      <c r="V350" s="383"/>
      <c r="W350" s="383"/>
      <c r="X350" s="383"/>
      <c r="Y350" s="383"/>
      <c r="Z350" s="383"/>
      <c r="AA350" s="383"/>
      <c r="AB350" s="383"/>
    </row>
    <row r="351" ht="16.5" customHeight="1">
      <c r="A351" s="465"/>
      <c r="B351" s="465"/>
      <c r="C351" s="383"/>
      <c r="D351" s="383"/>
      <c r="E351" s="383"/>
      <c r="F351" s="383"/>
      <c r="G351" s="383"/>
      <c r="H351" s="383"/>
      <c r="I351" s="383"/>
      <c r="J351" s="383"/>
      <c r="K351" s="383"/>
      <c r="L351" s="383"/>
      <c r="M351" s="383"/>
      <c r="N351" s="383"/>
      <c r="O351" s="383"/>
      <c r="P351" s="383"/>
      <c r="Q351" s="383"/>
      <c r="R351" s="383"/>
      <c r="S351" s="383"/>
      <c r="T351" s="383"/>
      <c r="U351" s="383"/>
      <c r="V351" s="383"/>
      <c r="W351" s="383"/>
      <c r="X351" s="383"/>
      <c r="Y351" s="383"/>
      <c r="Z351" s="383"/>
      <c r="AA351" s="383"/>
      <c r="AB351" s="383"/>
    </row>
    <row r="352" ht="16.5" customHeight="1">
      <c r="A352" s="465"/>
      <c r="B352" s="465"/>
      <c r="C352" s="383"/>
      <c r="D352" s="383"/>
      <c r="E352" s="383"/>
      <c r="F352" s="383"/>
      <c r="G352" s="383"/>
      <c r="H352" s="383"/>
      <c r="I352" s="383"/>
      <c r="J352" s="383"/>
      <c r="K352" s="383"/>
      <c r="L352" s="383"/>
      <c r="M352" s="383"/>
      <c r="N352" s="383"/>
      <c r="O352" s="383"/>
      <c r="P352" s="383"/>
      <c r="Q352" s="383"/>
      <c r="R352" s="383"/>
      <c r="S352" s="383"/>
      <c r="T352" s="383"/>
      <c r="U352" s="383"/>
      <c r="V352" s="383"/>
      <c r="W352" s="383"/>
      <c r="X352" s="383"/>
      <c r="Y352" s="383"/>
      <c r="Z352" s="383"/>
      <c r="AA352" s="383"/>
      <c r="AB352" s="383"/>
    </row>
    <row r="353" ht="16.5" customHeight="1">
      <c r="A353" s="465"/>
      <c r="B353" s="465"/>
      <c r="C353" s="383"/>
      <c r="D353" s="383"/>
      <c r="E353" s="383"/>
      <c r="F353" s="383"/>
      <c r="G353" s="383"/>
      <c r="H353" s="383"/>
      <c r="I353" s="383"/>
      <c r="J353" s="383"/>
      <c r="K353" s="383"/>
      <c r="L353" s="383"/>
      <c r="M353" s="383"/>
      <c r="N353" s="383"/>
      <c r="O353" s="383"/>
      <c r="P353" s="383"/>
      <c r="Q353" s="383"/>
      <c r="R353" s="383"/>
      <c r="S353" s="383"/>
      <c r="T353" s="383"/>
      <c r="U353" s="383"/>
      <c r="V353" s="383"/>
      <c r="W353" s="383"/>
      <c r="X353" s="383"/>
      <c r="Y353" s="383"/>
      <c r="Z353" s="383"/>
      <c r="AA353" s="383"/>
      <c r="AB353" s="383"/>
    </row>
    <row r="354" ht="16.5" customHeight="1">
      <c r="A354" s="465"/>
      <c r="B354" s="465"/>
      <c r="C354" s="383"/>
      <c r="D354" s="383"/>
      <c r="E354" s="383"/>
      <c r="F354" s="383"/>
      <c r="G354" s="383"/>
      <c r="H354" s="383"/>
      <c r="I354" s="383"/>
      <c r="J354" s="383"/>
      <c r="K354" s="383"/>
      <c r="L354" s="383"/>
      <c r="M354" s="383"/>
      <c r="N354" s="383"/>
      <c r="O354" s="383"/>
      <c r="P354" s="383"/>
      <c r="Q354" s="383"/>
      <c r="R354" s="383"/>
      <c r="S354" s="383"/>
      <c r="T354" s="383"/>
      <c r="U354" s="383"/>
      <c r="V354" s="383"/>
      <c r="W354" s="383"/>
      <c r="X354" s="383"/>
      <c r="Y354" s="383"/>
      <c r="Z354" s="383"/>
      <c r="AA354" s="383"/>
      <c r="AB354" s="383"/>
    </row>
    <row r="355" ht="16.5" customHeight="1">
      <c r="A355" s="465"/>
      <c r="B355" s="465"/>
      <c r="C355" s="383"/>
      <c r="D355" s="383"/>
      <c r="E355" s="383"/>
      <c r="F355" s="383"/>
      <c r="G355" s="383"/>
      <c r="H355" s="383"/>
      <c r="I355" s="383"/>
      <c r="J355" s="383"/>
      <c r="K355" s="383"/>
      <c r="L355" s="383"/>
      <c r="M355" s="383"/>
      <c r="N355" s="383"/>
      <c r="O355" s="383"/>
      <c r="P355" s="383"/>
      <c r="Q355" s="383"/>
      <c r="R355" s="383"/>
      <c r="S355" s="383"/>
      <c r="T355" s="383"/>
      <c r="U355" s="383"/>
      <c r="V355" s="383"/>
      <c r="W355" s="383"/>
      <c r="X355" s="383"/>
      <c r="Y355" s="383"/>
      <c r="Z355" s="383"/>
      <c r="AA355" s="383"/>
      <c r="AB355" s="383"/>
    </row>
    <row r="356" ht="16.5" customHeight="1">
      <c r="A356" s="465"/>
      <c r="B356" s="465"/>
      <c r="C356" s="383"/>
      <c r="D356" s="383"/>
      <c r="E356" s="383"/>
      <c r="F356" s="383"/>
      <c r="G356" s="383"/>
      <c r="H356" s="383"/>
      <c r="I356" s="383"/>
      <c r="J356" s="383"/>
      <c r="K356" s="383"/>
      <c r="L356" s="383"/>
      <c r="M356" s="383"/>
      <c r="N356" s="383"/>
      <c r="O356" s="383"/>
      <c r="P356" s="383"/>
      <c r="Q356" s="383"/>
      <c r="R356" s="383"/>
      <c r="S356" s="383"/>
      <c r="T356" s="383"/>
      <c r="U356" s="383"/>
      <c r="V356" s="383"/>
      <c r="W356" s="383"/>
      <c r="X356" s="383"/>
      <c r="Y356" s="383"/>
      <c r="Z356" s="383"/>
      <c r="AA356" s="383"/>
      <c r="AB356" s="383"/>
    </row>
    <row r="357" ht="16.5" customHeight="1">
      <c r="A357" s="465"/>
      <c r="B357" s="465"/>
      <c r="C357" s="383"/>
      <c r="D357" s="383"/>
      <c r="E357" s="383"/>
      <c r="F357" s="383"/>
      <c r="G357" s="383"/>
      <c r="H357" s="383"/>
      <c r="I357" s="383"/>
      <c r="J357" s="383"/>
      <c r="K357" s="383"/>
      <c r="L357" s="383"/>
      <c r="M357" s="383"/>
      <c r="N357" s="383"/>
      <c r="O357" s="383"/>
      <c r="P357" s="383"/>
      <c r="Q357" s="383"/>
      <c r="R357" s="383"/>
      <c r="S357" s="383"/>
      <c r="T357" s="383"/>
      <c r="U357" s="383"/>
      <c r="V357" s="383"/>
      <c r="W357" s="383"/>
      <c r="X357" s="383"/>
      <c r="Y357" s="383"/>
      <c r="Z357" s="383"/>
      <c r="AA357" s="383"/>
      <c r="AB357" s="383"/>
    </row>
    <row r="358" ht="16.5" customHeight="1">
      <c r="A358" s="465"/>
      <c r="B358" s="465"/>
      <c r="C358" s="383"/>
      <c r="D358" s="383"/>
      <c r="E358" s="383"/>
      <c r="F358" s="383"/>
      <c r="G358" s="383"/>
      <c r="H358" s="383"/>
      <c r="I358" s="383"/>
      <c r="J358" s="383"/>
      <c r="K358" s="383"/>
      <c r="L358" s="383"/>
      <c r="M358" s="383"/>
      <c r="N358" s="383"/>
      <c r="O358" s="383"/>
      <c r="P358" s="383"/>
      <c r="Q358" s="383"/>
      <c r="R358" s="383"/>
      <c r="S358" s="383"/>
      <c r="T358" s="383"/>
      <c r="U358" s="383"/>
      <c r="V358" s="383"/>
      <c r="W358" s="383"/>
      <c r="X358" s="383"/>
      <c r="Y358" s="383"/>
      <c r="Z358" s="383"/>
      <c r="AA358" s="383"/>
      <c r="AB358" s="383"/>
    </row>
    <row r="359" ht="16.5" customHeight="1">
      <c r="A359" s="465"/>
      <c r="B359" s="465"/>
      <c r="C359" s="383"/>
      <c r="D359" s="383"/>
      <c r="E359" s="383"/>
      <c r="F359" s="383"/>
      <c r="G359" s="383"/>
      <c r="H359" s="383"/>
      <c r="I359" s="383"/>
      <c r="J359" s="383"/>
      <c r="K359" s="383"/>
      <c r="L359" s="383"/>
      <c r="M359" s="383"/>
      <c r="N359" s="383"/>
      <c r="O359" s="383"/>
      <c r="P359" s="383"/>
      <c r="Q359" s="383"/>
      <c r="R359" s="383"/>
      <c r="S359" s="383"/>
      <c r="T359" s="383"/>
      <c r="U359" s="383"/>
      <c r="V359" s="383"/>
      <c r="W359" s="383"/>
      <c r="X359" s="383"/>
      <c r="Y359" s="383"/>
      <c r="Z359" s="383"/>
      <c r="AA359" s="383"/>
      <c r="AB359" s="383"/>
    </row>
    <row r="360" ht="16.5" customHeight="1">
      <c r="A360" s="465"/>
      <c r="B360" s="465"/>
      <c r="C360" s="383"/>
      <c r="D360" s="383"/>
      <c r="E360" s="383"/>
      <c r="F360" s="383"/>
      <c r="G360" s="383"/>
      <c r="H360" s="383"/>
      <c r="I360" s="383"/>
      <c r="J360" s="383"/>
      <c r="K360" s="383"/>
      <c r="L360" s="383"/>
      <c r="M360" s="383"/>
      <c r="N360" s="383"/>
      <c r="O360" s="383"/>
      <c r="P360" s="383"/>
      <c r="Q360" s="383"/>
      <c r="R360" s="383"/>
      <c r="S360" s="383"/>
      <c r="T360" s="383"/>
      <c r="U360" s="383"/>
      <c r="V360" s="383"/>
      <c r="W360" s="383"/>
      <c r="X360" s="383"/>
      <c r="Y360" s="383"/>
      <c r="Z360" s="383"/>
      <c r="AA360" s="383"/>
      <c r="AB360" s="383"/>
    </row>
    <row r="361" ht="16.5" customHeight="1">
      <c r="A361" s="465"/>
      <c r="B361" s="465"/>
      <c r="C361" s="383"/>
      <c r="D361" s="383"/>
      <c r="E361" s="383"/>
      <c r="F361" s="383"/>
      <c r="G361" s="383"/>
      <c r="H361" s="383"/>
      <c r="I361" s="383"/>
      <c r="J361" s="383"/>
      <c r="K361" s="383"/>
      <c r="L361" s="383"/>
      <c r="M361" s="383"/>
      <c r="N361" s="383"/>
      <c r="O361" s="383"/>
      <c r="P361" s="383"/>
      <c r="Q361" s="383"/>
      <c r="R361" s="383"/>
      <c r="S361" s="383"/>
      <c r="T361" s="383"/>
      <c r="U361" s="383"/>
      <c r="V361" s="383"/>
      <c r="W361" s="383"/>
      <c r="X361" s="383"/>
      <c r="Y361" s="383"/>
      <c r="Z361" s="383"/>
      <c r="AA361" s="383"/>
      <c r="AB361" s="383"/>
    </row>
    <row r="362" ht="16.5" customHeight="1">
      <c r="A362" s="465"/>
      <c r="B362" s="465"/>
      <c r="C362" s="383"/>
      <c r="D362" s="383"/>
      <c r="E362" s="383"/>
      <c r="F362" s="383"/>
      <c r="G362" s="383"/>
      <c r="H362" s="383"/>
      <c r="I362" s="383"/>
      <c r="J362" s="383"/>
      <c r="K362" s="383"/>
      <c r="L362" s="383"/>
      <c r="M362" s="383"/>
      <c r="N362" s="383"/>
      <c r="O362" s="383"/>
      <c r="P362" s="383"/>
      <c r="Q362" s="383"/>
      <c r="R362" s="383"/>
      <c r="S362" s="383"/>
      <c r="T362" s="383"/>
      <c r="U362" s="383"/>
      <c r="V362" s="383"/>
      <c r="W362" s="383"/>
      <c r="X362" s="383"/>
      <c r="Y362" s="383"/>
      <c r="Z362" s="383"/>
      <c r="AA362" s="383"/>
      <c r="AB362" s="383"/>
    </row>
    <row r="363" ht="16.5" customHeight="1">
      <c r="A363" s="465"/>
      <c r="B363" s="465"/>
      <c r="C363" s="383"/>
      <c r="D363" s="383"/>
      <c r="E363" s="383"/>
      <c r="F363" s="383"/>
      <c r="G363" s="383"/>
      <c r="H363" s="383"/>
      <c r="I363" s="383"/>
      <c r="J363" s="383"/>
      <c r="K363" s="383"/>
      <c r="L363" s="383"/>
      <c r="M363" s="383"/>
      <c r="N363" s="383"/>
      <c r="O363" s="383"/>
      <c r="P363" s="383"/>
      <c r="Q363" s="383"/>
      <c r="R363" s="383"/>
      <c r="S363" s="383"/>
      <c r="T363" s="383"/>
      <c r="U363" s="383"/>
      <c r="V363" s="383"/>
      <c r="W363" s="383"/>
      <c r="X363" s="383"/>
      <c r="Y363" s="383"/>
      <c r="Z363" s="383"/>
      <c r="AA363" s="383"/>
      <c r="AB363" s="383"/>
    </row>
    <row r="364" ht="16.5" customHeight="1">
      <c r="A364" s="465"/>
      <c r="B364" s="465"/>
      <c r="C364" s="383"/>
      <c r="D364" s="383"/>
      <c r="E364" s="383"/>
      <c r="F364" s="383"/>
      <c r="G364" s="383"/>
      <c r="H364" s="383"/>
      <c r="I364" s="383"/>
      <c r="J364" s="383"/>
      <c r="K364" s="383"/>
      <c r="L364" s="383"/>
      <c r="M364" s="383"/>
      <c r="N364" s="383"/>
      <c r="O364" s="383"/>
      <c r="P364" s="383"/>
      <c r="Q364" s="383"/>
      <c r="R364" s="383"/>
      <c r="S364" s="383"/>
      <c r="T364" s="383"/>
      <c r="U364" s="383"/>
      <c r="V364" s="383"/>
      <c r="W364" s="383"/>
      <c r="X364" s="383"/>
      <c r="Y364" s="383"/>
      <c r="Z364" s="383"/>
      <c r="AA364" s="383"/>
      <c r="AB364" s="383"/>
    </row>
    <row r="365" ht="16.5" customHeight="1">
      <c r="A365" s="465"/>
      <c r="B365" s="465"/>
      <c r="C365" s="383"/>
      <c r="D365" s="383"/>
      <c r="E365" s="383"/>
      <c r="F365" s="383"/>
      <c r="G365" s="383"/>
      <c r="H365" s="383"/>
      <c r="I365" s="383"/>
      <c r="J365" s="383"/>
      <c r="K365" s="383"/>
      <c r="L365" s="383"/>
      <c r="M365" s="383"/>
      <c r="N365" s="383"/>
      <c r="O365" s="383"/>
      <c r="P365" s="383"/>
      <c r="Q365" s="383"/>
      <c r="R365" s="383"/>
      <c r="S365" s="383"/>
      <c r="T365" s="383"/>
      <c r="U365" s="383"/>
      <c r="V365" s="383"/>
      <c r="W365" s="383"/>
      <c r="X365" s="383"/>
      <c r="Y365" s="383"/>
      <c r="Z365" s="383"/>
      <c r="AA365" s="383"/>
      <c r="AB365" s="383"/>
    </row>
    <row r="366" ht="16.5" customHeight="1">
      <c r="A366" s="465"/>
      <c r="B366" s="465"/>
      <c r="C366" s="383"/>
      <c r="D366" s="383"/>
      <c r="E366" s="383"/>
      <c r="F366" s="383"/>
      <c r="G366" s="383"/>
      <c r="H366" s="383"/>
      <c r="I366" s="383"/>
      <c r="J366" s="383"/>
      <c r="K366" s="383"/>
      <c r="L366" s="383"/>
      <c r="M366" s="383"/>
      <c r="N366" s="383"/>
      <c r="O366" s="383"/>
      <c r="P366" s="383"/>
      <c r="Q366" s="383"/>
      <c r="R366" s="383"/>
      <c r="S366" s="383"/>
      <c r="T366" s="383"/>
      <c r="U366" s="383"/>
      <c r="V366" s="383"/>
      <c r="W366" s="383"/>
      <c r="X366" s="383"/>
      <c r="Y366" s="383"/>
      <c r="Z366" s="383"/>
      <c r="AA366" s="383"/>
      <c r="AB366" s="383"/>
    </row>
    <row r="367" ht="16.5" customHeight="1">
      <c r="A367" s="465"/>
      <c r="B367" s="465"/>
      <c r="C367" s="383"/>
      <c r="D367" s="383"/>
      <c r="E367" s="383"/>
      <c r="F367" s="383"/>
      <c r="G367" s="383"/>
      <c r="H367" s="383"/>
      <c r="I367" s="383"/>
      <c r="J367" s="383"/>
      <c r="K367" s="383"/>
      <c r="L367" s="383"/>
      <c r="M367" s="383"/>
      <c r="N367" s="383"/>
      <c r="O367" s="383"/>
      <c r="P367" s="383"/>
      <c r="Q367" s="383"/>
      <c r="R367" s="383"/>
      <c r="S367" s="383"/>
      <c r="T367" s="383"/>
      <c r="U367" s="383"/>
      <c r="V367" s="383"/>
      <c r="W367" s="383"/>
      <c r="X367" s="383"/>
      <c r="Y367" s="383"/>
      <c r="Z367" s="383"/>
      <c r="AA367" s="383"/>
      <c r="AB367" s="383"/>
    </row>
    <row r="368" ht="16.5" customHeight="1">
      <c r="A368" s="465"/>
      <c r="B368" s="465"/>
      <c r="C368" s="383"/>
      <c r="D368" s="383"/>
      <c r="E368" s="383"/>
      <c r="F368" s="383"/>
      <c r="G368" s="383"/>
      <c r="H368" s="383"/>
      <c r="I368" s="383"/>
      <c r="J368" s="383"/>
      <c r="K368" s="383"/>
      <c r="L368" s="383"/>
      <c r="M368" s="383"/>
      <c r="N368" s="383"/>
      <c r="O368" s="383"/>
      <c r="P368" s="383"/>
      <c r="Q368" s="383"/>
      <c r="R368" s="383"/>
      <c r="S368" s="383"/>
      <c r="T368" s="383"/>
      <c r="U368" s="383"/>
      <c r="V368" s="383"/>
      <c r="W368" s="383"/>
      <c r="X368" s="383"/>
      <c r="Y368" s="383"/>
      <c r="Z368" s="383"/>
      <c r="AA368" s="383"/>
      <c r="AB368" s="383"/>
    </row>
    <row r="369" ht="16.5" customHeight="1">
      <c r="A369" s="465"/>
      <c r="B369" s="465"/>
      <c r="C369" s="383"/>
      <c r="D369" s="383"/>
      <c r="E369" s="383"/>
      <c r="F369" s="383"/>
      <c r="G369" s="383"/>
      <c r="H369" s="383"/>
      <c r="I369" s="383"/>
      <c r="J369" s="383"/>
      <c r="K369" s="383"/>
      <c r="L369" s="383"/>
      <c r="M369" s="383"/>
      <c r="N369" s="383"/>
      <c r="O369" s="383"/>
      <c r="P369" s="383"/>
      <c r="Q369" s="383"/>
      <c r="R369" s="383"/>
      <c r="S369" s="383"/>
      <c r="T369" s="383"/>
      <c r="U369" s="383"/>
      <c r="V369" s="383"/>
      <c r="W369" s="383"/>
      <c r="X369" s="383"/>
      <c r="Y369" s="383"/>
      <c r="Z369" s="383"/>
      <c r="AA369" s="383"/>
      <c r="AB369" s="383"/>
    </row>
    <row r="370" ht="16.5" customHeight="1">
      <c r="A370" s="465"/>
      <c r="B370" s="465"/>
      <c r="C370" s="383"/>
      <c r="D370" s="383"/>
      <c r="E370" s="383"/>
      <c r="F370" s="383"/>
      <c r="G370" s="383"/>
      <c r="H370" s="383"/>
      <c r="I370" s="383"/>
      <c r="J370" s="383"/>
      <c r="K370" s="383"/>
      <c r="L370" s="383"/>
      <c r="M370" s="383"/>
      <c r="N370" s="383"/>
      <c r="O370" s="383"/>
      <c r="P370" s="383"/>
      <c r="Q370" s="383"/>
      <c r="R370" s="383"/>
      <c r="S370" s="383"/>
      <c r="T370" s="383"/>
      <c r="U370" s="383"/>
      <c r="V370" s="383"/>
      <c r="W370" s="383"/>
      <c r="X370" s="383"/>
      <c r="Y370" s="383"/>
      <c r="Z370" s="383"/>
      <c r="AA370" s="383"/>
      <c r="AB370" s="383"/>
    </row>
    <row r="371" ht="16.5" customHeight="1">
      <c r="A371" s="465"/>
      <c r="B371" s="465"/>
      <c r="C371" s="383"/>
      <c r="D371" s="383"/>
      <c r="E371" s="383"/>
      <c r="F371" s="383"/>
      <c r="G371" s="383"/>
      <c r="H371" s="383"/>
      <c r="I371" s="383"/>
      <c r="J371" s="383"/>
      <c r="K371" s="383"/>
      <c r="L371" s="383"/>
      <c r="M371" s="383"/>
      <c r="N371" s="383"/>
      <c r="O371" s="383"/>
      <c r="P371" s="383"/>
      <c r="Q371" s="383"/>
      <c r="R371" s="383"/>
      <c r="S371" s="383"/>
      <c r="T371" s="383"/>
      <c r="U371" s="383"/>
      <c r="V371" s="383"/>
      <c r="W371" s="383"/>
      <c r="X371" s="383"/>
      <c r="Y371" s="383"/>
      <c r="Z371" s="383"/>
      <c r="AA371" s="383"/>
      <c r="AB371" s="383"/>
    </row>
    <row r="372" ht="16.5" customHeight="1">
      <c r="A372" s="465"/>
      <c r="B372" s="465"/>
      <c r="C372" s="383"/>
      <c r="D372" s="383"/>
      <c r="E372" s="383"/>
      <c r="F372" s="383"/>
      <c r="G372" s="383"/>
      <c r="H372" s="383"/>
      <c r="I372" s="383"/>
      <c r="J372" s="383"/>
      <c r="K372" s="383"/>
      <c r="L372" s="383"/>
      <c r="M372" s="383"/>
      <c r="N372" s="383"/>
      <c r="O372" s="383"/>
      <c r="P372" s="383"/>
      <c r="Q372" s="383"/>
      <c r="R372" s="383"/>
      <c r="S372" s="383"/>
      <c r="T372" s="383"/>
      <c r="U372" s="383"/>
      <c r="V372" s="383"/>
      <c r="W372" s="383"/>
      <c r="X372" s="383"/>
      <c r="Y372" s="383"/>
      <c r="Z372" s="383"/>
      <c r="AA372" s="383"/>
      <c r="AB372" s="383"/>
    </row>
    <row r="373" ht="16.5" customHeight="1">
      <c r="A373" s="465"/>
      <c r="B373" s="465"/>
      <c r="C373" s="383"/>
      <c r="D373" s="383"/>
      <c r="E373" s="383"/>
      <c r="F373" s="383"/>
      <c r="G373" s="383"/>
      <c r="H373" s="383"/>
      <c r="I373" s="383"/>
      <c r="J373" s="383"/>
      <c r="K373" s="383"/>
      <c r="L373" s="383"/>
      <c r="M373" s="383"/>
      <c r="N373" s="383"/>
      <c r="O373" s="383"/>
      <c r="P373" s="383"/>
      <c r="Q373" s="383"/>
      <c r="R373" s="383"/>
      <c r="S373" s="383"/>
      <c r="T373" s="383"/>
      <c r="U373" s="383"/>
      <c r="V373" s="383"/>
      <c r="W373" s="383"/>
      <c r="X373" s="383"/>
      <c r="Y373" s="383"/>
      <c r="Z373" s="383"/>
      <c r="AA373" s="383"/>
      <c r="AB373" s="383"/>
    </row>
    <row r="374" ht="16.5" customHeight="1">
      <c r="A374" s="465"/>
      <c r="B374" s="465"/>
      <c r="C374" s="383"/>
      <c r="D374" s="383"/>
      <c r="E374" s="383"/>
      <c r="F374" s="383"/>
      <c r="G374" s="383"/>
      <c r="H374" s="383"/>
      <c r="I374" s="383"/>
      <c r="J374" s="383"/>
      <c r="K374" s="383"/>
      <c r="L374" s="383"/>
      <c r="M374" s="383"/>
      <c r="N374" s="383"/>
      <c r="O374" s="383"/>
      <c r="P374" s="383"/>
      <c r="Q374" s="383"/>
      <c r="R374" s="383"/>
      <c r="S374" s="383"/>
      <c r="T374" s="383"/>
      <c r="U374" s="383"/>
      <c r="V374" s="383"/>
      <c r="W374" s="383"/>
      <c r="X374" s="383"/>
      <c r="Y374" s="383"/>
      <c r="Z374" s="383"/>
      <c r="AA374" s="383"/>
      <c r="AB374" s="383"/>
    </row>
    <row r="375" ht="16.5" customHeight="1">
      <c r="A375" s="465"/>
      <c r="B375" s="465"/>
      <c r="C375" s="383"/>
      <c r="D375" s="383"/>
      <c r="E375" s="383"/>
      <c r="F375" s="383"/>
      <c r="G375" s="383"/>
      <c r="H375" s="383"/>
      <c r="I375" s="383"/>
      <c r="J375" s="383"/>
      <c r="K375" s="383"/>
      <c r="L375" s="383"/>
      <c r="M375" s="383"/>
      <c r="N375" s="383"/>
      <c r="O375" s="383"/>
      <c r="P375" s="383"/>
      <c r="Q375" s="383"/>
      <c r="R375" s="383"/>
      <c r="S375" s="383"/>
      <c r="T375" s="383"/>
      <c r="U375" s="383"/>
      <c r="V375" s="383"/>
      <c r="W375" s="383"/>
      <c r="X375" s="383"/>
      <c r="Y375" s="383"/>
      <c r="Z375" s="383"/>
      <c r="AA375" s="383"/>
      <c r="AB375" s="383"/>
    </row>
    <row r="376" ht="16.5" customHeight="1">
      <c r="A376" s="465"/>
      <c r="B376" s="465"/>
      <c r="C376" s="383"/>
      <c r="D376" s="383"/>
      <c r="E376" s="383"/>
      <c r="F376" s="383"/>
      <c r="G376" s="383"/>
      <c r="H376" s="383"/>
      <c r="I376" s="383"/>
      <c r="J376" s="383"/>
      <c r="K376" s="383"/>
      <c r="L376" s="383"/>
      <c r="M376" s="383"/>
      <c r="N376" s="383"/>
      <c r="O376" s="383"/>
      <c r="P376" s="383"/>
      <c r="Q376" s="383"/>
      <c r="R376" s="383"/>
      <c r="S376" s="383"/>
      <c r="T376" s="383"/>
      <c r="U376" s="383"/>
      <c r="V376" s="383"/>
      <c r="W376" s="383"/>
      <c r="X376" s="383"/>
      <c r="Y376" s="383"/>
      <c r="Z376" s="383"/>
      <c r="AA376" s="383"/>
      <c r="AB376" s="383"/>
    </row>
    <row r="377" ht="16.5" customHeight="1">
      <c r="A377" s="465"/>
      <c r="B377" s="465"/>
      <c r="C377" s="383"/>
      <c r="D377" s="383"/>
      <c r="E377" s="383"/>
      <c r="F377" s="383"/>
      <c r="G377" s="383"/>
      <c r="H377" s="383"/>
      <c r="I377" s="383"/>
      <c r="J377" s="383"/>
      <c r="K377" s="383"/>
      <c r="L377" s="383"/>
      <c r="M377" s="383"/>
      <c r="N377" s="383"/>
      <c r="O377" s="383"/>
      <c r="P377" s="383"/>
      <c r="Q377" s="383"/>
      <c r="R377" s="383"/>
      <c r="S377" s="383"/>
      <c r="T377" s="383"/>
      <c r="U377" s="383"/>
      <c r="V377" s="383"/>
      <c r="W377" s="383"/>
      <c r="X377" s="383"/>
      <c r="Y377" s="383"/>
      <c r="Z377" s="383"/>
      <c r="AA377" s="383"/>
      <c r="AB377" s="383"/>
    </row>
    <row r="378" ht="16.5" customHeight="1">
      <c r="A378" s="465"/>
      <c r="B378" s="465"/>
      <c r="C378" s="383"/>
      <c r="D378" s="383"/>
      <c r="E378" s="383"/>
      <c r="F378" s="383"/>
      <c r="G378" s="383"/>
      <c r="H378" s="383"/>
      <c r="I378" s="383"/>
      <c r="J378" s="383"/>
      <c r="K378" s="383"/>
      <c r="L378" s="383"/>
      <c r="M378" s="383"/>
      <c r="N378" s="383"/>
      <c r="O378" s="383"/>
      <c r="P378" s="383"/>
      <c r="Q378" s="383"/>
      <c r="R378" s="383"/>
      <c r="S378" s="383"/>
      <c r="T378" s="383"/>
      <c r="U378" s="383"/>
      <c r="V378" s="383"/>
      <c r="W378" s="383"/>
      <c r="X378" s="383"/>
      <c r="Y378" s="383"/>
      <c r="Z378" s="383"/>
      <c r="AA378" s="383"/>
      <c r="AB378" s="383"/>
    </row>
    <row r="379" ht="16.5" customHeight="1">
      <c r="A379" s="465"/>
      <c r="B379" s="465"/>
      <c r="C379" s="383"/>
      <c r="D379" s="383"/>
      <c r="E379" s="383"/>
      <c r="F379" s="383"/>
      <c r="G379" s="383"/>
      <c r="H379" s="383"/>
      <c r="I379" s="383"/>
      <c r="J379" s="383"/>
      <c r="K379" s="383"/>
      <c r="L379" s="383"/>
      <c r="M379" s="383"/>
      <c r="N379" s="383"/>
      <c r="O379" s="383"/>
      <c r="P379" s="383"/>
      <c r="Q379" s="383"/>
      <c r="R379" s="383"/>
      <c r="S379" s="383"/>
      <c r="T379" s="383"/>
      <c r="U379" s="383"/>
      <c r="V379" s="383"/>
      <c r="W379" s="383"/>
      <c r="X379" s="383"/>
      <c r="Y379" s="383"/>
      <c r="Z379" s="383"/>
      <c r="AA379" s="383"/>
      <c r="AB379" s="383"/>
    </row>
    <row r="380" ht="16.5" customHeight="1">
      <c r="A380" s="465"/>
      <c r="B380" s="465"/>
      <c r="C380" s="383"/>
      <c r="D380" s="383"/>
      <c r="E380" s="383"/>
      <c r="F380" s="383"/>
      <c r="G380" s="383"/>
      <c r="H380" s="383"/>
      <c r="I380" s="383"/>
      <c r="J380" s="383"/>
      <c r="K380" s="383"/>
      <c r="L380" s="383"/>
      <c r="M380" s="383"/>
      <c r="N380" s="383"/>
      <c r="O380" s="383"/>
      <c r="P380" s="383"/>
      <c r="Q380" s="383"/>
      <c r="R380" s="383"/>
      <c r="S380" s="383"/>
      <c r="T380" s="383"/>
      <c r="U380" s="383"/>
      <c r="V380" s="383"/>
      <c r="W380" s="383"/>
      <c r="X380" s="383"/>
      <c r="Y380" s="383"/>
      <c r="Z380" s="383"/>
      <c r="AA380" s="383"/>
      <c r="AB380" s="383"/>
    </row>
    <row r="381" ht="16.5" customHeight="1">
      <c r="A381" s="465"/>
      <c r="B381" s="465"/>
      <c r="C381" s="383"/>
      <c r="D381" s="383"/>
      <c r="E381" s="383"/>
      <c r="F381" s="383"/>
      <c r="G381" s="383"/>
      <c r="H381" s="383"/>
      <c r="I381" s="383"/>
      <c r="J381" s="383"/>
      <c r="K381" s="383"/>
      <c r="L381" s="383"/>
      <c r="M381" s="383"/>
      <c r="N381" s="383"/>
      <c r="O381" s="383"/>
      <c r="P381" s="383"/>
      <c r="Q381" s="383"/>
      <c r="R381" s="383"/>
      <c r="S381" s="383"/>
      <c r="T381" s="383"/>
      <c r="U381" s="383"/>
      <c r="V381" s="383"/>
      <c r="W381" s="383"/>
      <c r="X381" s="383"/>
      <c r="Y381" s="383"/>
      <c r="Z381" s="383"/>
      <c r="AA381" s="383"/>
      <c r="AB381" s="383"/>
    </row>
    <row r="382" ht="16.5" customHeight="1">
      <c r="A382" s="465"/>
      <c r="B382" s="465"/>
      <c r="C382" s="383"/>
      <c r="D382" s="383"/>
      <c r="E382" s="383"/>
      <c r="F382" s="383"/>
      <c r="G382" s="383"/>
      <c r="H382" s="383"/>
      <c r="I382" s="383"/>
      <c r="J382" s="383"/>
      <c r="K382" s="383"/>
      <c r="L382" s="383"/>
      <c r="M382" s="383"/>
      <c r="N382" s="383"/>
      <c r="O382" s="383"/>
      <c r="P382" s="383"/>
      <c r="Q382" s="383"/>
      <c r="R382" s="383"/>
      <c r="S382" s="383"/>
      <c r="T382" s="383"/>
      <c r="U382" s="383"/>
      <c r="V382" s="383"/>
      <c r="W382" s="383"/>
      <c r="X382" s="383"/>
      <c r="Y382" s="383"/>
      <c r="Z382" s="383"/>
      <c r="AA382" s="383"/>
      <c r="AB382" s="383"/>
    </row>
    <row r="383" ht="16.5" customHeight="1">
      <c r="A383" s="465"/>
      <c r="B383" s="465"/>
      <c r="C383" s="383"/>
      <c r="D383" s="383"/>
      <c r="E383" s="383"/>
      <c r="F383" s="383"/>
      <c r="G383" s="383"/>
      <c r="H383" s="383"/>
      <c r="I383" s="383"/>
      <c r="J383" s="383"/>
      <c r="K383" s="383"/>
      <c r="L383" s="383"/>
      <c r="M383" s="383"/>
      <c r="N383" s="383"/>
      <c r="O383" s="383"/>
      <c r="P383" s="383"/>
      <c r="Q383" s="383"/>
      <c r="R383" s="383"/>
      <c r="S383" s="383"/>
      <c r="T383" s="383"/>
      <c r="U383" s="383"/>
      <c r="V383" s="383"/>
      <c r="W383" s="383"/>
      <c r="X383" s="383"/>
      <c r="Y383" s="383"/>
      <c r="Z383" s="383"/>
      <c r="AA383" s="383"/>
      <c r="AB383" s="383"/>
    </row>
    <row r="384" ht="16.5" customHeight="1">
      <c r="A384" s="465"/>
      <c r="B384" s="465"/>
      <c r="C384" s="383"/>
      <c r="D384" s="383"/>
      <c r="E384" s="383"/>
      <c r="F384" s="383"/>
      <c r="G384" s="383"/>
      <c r="H384" s="383"/>
      <c r="I384" s="383"/>
      <c r="J384" s="383"/>
      <c r="K384" s="383"/>
      <c r="L384" s="383"/>
      <c r="M384" s="383"/>
      <c r="N384" s="383"/>
      <c r="O384" s="383"/>
      <c r="P384" s="383"/>
      <c r="Q384" s="383"/>
      <c r="R384" s="383"/>
      <c r="S384" s="383"/>
      <c r="T384" s="383"/>
      <c r="U384" s="383"/>
      <c r="V384" s="383"/>
      <c r="W384" s="383"/>
      <c r="X384" s="383"/>
      <c r="Y384" s="383"/>
      <c r="Z384" s="383"/>
      <c r="AA384" s="383"/>
      <c r="AB384" s="383"/>
    </row>
    <row r="385" ht="16.5" customHeight="1">
      <c r="A385" s="465"/>
      <c r="B385" s="465"/>
      <c r="C385" s="383"/>
      <c r="D385" s="383"/>
      <c r="E385" s="383"/>
      <c r="F385" s="383"/>
      <c r="G385" s="383"/>
      <c r="H385" s="383"/>
      <c r="I385" s="383"/>
      <c r="J385" s="383"/>
      <c r="K385" s="383"/>
      <c r="L385" s="383"/>
      <c r="M385" s="383"/>
      <c r="N385" s="383"/>
      <c r="O385" s="383"/>
      <c r="P385" s="383"/>
      <c r="Q385" s="383"/>
      <c r="R385" s="383"/>
      <c r="S385" s="383"/>
      <c r="T385" s="383"/>
      <c r="U385" s="383"/>
      <c r="V385" s="383"/>
      <c r="W385" s="383"/>
      <c r="X385" s="383"/>
      <c r="Y385" s="383"/>
      <c r="Z385" s="383"/>
      <c r="AA385" s="383"/>
      <c r="AB385" s="383"/>
    </row>
    <row r="386" ht="16.5" customHeight="1">
      <c r="A386" s="465"/>
      <c r="B386" s="465"/>
      <c r="C386" s="383"/>
      <c r="D386" s="383"/>
      <c r="E386" s="383"/>
      <c r="F386" s="383"/>
      <c r="G386" s="383"/>
      <c r="H386" s="383"/>
      <c r="I386" s="383"/>
      <c r="J386" s="383"/>
      <c r="K386" s="383"/>
      <c r="L386" s="383"/>
      <c r="M386" s="383"/>
      <c r="N386" s="383"/>
      <c r="O386" s="383"/>
      <c r="P386" s="383"/>
      <c r="Q386" s="383"/>
      <c r="R386" s="383"/>
      <c r="S386" s="383"/>
      <c r="T386" s="383"/>
      <c r="U386" s="383"/>
      <c r="V386" s="383"/>
      <c r="W386" s="383"/>
      <c r="X386" s="383"/>
      <c r="Y386" s="383"/>
      <c r="Z386" s="383"/>
      <c r="AA386" s="383"/>
      <c r="AB386" s="383"/>
    </row>
    <row r="387" ht="16.5" customHeight="1">
      <c r="A387" s="465"/>
      <c r="B387" s="465"/>
      <c r="C387" s="383"/>
      <c r="D387" s="383"/>
      <c r="E387" s="383"/>
      <c r="F387" s="383"/>
      <c r="G387" s="383"/>
      <c r="H387" s="383"/>
      <c r="I387" s="383"/>
      <c r="J387" s="383"/>
      <c r="K387" s="383"/>
      <c r="L387" s="383"/>
      <c r="M387" s="383"/>
      <c r="N387" s="383"/>
      <c r="O387" s="383"/>
      <c r="P387" s="383"/>
      <c r="Q387" s="383"/>
      <c r="R387" s="383"/>
      <c r="S387" s="383"/>
      <c r="T387" s="383"/>
      <c r="U387" s="383"/>
      <c r="V387" s="383"/>
      <c r="W387" s="383"/>
      <c r="X387" s="383"/>
      <c r="Y387" s="383"/>
      <c r="Z387" s="383"/>
      <c r="AA387" s="383"/>
      <c r="AB387" s="383"/>
    </row>
    <row r="388" ht="16.5" customHeight="1">
      <c r="A388" s="465"/>
      <c r="B388" s="465"/>
      <c r="C388" s="383"/>
      <c r="D388" s="383"/>
      <c r="E388" s="383"/>
      <c r="F388" s="383"/>
      <c r="G388" s="383"/>
      <c r="H388" s="383"/>
      <c r="I388" s="383"/>
      <c r="J388" s="383"/>
      <c r="K388" s="383"/>
      <c r="L388" s="383"/>
      <c r="M388" s="383"/>
      <c r="N388" s="383"/>
      <c r="O388" s="383"/>
      <c r="P388" s="383"/>
      <c r="Q388" s="383"/>
      <c r="R388" s="383"/>
      <c r="S388" s="383"/>
      <c r="T388" s="383"/>
      <c r="U388" s="383"/>
      <c r="V388" s="383"/>
      <c r="W388" s="383"/>
      <c r="X388" s="383"/>
      <c r="Y388" s="383"/>
      <c r="Z388" s="383"/>
      <c r="AA388" s="383"/>
      <c r="AB388" s="383"/>
    </row>
    <row r="389" ht="16.5" customHeight="1">
      <c r="A389" s="465"/>
      <c r="B389" s="465"/>
      <c r="C389" s="383"/>
      <c r="D389" s="383"/>
      <c r="E389" s="383"/>
      <c r="F389" s="383"/>
      <c r="G389" s="383"/>
      <c r="H389" s="383"/>
      <c r="I389" s="383"/>
      <c r="J389" s="383"/>
      <c r="K389" s="383"/>
      <c r="L389" s="383"/>
      <c r="M389" s="383"/>
      <c r="N389" s="383"/>
      <c r="O389" s="383"/>
      <c r="P389" s="383"/>
      <c r="Q389" s="383"/>
      <c r="R389" s="383"/>
      <c r="S389" s="383"/>
      <c r="T389" s="383"/>
      <c r="U389" s="383"/>
      <c r="V389" s="383"/>
      <c r="W389" s="383"/>
      <c r="X389" s="383"/>
      <c r="Y389" s="383"/>
      <c r="Z389" s="383"/>
      <c r="AA389" s="383"/>
      <c r="AB389" s="383"/>
    </row>
    <row r="390" ht="16.5" customHeight="1">
      <c r="A390" s="465"/>
      <c r="B390" s="465"/>
      <c r="C390" s="383"/>
      <c r="D390" s="383"/>
      <c r="E390" s="383"/>
      <c r="F390" s="383"/>
      <c r="G390" s="383"/>
      <c r="H390" s="383"/>
      <c r="I390" s="383"/>
      <c r="J390" s="383"/>
      <c r="K390" s="383"/>
      <c r="L390" s="383"/>
      <c r="M390" s="383"/>
      <c r="N390" s="383"/>
      <c r="O390" s="383"/>
      <c r="P390" s="383"/>
      <c r="Q390" s="383"/>
      <c r="R390" s="383"/>
      <c r="S390" s="383"/>
      <c r="T390" s="383"/>
      <c r="U390" s="383"/>
      <c r="V390" s="383"/>
      <c r="W390" s="383"/>
      <c r="X390" s="383"/>
      <c r="Y390" s="383"/>
      <c r="Z390" s="383"/>
      <c r="AA390" s="383"/>
      <c r="AB390" s="383"/>
    </row>
    <row r="391" ht="16.5" customHeight="1">
      <c r="A391" s="465"/>
      <c r="B391" s="465"/>
      <c r="C391" s="383"/>
      <c r="D391" s="383"/>
      <c r="E391" s="383"/>
      <c r="F391" s="383"/>
      <c r="G391" s="383"/>
      <c r="H391" s="383"/>
      <c r="I391" s="383"/>
      <c r="J391" s="383"/>
      <c r="K391" s="383"/>
      <c r="L391" s="383"/>
      <c r="M391" s="383"/>
      <c r="N391" s="383"/>
      <c r="O391" s="383"/>
      <c r="P391" s="383"/>
      <c r="Q391" s="383"/>
      <c r="R391" s="383"/>
      <c r="S391" s="383"/>
      <c r="T391" s="383"/>
      <c r="U391" s="383"/>
      <c r="V391" s="383"/>
      <c r="W391" s="383"/>
      <c r="X391" s="383"/>
      <c r="Y391" s="383"/>
      <c r="Z391" s="383"/>
      <c r="AA391" s="383"/>
      <c r="AB391" s="383"/>
    </row>
    <row r="392" ht="16.5" customHeight="1">
      <c r="A392" s="465"/>
      <c r="B392" s="465"/>
      <c r="C392" s="383"/>
      <c r="D392" s="383"/>
      <c r="E392" s="383"/>
      <c r="F392" s="383"/>
      <c r="G392" s="383"/>
      <c r="H392" s="383"/>
      <c r="I392" s="383"/>
      <c r="J392" s="383"/>
      <c r="K392" s="383"/>
      <c r="L392" s="383"/>
      <c r="M392" s="383"/>
      <c r="N392" s="383"/>
      <c r="O392" s="383"/>
      <c r="P392" s="383"/>
      <c r="Q392" s="383"/>
      <c r="R392" s="383"/>
      <c r="S392" s="383"/>
      <c r="T392" s="383"/>
      <c r="U392" s="383"/>
      <c r="V392" s="383"/>
      <c r="W392" s="383"/>
      <c r="X392" s="383"/>
      <c r="Y392" s="383"/>
      <c r="Z392" s="383"/>
      <c r="AA392" s="383"/>
      <c r="AB392" s="383"/>
    </row>
    <row r="393" ht="16.5" customHeight="1">
      <c r="A393" s="465"/>
      <c r="B393" s="465"/>
      <c r="C393" s="383"/>
      <c r="D393" s="383"/>
      <c r="E393" s="383"/>
      <c r="F393" s="383"/>
      <c r="G393" s="383"/>
      <c r="H393" s="383"/>
      <c r="I393" s="383"/>
      <c r="J393" s="383"/>
      <c r="K393" s="383"/>
      <c r="L393" s="383"/>
      <c r="M393" s="383"/>
      <c r="N393" s="383"/>
      <c r="O393" s="383"/>
      <c r="P393" s="383"/>
      <c r="Q393" s="383"/>
      <c r="R393" s="383"/>
      <c r="S393" s="383"/>
      <c r="T393" s="383"/>
      <c r="U393" s="383"/>
      <c r="V393" s="383"/>
      <c r="W393" s="383"/>
      <c r="X393" s="383"/>
      <c r="Y393" s="383"/>
      <c r="Z393" s="383"/>
      <c r="AA393" s="383"/>
      <c r="AB393" s="383"/>
    </row>
    <row r="394" ht="16.5" customHeight="1">
      <c r="A394" s="465"/>
      <c r="B394" s="465"/>
      <c r="C394" s="383"/>
      <c r="D394" s="383"/>
      <c r="E394" s="383"/>
      <c r="F394" s="383"/>
      <c r="G394" s="383"/>
      <c r="H394" s="383"/>
      <c r="I394" s="383"/>
      <c r="J394" s="383"/>
      <c r="K394" s="383"/>
      <c r="L394" s="383"/>
      <c r="M394" s="383"/>
      <c r="N394" s="383"/>
      <c r="O394" s="383"/>
      <c r="P394" s="383"/>
      <c r="Q394" s="383"/>
      <c r="R394" s="383"/>
      <c r="S394" s="383"/>
      <c r="T394" s="383"/>
      <c r="U394" s="383"/>
      <c r="V394" s="383"/>
      <c r="W394" s="383"/>
      <c r="X394" s="383"/>
      <c r="Y394" s="383"/>
      <c r="Z394" s="383"/>
      <c r="AA394" s="383"/>
      <c r="AB394" s="383"/>
    </row>
    <row r="395" ht="16.5" customHeight="1">
      <c r="A395" s="465"/>
      <c r="B395" s="465"/>
      <c r="C395" s="383"/>
      <c r="D395" s="383"/>
      <c r="E395" s="383"/>
      <c r="F395" s="383"/>
      <c r="G395" s="383"/>
      <c r="H395" s="383"/>
      <c r="I395" s="383"/>
      <c r="J395" s="383"/>
      <c r="K395" s="383"/>
      <c r="L395" s="383"/>
      <c r="M395" s="383"/>
      <c r="N395" s="383"/>
      <c r="O395" s="383"/>
      <c r="P395" s="383"/>
      <c r="Q395" s="383"/>
      <c r="R395" s="383"/>
      <c r="S395" s="383"/>
      <c r="T395" s="383"/>
      <c r="U395" s="383"/>
      <c r="V395" s="383"/>
      <c r="W395" s="383"/>
      <c r="X395" s="383"/>
      <c r="Y395" s="383"/>
      <c r="Z395" s="383"/>
      <c r="AA395" s="383"/>
      <c r="AB395" s="383"/>
    </row>
    <row r="396" ht="16.5" customHeight="1">
      <c r="A396" s="465"/>
      <c r="B396" s="465"/>
      <c r="C396" s="383"/>
      <c r="D396" s="383"/>
      <c r="E396" s="383"/>
      <c r="F396" s="383"/>
      <c r="G396" s="383"/>
      <c r="H396" s="383"/>
      <c r="I396" s="383"/>
      <c r="J396" s="383"/>
      <c r="K396" s="383"/>
      <c r="L396" s="383"/>
      <c r="M396" s="383"/>
      <c r="N396" s="383"/>
      <c r="O396" s="383"/>
      <c r="P396" s="383"/>
      <c r="Q396" s="383"/>
      <c r="R396" s="383"/>
      <c r="S396" s="383"/>
      <c r="T396" s="383"/>
      <c r="U396" s="383"/>
      <c r="V396" s="383"/>
      <c r="W396" s="383"/>
      <c r="X396" s="383"/>
      <c r="Y396" s="383"/>
      <c r="Z396" s="383"/>
      <c r="AA396" s="383"/>
      <c r="AB396" s="383"/>
    </row>
    <row r="397" ht="16.5" customHeight="1">
      <c r="A397" s="465"/>
      <c r="B397" s="465"/>
      <c r="C397" s="383"/>
      <c r="D397" s="383"/>
      <c r="E397" s="383"/>
      <c r="F397" s="383"/>
      <c r="G397" s="383"/>
      <c r="H397" s="383"/>
      <c r="I397" s="383"/>
      <c r="J397" s="383"/>
      <c r="K397" s="383"/>
      <c r="L397" s="383"/>
      <c r="M397" s="383"/>
      <c r="N397" s="383"/>
      <c r="O397" s="383"/>
      <c r="P397" s="383"/>
      <c r="Q397" s="383"/>
      <c r="R397" s="383"/>
      <c r="S397" s="383"/>
      <c r="T397" s="383"/>
      <c r="U397" s="383"/>
      <c r="V397" s="383"/>
      <c r="W397" s="383"/>
      <c r="X397" s="383"/>
      <c r="Y397" s="383"/>
      <c r="Z397" s="383"/>
      <c r="AA397" s="383"/>
      <c r="AB397" s="383"/>
    </row>
    <row r="398" ht="16.5" customHeight="1">
      <c r="A398" s="465"/>
      <c r="B398" s="465"/>
      <c r="C398" s="383"/>
      <c r="D398" s="383"/>
      <c r="E398" s="383"/>
      <c r="F398" s="383"/>
      <c r="G398" s="383"/>
      <c r="H398" s="383"/>
      <c r="I398" s="383"/>
      <c r="J398" s="383"/>
      <c r="K398" s="383"/>
      <c r="L398" s="383"/>
      <c r="M398" s="383"/>
      <c r="N398" s="383"/>
      <c r="O398" s="383"/>
      <c r="P398" s="383"/>
      <c r="Q398" s="383"/>
      <c r="R398" s="383"/>
      <c r="S398" s="383"/>
      <c r="T398" s="383"/>
      <c r="U398" s="383"/>
      <c r="V398" s="383"/>
      <c r="W398" s="383"/>
      <c r="X398" s="383"/>
      <c r="Y398" s="383"/>
      <c r="Z398" s="383"/>
      <c r="AA398" s="383"/>
      <c r="AB398" s="383"/>
    </row>
    <row r="399" ht="16.5" customHeight="1">
      <c r="A399" s="465"/>
      <c r="B399" s="465"/>
      <c r="C399" s="383"/>
      <c r="D399" s="383"/>
      <c r="E399" s="383"/>
      <c r="F399" s="383"/>
      <c r="G399" s="383"/>
      <c r="H399" s="383"/>
      <c r="I399" s="383"/>
      <c r="J399" s="383"/>
      <c r="K399" s="383"/>
      <c r="L399" s="383"/>
      <c r="M399" s="383"/>
      <c r="N399" s="383"/>
      <c r="O399" s="383"/>
      <c r="P399" s="383"/>
      <c r="Q399" s="383"/>
      <c r="R399" s="383"/>
      <c r="S399" s="383"/>
      <c r="T399" s="383"/>
      <c r="U399" s="383"/>
      <c r="V399" s="383"/>
      <c r="W399" s="383"/>
      <c r="X399" s="383"/>
      <c r="Y399" s="383"/>
      <c r="Z399" s="383"/>
      <c r="AA399" s="383"/>
      <c r="AB399" s="383"/>
    </row>
    <row r="400" ht="16.5" customHeight="1">
      <c r="A400" s="465"/>
      <c r="B400" s="465"/>
      <c r="C400" s="383"/>
      <c r="D400" s="383"/>
      <c r="E400" s="383"/>
      <c r="F400" s="383"/>
      <c r="G400" s="383"/>
      <c r="H400" s="383"/>
      <c r="I400" s="383"/>
      <c r="J400" s="383"/>
      <c r="K400" s="383"/>
      <c r="L400" s="383"/>
      <c r="M400" s="383"/>
      <c r="N400" s="383"/>
      <c r="O400" s="383"/>
      <c r="P400" s="383"/>
      <c r="Q400" s="383"/>
      <c r="R400" s="383"/>
      <c r="S400" s="383"/>
      <c r="T400" s="383"/>
      <c r="U400" s="383"/>
      <c r="V400" s="383"/>
      <c r="W400" s="383"/>
      <c r="X400" s="383"/>
      <c r="Y400" s="383"/>
      <c r="Z400" s="383"/>
      <c r="AA400" s="383"/>
      <c r="AB400" s="383"/>
    </row>
    <row r="401" ht="16.5" customHeight="1">
      <c r="A401" s="465"/>
      <c r="B401" s="465"/>
      <c r="C401" s="383"/>
      <c r="D401" s="383"/>
      <c r="E401" s="383"/>
      <c r="F401" s="383"/>
      <c r="G401" s="383"/>
      <c r="H401" s="383"/>
      <c r="I401" s="383"/>
      <c r="J401" s="383"/>
      <c r="K401" s="383"/>
      <c r="L401" s="383"/>
      <c r="M401" s="383"/>
      <c r="N401" s="383"/>
      <c r="O401" s="383"/>
      <c r="P401" s="383"/>
      <c r="Q401" s="383"/>
      <c r="R401" s="383"/>
      <c r="S401" s="383"/>
      <c r="T401" s="383"/>
      <c r="U401" s="383"/>
      <c r="V401" s="383"/>
      <c r="W401" s="383"/>
      <c r="X401" s="383"/>
      <c r="Y401" s="383"/>
      <c r="Z401" s="383"/>
      <c r="AA401" s="383"/>
      <c r="AB401" s="383"/>
    </row>
    <row r="402" ht="16.5" customHeight="1">
      <c r="A402" s="465"/>
      <c r="B402" s="465"/>
      <c r="C402" s="383"/>
      <c r="D402" s="383"/>
      <c r="E402" s="383"/>
      <c r="F402" s="383"/>
      <c r="G402" s="383"/>
      <c r="H402" s="383"/>
      <c r="I402" s="383"/>
      <c r="J402" s="383"/>
      <c r="K402" s="383"/>
      <c r="L402" s="383"/>
      <c r="M402" s="383"/>
      <c r="N402" s="383"/>
      <c r="O402" s="383"/>
      <c r="P402" s="383"/>
      <c r="Q402" s="383"/>
      <c r="R402" s="383"/>
      <c r="S402" s="383"/>
      <c r="T402" s="383"/>
      <c r="U402" s="383"/>
      <c r="V402" s="383"/>
      <c r="W402" s="383"/>
      <c r="X402" s="383"/>
      <c r="Y402" s="383"/>
      <c r="Z402" s="383"/>
      <c r="AA402" s="383"/>
      <c r="AB402" s="383"/>
    </row>
    <row r="403" ht="16.5" customHeight="1">
      <c r="A403" s="465"/>
      <c r="B403" s="465"/>
      <c r="C403" s="383"/>
      <c r="D403" s="383"/>
      <c r="E403" s="383"/>
      <c r="F403" s="383"/>
      <c r="G403" s="383"/>
      <c r="H403" s="383"/>
      <c r="I403" s="383"/>
      <c r="J403" s="383"/>
      <c r="K403" s="383"/>
      <c r="L403" s="383"/>
      <c r="M403" s="383"/>
      <c r="N403" s="383"/>
      <c r="O403" s="383"/>
      <c r="P403" s="383"/>
      <c r="Q403" s="383"/>
      <c r="R403" s="383"/>
      <c r="S403" s="383"/>
      <c r="T403" s="383"/>
      <c r="U403" s="383"/>
      <c r="V403" s="383"/>
      <c r="W403" s="383"/>
      <c r="X403" s="383"/>
      <c r="Y403" s="383"/>
      <c r="Z403" s="383"/>
      <c r="AA403" s="383"/>
      <c r="AB403" s="383"/>
    </row>
    <row r="404" ht="16.5" customHeight="1">
      <c r="A404" s="465"/>
      <c r="B404" s="465"/>
      <c r="C404" s="383"/>
      <c r="D404" s="383"/>
      <c r="E404" s="383"/>
      <c r="F404" s="383"/>
      <c r="G404" s="383"/>
      <c r="H404" s="383"/>
      <c r="I404" s="383"/>
      <c r="J404" s="383"/>
      <c r="K404" s="383"/>
      <c r="L404" s="383"/>
      <c r="M404" s="383"/>
      <c r="N404" s="383"/>
      <c r="O404" s="383"/>
      <c r="P404" s="383"/>
      <c r="Q404" s="383"/>
      <c r="R404" s="383"/>
      <c r="S404" s="383"/>
      <c r="T404" s="383"/>
      <c r="U404" s="383"/>
      <c r="V404" s="383"/>
      <c r="W404" s="383"/>
      <c r="X404" s="383"/>
      <c r="Y404" s="383"/>
      <c r="Z404" s="383"/>
      <c r="AA404" s="383"/>
      <c r="AB404" s="383"/>
    </row>
    <row r="405" ht="16.5" customHeight="1">
      <c r="A405" s="465"/>
      <c r="B405" s="465"/>
      <c r="C405" s="383"/>
      <c r="D405" s="383"/>
      <c r="E405" s="383"/>
      <c r="F405" s="383"/>
      <c r="G405" s="383"/>
      <c r="H405" s="383"/>
      <c r="I405" s="383"/>
      <c r="J405" s="383"/>
      <c r="K405" s="383"/>
      <c r="L405" s="383"/>
      <c r="M405" s="383"/>
      <c r="N405" s="383"/>
      <c r="O405" s="383"/>
      <c r="P405" s="383"/>
      <c r="Q405" s="383"/>
      <c r="R405" s="383"/>
      <c r="S405" s="383"/>
      <c r="T405" s="383"/>
      <c r="U405" s="383"/>
      <c r="V405" s="383"/>
      <c r="W405" s="383"/>
      <c r="X405" s="383"/>
      <c r="Y405" s="383"/>
      <c r="Z405" s="383"/>
      <c r="AA405" s="383"/>
      <c r="AB405" s="383"/>
    </row>
    <row r="406" ht="16.5" customHeight="1">
      <c r="A406" s="465"/>
      <c r="B406" s="465"/>
      <c r="C406" s="383"/>
      <c r="D406" s="383"/>
      <c r="E406" s="383"/>
      <c r="F406" s="383"/>
      <c r="G406" s="383"/>
      <c r="H406" s="383"/>
      <c r="I406" s="383"/>
      <c r="J406" s="383"/>
      <c r="K406" s="383"/>
      <c r="L406" s="383"/>
      <c r="M406" s="383"/>
      <c r="N406" s="383"/>
      <c r="O406" s="383"/>
      <c r="P406" s="383"/>
      <c r="Q406" s="383"/>
      <c r="R406" s="383"/>
      <c r="S406" s="383"/>
      <c r="T406" s="383"/>
      <c r="U406" s="383"/>
      <c r="V406" s="383"/>
      <c r="W406" s="383"/>
      <c r="X406" s="383"/>
      <c r="Y406" s="383"/>
      <c r="Z406" s="383"/>
      <c r="AA406" s="383"/>
      <c r="AB406" s="383"/>
    </row>
    <row r="407" ht="16.5" customHeight="1">
      <c r="A407" s="465"/>
      <c r="B407" s="465"/>
      <c r="C407" s="383"/>
      <c r="D407" s="383"/>
      <c r="E407" s="383"/>
      <c r="F407" s="383"/>
      <c r="G407" s="383"/>
      <c r="H407" s="383"/>
      <c r="I407" s="383"/>
      <c r="J407" s="383"/>
      <c r="K407" s="383"/>
      <c r="L407" s="383"/>
      <c r="M407" s="383"/>
      <c r="N407" s="383"/>
      <c r="O407" s="383"/>
      <c r="P407" s="383"/>
      <c r="Q407" s="383"/>
      <c r="R407" s="383"/>
      <c r="S407" s="383"/>
      <c r="T407" s="383"/>
      <c r="U407" s="383"/>
      <c r="V407" s="383"/>
      <c r="W407" s="383"/>
      <c r="X407" s="383"/>
      <c r="Y407" s="383"/>
      <c r="Z407" s="383"/>
      <c r="AA407" s="383"/>
      <c r="AB407" s="383"/>
    </row>
    <row r="408" ht="16.5" customHeight="1">
      <c r="A408" s="465"/>
      <c r="B408" s="465"/>
      <c r="C408" s="383"/>
      <c r="D408" s="383"/>
      <c r="E408" s="383"/>
      <c r="F408" s="383"/>
      <c r="G408" s="383"/>
      <c r="H408" s="383"/>
      <c r="I408" s="383"/>
      <c r="J408" s="383"/>
      <c r="K408" s="383"/>
      <c r="L408" s="383"/>
      <c r="M408" s="383"/>
      <c r="N408" s="383"/>
      <c r="O408" s="383"/>
      <c r="P408" s="383"/>
      <c r="Q408" s="383"/>
      <c r="R408" s="383"/>
      <c r="S408" s="383"/>
      <c r="T408" s="383"/>
      <c r="U408" s="383"/>
      <c r="V408" s="383"/>
      <c r="W408" s="383"/>
      <c r="X408" s="383"/>
      <c r="Y408" s="383"/>
      <c r="Z408" s="383"/>
      <c r="AA408" s="383"/>
      <c r="AB408" s="383"/>
    </row>
    <row r="409" ht="16.5" customHeight="1">
      <c r="A409" s="465"/>
      <c r="B409" s="465"/>
      <c r="C409" s="383"/>
      <c r="D409" s="383"/>
      <c r="E409" s="383"/>
      <c r="F409" s="383"/>
      <c r="G409" s="383"/>
      <c r="H409" s="383"/>
      <c r="I409" s="383"/>
      <c r="J409" s="383"/>
      <c r="K409" s="383"/>
      <c r="L409" s="383"/>
      <c r="M409" s="383"/>
      <c r="N409" s="383"/>
      <c r="O409" s="383"/>
      <c r="P409" s="383"/>
      <c r="Q409" s="383"/>
      <c r="R409" s="383"/>
      <c r="S409" s="383"/>
      <c r="T409" s="383"/>
      <c r="U409" s="383"/>
      <c r="V409" s="383"/>
      <c r="W409" s="383"/>
      <c r="X409" s="383"/>
      <c r="Y409" s="383"/>
      <c r="Z409" s="383"/>
      <c r="AA409" s="383"/>
      <c r="AB409" s="383"/>
    </row>
    <row r="410" ht="16.5" customHeight="1">
      <c r="A410" s="465"/>
      <c r="B410" s="465"/>
      <c r="C410" s="383"/>
      <c r="D410" s="383"/>
      <c r="E410" s="383"/>
      <c r="F410" s="383"/>
      <c r="G410" s="383"/>
      <c r="H410" s="383"/>
      <c r="I410" s="383"/>
      <c r="J410" s="383"/>
      <c r="K410" s="383"/>
      <c r="L410" s="383"/>
      <c r="M410" s="383"/>
      <c r="N410" s="383"/>
      <c r="O410" s="383"/>
      <c r="P410" s="383"/>
      <c r="Q410" s="383"/>
      <c r="R410" s="383"/>
      <c r="S410" s="383"/>
      <c r="T410" s="383"/>
      <c r="U410" s="383"/>
      <c r="V410" s="383"/>
      <c r="W410" s="383"/>
      <c r="X410" s="383"/>
      <c r="Y410" s="383"/>
      <c r="Z410" s="383"/>
      <c r="AA410" s="383"/>
      <c r="AB410" s="383"/>
    </row>
    <row r="411" ht="16.5" customHeight="1">
      <c r="A411" s="465"/>
      <c r="B411" s="465"/>
      <c r="C411" s="383"/>
      <c r="D411" s="383"/>
      <c r="E411" s="383"/>
      <c r="F411" s="383"/>
      <c r="G411" s="383"/>
      <c r="H411" s="383"/>
      <c r="I411" s="383"/>
      <c r="J411" s="383"/>
      <c r="K411" s="383"/>
      <c r="L411" s="383"/>
      <c r="M411" s="383"/>
      <c r="N411" s="383"/>
      <c r="O411" s="383"/>
      <c r="P411" s="383"/>
      <c r="Q411" s="383"/>
      <c r="R411" s="383"/>
      <c r="S411" s="383"/>
      <c r="T411" s="383"/>
      <c r="U411" s="383"/>
      <c r="V411" s="383"/>
      <c r="W411" s="383"/>
      <c r="X411" s="383"/>
      <c r="Y411" s="383"/>
      <c r="Z411" s="383"/>
      <c r="AA411" s="383"/>
      <c r="AB411" s="383"/>
    </row>
    <row r="412" ht="16.5" customHeight="1">
      <c r="A412" s="465"/>
      <c r="B412" s="465"/>
      <c r="C412" s="383"/>
      <c r="D412" s="383"/>
      <c r="E412" s="383"/>
      <c r="F412" s="383"/>
      <c r="G412" s="383"/>
      <c r="H412" s="383"/>
      <c r="I412" s="383"/>
      <c r="J412" s="383"/>
      <c r="K412" s="383"/>
      <c r="L412" s="383"/>
      <c r="M412" s="383"/>
      <c r="N412" s="383"/>
      <c r="O412" s="383"/>
      <c r="P412" s="383"/>
      <c r="Q412" s="383"/>
      <c r="R412" s="383"/>
      <c r="S412" s="383"/>
      <c r="T412" s="383"/>
      <c r="U412" s="383"/>
      <c r="V412" s="383"/>
      <c r="W412" s="383"/>
      <c r="X412" s="383"/>
      <c r="Y412" s="383"/>
      <c r="Z412" s="383"/>
      <c r="AA412" s="383"/>
      <c r="AB412" s="383"/>
    </row>
    <row r="413" ht="16.5" customHeight="1">
      <c r="A413" s="465"/>
      <c r="B413" s="465"/>
      <c r="C413" s="383"/>
      <c r="D413" s="383"/>
      <c r="E413" s="383"/>
      <c r="F413" s="383"/>
      <c r="G413" s="383"/>
      <c r="H413" s="383"/>
      <c r="I413" s="383"/>
      <c r="J413" s="383"/>
      <c r="K413" s="383"/>
      <c r="L413" s="383"/>
      <c r="M413" s="383"/>
      <c r="N413" s="383"/>
      <c r="O413" s="383"/>
      <c r="P413" s="383"/>
      <c r="Q413" s="383"/>
      <c r="R413" s="383"/>
      <c r="S413" s="383"/>
      <c r="T413" s="383"/>
      <c r="U413" s="383"/>
      <c r="V413" s="383"/>
      <c r="W413" s="383"/>
      <c r="X413" s="383"/>
      <c r="Y413" s="383"/>
      <c r="Z413" s="383"/>
      <c r="AA413" s="383"/>
      <c r="AB413" s="383"/>
    </row>
    <row r="414" ht="16.5" customHeight="1">
      <c r="A414" s="465"/>
      <c r="B414" s="465"/>
      <c r="C414" s="383"/>
      <c r="D414" s="383"/>
      <c r="E414" s="383"/>
      <c r="F414" s="383"/>
      <c r="G414" s="383"/>
      <c r="H414" s="383"/>
      <c r="I414" s="383"/>
      <c r="J414" s="383"/>
      <c r="K414" s="383"/>
      <c r="L414" s="383"/>
      <c r="M414" s="383"/>
      <c r="N414" s="383"/>
      <c r="O414" s="383"/>
      <c r="P414" s="383"/>
      <c r="Q414" s="383"/>
      <c r="R414" s="383"/>
      <c r="S414" s="383"/>
      <c r="T414" s="383"/>
      <c r="U414" s="383"/>
      <c r="V414" s="383"/>
      <c r="W414" s="383"/>
      <c r="X414" s="383"/>
      <c r="Y414" s="383"/>
      <c r="Z414" s="383"/>
      <c r="AA414" s="383"/>
      <c r="AB414" s="383"/>
    </row>
    <row r="415" ht="16.5" customHeight="1">
      <c r="A415" s="465"/>
      <c r="B415" s="465"/>
      <c r="C415" s="383"/>
      <c r="D415" s="383"/>
      <c r="E415" s="383"/>
      <c r="F415" s="383"/>
      <c r="G415" s="383"/>
      <c r="H415" s="383"/>
      <c r="I415" s="383"/>
      <c r="J415" s="383"/>
      <c r="K415" s="383"/>
      <c r="L415" s="383"/>
      <c r="M415" s="383"/>
      <c r="N415" s="383"/>
      <c r="O415" s="383"/>
      <c r="P415" s="383"/>
      <c r="Q415" s="383"/>
      <c r="R415" s="383"/>
      <c r="S415" s="383"/>
      <c r="T415" s="383"/>
      <c r="U415" s="383"/>
      <c r="V415" s="383"/>
      <c r="W415" s="383"/>
      <c r="X415" s="383"/>
      <c r="Y415" s="383"/>
      <c r="Z415" s="383"/>
      <c r="AA415" s="383"/>
      <c r="AB415" s="383"/>
    </row>
    <row r="416" ht="16.5" customHeight="1">
      <c r="A416" s="465"/>
      <c r="B416" s="465"/>
      <c r="C416" s="383"/>
      <c r="D416" s="383"/>
      <c r="E416" s="383"/>
      <c r="F416" s="383"/>
      <c r="G416" s="383"/>
      <c r="H416" s="383"/>
      <c r="I416" s="383"/>
      <c r="J416" s="383"/>
      <c r="K416" s="383"/>
      <c r="L416" s="383"/>
      <c r="M416" s="383"/>
      <c r="N416" s="383"/>
      <c r="O416" s="383"/>
      <c r="P416" s="383"/>
      <c r="Q416" s="383"/>
      <c r="R416" s="383"/>
      <c r="S416" s="383"/>
      <c r="T416" s="383"/>
      <c r="U416" s="383"/>
      <c r="V416" s="383"/>
      <c r="W416" s="383"/>
      <c r="X416" s="383"/>
      <c r="Y416" s="383"/>
      <c r="Z416" s="383"/>
      <c r="AA416" s="383"/>
      <c r="AB416" s="383"/>
    </row>
    <row r="417" ht="16.5" customHeight="1">
      <c r="A417" s="465"/>
      <c r="B417" s="465"/>
      <c r="C417" s="383"/>
      <c r="D417" s="383"/>
      <c r="E417" s="383"/>
      <c r="F417" s="383"/>
      <c r="G417" s="383"/>
      <c r="H417" s="383"/>
      <c r="I417" s="383"/>
      <c r="J417" s="383"/>
      <c r="K417" s="383"/>
      <c r="L417" s="383"/>
      <c r="M417" s="383"/>
      <c r="N417" s="383"/>
      <c r="O417" s="383"/>
      <c r="P417" s="383"/>
      <c r="Q417" s="383"/>
      <c r="R417" s="383"/>
      <c r="S417" s="383"/>
      <c r="T417" s="383"/>
      <c r="U417" s="383"/>
      <c r="V417" s="383"/>
      <c r="W417" s="383"/>
      <c r="X417" s="383"/>
      <c r="Y417" s="383"/>
      <c r="Z417" s="383"/>
      <c r="AA417" s="383"/>
      <c r="AB417" s="383"/>
    </row>
    <row r="418" ht="16.5" customHeight="1">
      <c r="A418" s="465"/>
      <c r="B418" s="465"/>
      <c r="C418" s="383"/>
      <c r="D418" s="383"/>
      <c r="E418" s="383"/>
      <c r="F418" s="383"/>
      <c r="G418" s="383"/>
      <c r="H418" s="383"/>
      <c r="I418" s="383"/>
      <c r="J418" s="383"/>
      <c r="K418" s="383"/>
      <c r="L418" s="383"/>
      <c r="M418" s="383"/>
      <c r="N418" s="383"/>
      <c r="O418" s="383"/>
      <c r="P418" s="383"/>
      <c r="Q418" s="383"/>
      <c r="R418" s="383"/>
      <c r="S418" s="383"/>
      <c r="T418" s="383"/>
      <c r="U418" s="383"/>
      <c r="V418" s="383"/>
      <c r="W418" s="383"/>
      <c r="X418" s="383"/>
      <c r="Y418" s="383"/>
      <c r="Z418" s="383"/>
      <c r="AA418" s="383"/>
      <c r="AB418" s="383"/>
    </row>
    <row r="419" ht="16.5" customHeight="1">
      <c r="A419" s="465"/>
      <c r="B419" s="465"/>
      <c r="C419" s="383"/>
      <c r="D419" s="383"/>
      <c r="E419" s="383"/>
      <c r="F419" s="383"/>
      <c r="G419" s="383"/>
      <c r="H419" s="383"/>
      <c r="I419" s="383"/>
      <c r="J419" s="383"/>
      <c r="K419" s="383"/>
      <c r="L419" s="383"/>
      <c r="M419" s="383"/>
      <c r="N419" s="383"/>
      <c r="O419" s="383"/>
      <c r="P419" s="383"/>
      <c r="Q419" s="383"/>
      <c r="R419" s="383"/>
      <c r="S419" s="383"/>
      <c r="T419" s="383"/>
      <c r="U419" s="383"/>
      <c r="V419" s="383"/>
      <c r="W419" s="383"/>
      <c r="X419" s="383"/>
      <c r="Y419" s="383"/>
      <c r="Z419" s="383"/>
      <c r="AA419" s="383"/>
      <c r="AB419" s="383"/>
    </row>
    <row r="420" ht="16.5" customHeight="1">
      <c r="A420" s="465"/>
      <c r="B420" s="465"/>
      <c r="C420" s="383"/>
      <c r="D420" s="383"/>
      <c r="E420" s="383"/>
      <c r="F420" s="383"/>
      <c r="G420" s="383"/>
      <c r="H420" s="383"/>
      <c r="I420" s="383"/>
      <c r="J420" s="383"/>
      <c r="K420" s="383"/>
      <c r="L420" s="383"/>
      <c r="M420" s="383"/>
      <c r="N420" s="383"/>
      <c r="O420" s="383"/>
      <c r="P420" s="383"/>
      <c r="Q420" s="383"/>
      <c r="R420" s="383"/>
      <c r="S420" s="383"/>
      <c r="T420" s="383"/>
      <c r="U420" s="383"/>
      <c r="V420" s="383"/>
      <c r="W420" s="383"/>
      <c r="X420" s="383"/>
      <c r="Y420" s="383"/>
      <c r="Z420" s="383"/>
      <c r="AA420" s="383"/>
      <c r="AB420" s="383"/>
    </row>
    <row r="421" ht="16.5" customHeight="1">
      <c r="A421" s="465"/>
      <c r="B421" s="465"/>
      <c r="C421" s="383"/>
      <c r="D421" s="383"/>
      <c r="E421" s="383"/>
      <c r="F421" s="383"/>
      <c r="G421" s="383"/>
      <c r="H421" s="383"/>
      <c r="I421" s="383"/>
      <c r="J421" s="383"/>
      <c r="K421" s="383"/>
      <c r="L421" s="383"/>
      <c r="M421" s="383"/>
      <c r="N421" s="383"/>
      <c r="O421" s="383"/>
      <c r="P421" s="383"/>
      <c r="Q421" s="383"/>
      <c r="R421" s="383"/>
      <c r="S421" s="383"/>
      <c r="T421" s="383"/>
      <c r="U421" s="383"/>
      <c r="V421" s="383"/>
      <c r="W421" s="383"/>
      <c r="X421" s="383"/>
      <c r="Y421" s="383"/>
      <c r="Z421" s="383"/>
      <c r="AA421" s="383"/>
      <c r="AB421" s="383"/>
    </row>
    <row r="422" ht="16.5" customHeight="1">
      <c r="A422" s="465"/>
      <c r="B422" s="465"/>
      <c r="C422" s="383"/>
      <c r="D422" s="383"/>
      <c r="E422" s="383"/>
      <c r="F422" s="383"/>
      <c r="G422" s="383"/>
      <c r="H422" s="383"/>
      <c r="I422" s="383"/>
      <c r="J422" s="383"/>
      <c r="K422" s="383"/>
      <c r="L422" s="383"/>
      <c r="M422" s="383"/>
      <c r="N422" s="383"/>
      <c r="O422" s="383"/>
      <c r="P422" s="383"/>
      <c r="Q422" s="383"/>
      <c r="R422" s="383"/>
      <c r="S422" s="383"/>
      <c r="T422" s="383"/>
      <c r="U422" s="383"/>
      <c r="V422" s="383"/>
      <c r="W422" s="383"/>
      <c r="X422" s="383"/>
      <c r="Y422" s="383"/>
      <c r="Z422" s="383"/>
      <c r="AA422" s="383"/>
      <c r="AB422" s="383"/>
    </row>
    <row r="423" ht="16.5" customHeight="1">
      <c r="A423" s="465"/>
      <c r="B423" s="465"/>
      <c r="C423" s="383"/>
      <c r="D423" s="383"/>
      <c r="E423" s="383"/>
      <c r="F423" s="383"/>
      <c r="G423" s="383"/>
      <c r="H423" s="383"/>
      <c r="I423" s="383"/>
      <c r="J423" s="383"/>
      <c r="K423" s="383"/>
      <c r="L423" s="383"/>
      <c r="M423" s="383"/>
      <c r="N423" s="383"/>
      <c r="O423" s="383"/>
      <c r="P423" s="383"/>
      <c r="Q423" s="383"/>
      <c r="R423" s="383"/>
      <c r="S423" s="383"/>
      <c r="T423" s="383"/>
      <c r="U423" s="383"/>
      <c r="V423" s="383"/>
      <c r="W423" s="383"/>
      <c r="X423" s="383"/>
      <c r="Y423" s="383"/>
      <c r="Z423" s="383"/>
      <c r="AA423" s="383"/>
      <c r="AB423" s="383"/>
    </row>
    <row r="424" ht="16.5" customHeight="1">
      <c r="A424" s="465"/>
      <c r="B424" s="465"/>
      <c r="C424" s="383"/>
      <c r="D424" s="383"/>
      <c r="E424" s="383"/>
      <c r="F424" s="383"/>
      <c r="G424" s="383"/>
      <c r="H424" s="383"/>
      <c r="I424" s="383"/>
      <c r="J424" s="383"/>
      <c r="K424" s="383"/>
      <c r="L424" s="383"/>
      <c r="M424" s="383"/>
      <c r="N424" s="383"/>
      <c r="O424" s="383"/>
      <c r="P424" s="383"/>
      <c r="Q424" s="383"/>
      <c r="R424" s="383"/>
      <c r="S424" s="383"/>
      <c r="T424" s="383"/>
      <c r="U424" s="383"/>
      <c r="V424" s="383"/>
      <c r="W424" s="383"/>
      <c r="X424" s="383"/>
      <c r="Y424" s="383"/>
      <c r="Z424" s="383"/>
      <c r="AA424" s="383"/>
      <c r="AB424" s="383"/>
    </row>
    <row r="425" ht="16.5" customHeight="1">
      <c r="A425" s="465"/>
      <c r="B425" s="465"/>
      <c r="C425" s="383"/>
      <c r="D425" s="383"/>
      <c r="E425" s="383"/>
      <c r="F425" s="383"/>
      <c r="G425" s="383"/>
      <c r="H425" s="383"/>
      <c r="I425" s="383"/>
      <c r="J425" s="383"/>
      <c r="K425" s="383"/>
      <c r="L425" s="383"/>
      <c r="M425" s="383"/>
      <c r="N425" s="383"/>
      <c r="O425" s="383"/>
      <c r="P425" s="383"/>
      <c r="Q425" s="383"/>
      <c r="R425" s="383"/>
      <c r="S425" s="383"/>
      <c r="T425" s="383"/>
      <c r="U425" s="383"/>
      <c r="V425" s="383"/>
      <c r="W425" s="383"/>
      <c r="X425" s="383"/>
      <c r="Y425" s="383"/>
      <c r="Z425" s="383"/>
      <c r="AA425" s="383"/>
      <c r="AB425" s="383"/>
    </row>
    <row r="426" ht="16.5" customHeight="1">
      <c r="A426" s="465"/>
      <c r="B426" s="465"/>
      <c r="C426" s="383"/>
      <c r="D426" s="383"/>
      <c r="E426" s="383"/>
      <c r="F426" s="383"/>
      <c r="G426" s="383"/>
      <c r="H426" s="383"/>
      <c r="I426" s="383"/>
      <c r="J426" s="383"/>
      <c r="K426" s="383"/>
      <c r="L426" s="383"/>
      <c r="M426" s="383"/>
      <c r="N426" s="383"/>
      <c r="O426" s="383"/>
      <c r="P426" s="383"/>
      <c r="Q426" s="383"/>
      <c r="R426" s="383"/>
      <c r="S426" s="383"/>
      <c r="T426" s="383"/>
      <c r="U426" s="383"/>
      <c r="V426" s="383"/>
      <c r="W426" s="383"/>
      <c r="X426" s="383"/>
      <c r="Y426" s="383"/>
      <c r="Z426" s="383"/>
      <c r="AA426" s="383"/>
      <c r="AB426" s="383"/>
    </row>
    <row r="427" ht="16.5" customHeight="1">
      <c r="A427" s="465"/>
      <c r="B427" s="465"/>
      <c r="C427" s="383"/>
      <c r="D427" s="383"/>
      <c r="E427" s="383"/>
      <c r="F427" s="383"/>
      <c r="G427" s="383"/>
      <c r="H427" s="383"/>
      <c r="I427" s="383"/>
      <c r="J427" s="383"/>
      <c r="K427" s="383"/>
      <c r="L427" s="383"/>
      <c r="M427" s="383"/>
      <c r="N427" s="383"/>
      <c r="O427" s="383"/>
      <c r="P427" s="383"/>
      <c r="Q427" s="383"/>
      <c r="R427" s="383"/>
      <c r="S427" s="383"/>
      <c r="T427" s="383"/>
      <c r="U427" s="383"/>
      <c r="V427" s="383"/>
      <c r="W427" s="383"/>
      <c r="X427" s="383"/>
      <c r="Y427" s="383"/>
      <c r="Z427" s="383"/>
      <c r="AA427" s="383"/>
      <c r="AB427" s="383"/>
    </row>
    <row r="428" ht="16.5" customHeight="1">
      <c r="A428" s="465"/>
      <c r="B428" s="465"/>
      <c r="C428" s="383"/>
      <c r="D428" s="383"/>
      <c r="E428" s="383"/>
      <c r="F428" s="383"/>
      <c r="G428" s="383"/>
      <c r="H428" s="383"/>
      <c r="I428" s="383"/>
      <c r="J428" s="383"/>
      <c r="K428" s="383"/>
      <c r="L428" s="383"/>
      <c r="M428" s="383"/>
      <c r="N428" s="383"/>
      <c r="O428" s="383"/>
      <c r="P428" s="383"/>
      <c r="Q428" s="383"/>
      <c r="R428" s="383"/>
      <c r="S428" s="383"/>
      <c r="T428" s="383"/>
      <c r="U428" s="383"/>
      <c r="V428" s="383"/>
      <c r="W428" s="383"/>
      <c r="X428" s="383"/>
      <c r="Y428" s="383"/>
      <c r="Z428" s="383"/>
      <c r="AA428" s="383"/>
      <c r="AB428" s="383"/>
    </row>
    <row r="429" ht="16.5" customHeight="1">
      <c r="A429" s="465"/>
      <c r="B429" s="465"/>
      <c r="C429" s="383"/>
      <c r="D429" s="383"/>
      <c r="E429" s="383"/>
      <c r="F429" s="383"/>
      <c r="G429" s="383"/>
      <c r="H429" s="383"/>
      <c r="I429" s="383"/>
      <c r="J429" s="383"/>
      <c r="K429" s="383"/>
      <c r="L429" s="383"/>
      <c r="M429" s="383"/>
      <c r="N429" s="383"/>
      <c r="O429" s="383"/>
      <c r="P429" s="383"/>
      <c r="Q429" s="383"/>
      <c r="R429" s="383"/>
      <c r="S429" s="383"/>
      <c r="T429" s="383"/>
      <c r="U429" s="383"/>
      <c r="V429" s="383"/>
      <c r="W429" s="383"/>
      <c r="X429" s="383"/>
      <c r="Y429" s="383"/>
      <c r="Z429" s="383"/>
      <c r="AA429" s="383"/>
      <c r="AB429" s="383"/>
    </row>
    <row r="430" ht="16.5" customHeight="1">
      <c r="A430" s="465"/>
      <c r="B430" s="465"/>
      <c r="C430" s="383"/>
      <c r="D430" s="383"/>
      <c r="E430" s="383"/>
      <c r="F430" s="383"/>
      <c r="G430" s="383"/>
      <c r="H430" s="383"/>
      <c r="I430" s="383"/>
      <c r="J430" s="383"/>
      <c r="K430" s="383"/>
      <c r="L430" s="383"/>
      <c r="M430" s="383"/>
      <c r="N430" s="383"/>
      <c r="O430" s="383"/>
      <c r="P430" s="383"/>
      <c r="Q430" s="383"/>
      <c r="R430" s="383"/>
      <c r="S430" s="383"/>
      <c r="T430" s="383"/>
      <c r="U430" s="383"/>
      <c r="V430" s="383"/>
      <c r="W430" s="383"/>
      <c r="X430" s="383"/>
      <c r="Y430" s="383"/>
      <c r="Z430" s="383"/>
      <c r="AA430" s="383"/>
      <c r="AB430" s="383"/>
    </row>
    <row r="431" ht="16.5" customHeight="1">
      <c r="A431" s="465"/>
      <c r="B431" s="465"/>
      <c r="C431" s="383"/>
      <c r="D431" s="383"/>
      <c r="E431" s="383"/>
      <c r="F431" s="383"/>
      <c r="G431" s="383"/>
      <c r="H431" s="383"/>
      <c r="I431" s="383"/>
      <c r="J431" s="383"/>
      <c r="K431" s="383"/>
      <c r="L431" s="383"/>
      <c r="M431" s="383"/>
      <c r="N431" s="383"/>
      <c r="O431" s="383"/>
      <c r="P431" s="383"/>
      <c r="Q431" s="383"/>
      <c r="R431" s="383"/>
      <c r="S431" s="383"/>
      <c r="T431" s="383"/>
      <c r="U431" s="383"/>
      <c r="V431" s="383"/>
      <c r="W431" s="383"/>
      <c r="X431" s="383"/>
      <c r="Y431" s="383"/>
      <c r="Z431" s="383"/>
      <c r="AA431" s="383"/>
      <c r="AB431" s="383"/>
    </row>
    <row r="432" ht="16.5" customHeight="1">
      <c r="A432" s="465"/>
      <c r="B432" s="465"/>
      <c r="C432" s="383"/>
      <c r="D432" s="383"/>
      <c r="E432" s="383"/>
      <c r="F432" s="383"/>
      <c r="G432" s="383"/>
      <c r="H432" s="383"/>
      <c r="I432" s="383"/>
      <c r="J432" s="383"/>
      <c r="K432" s="383"/>
      <c r="L432" s="383"/>
      <c r="M432" s="383"/>
      <c r="N432" s="383"/>
      <c r="O432" s="383"/>
      <c r="P432" s="383"/>
      <c r="Q432" s="383"/>
      <c r="R432" s="383"/>
      <c r="S432" s="383"/>
      <c r="T432" s="383"/>
      <c r="U432" s="383"/>
      <c r="V432" s="383"/>
      <c r="W432" s="383"/>
      <c r="X432" s="383"/>
      <c r="Y432" s="383"/>
      <c r="Z432" s="383"/>
      <c r="AA432" s="383"/>
      <c r="AB432" s="383"/>
    </row>
    <row r="433" ht="16.5" customHeight="1">
      <c r="A433" s="465"/>
      <c r="B433" s="465"/>
      <c r="C433" s="383"/>
      <c r="D433" s="383"/>
      <c r="E433" s="383"/>
      <c r="F433" s="383"/>
      <c r="G433" s="383"/>
      <c r="H433" s="383"/>
      <c r="I433" s="383"/>
      <c r="J433" s="383"/>
      <c r="K433" s="383"/>
      <c r="L433" s="383"/>
      <c r="M433" s="383"/>
      <c r="N433" s="383"/>
      <c r="O433" s="383"/>
      <c r="P433" s="383"/>
      <c r="Q433" s="383"/>
      <c r="R433" s="383"/>
      <c r="S433" s="383"/>
      <c r="T433" s="383"/>
      <c r="U433" s="383"/>
      <c r="V433" s="383"/>
      <c r="W433" s="383"/>
      <c r="X433" s="383"/>
      <c r="Y433" s="383"/>
      <c r="Z433" s="383"/>
      <c r="AA433" s="383"/>
      <c r="AB433" s="383"/>
    </row>
    <row r="434" ht="16.5" customHeight="1">
      <c r="A434" s="465"/>
      <c r="B434" s="465"/>
      <c r="C434" s="383"/>
      <c r="D434" s="383"/>
      <c r="E434" s="383"/>
      <c r="F434" s="383"/>
      <c r="G434" s="383"/>
      <c r="H434" s="383"/>
      <c r="I434" s="383"/>
      <c r="J434" s="383"/>
      <c r="K434" s="383"/>
      <c r="L434" s="383"/>
      <c r="M434" s="383"/>
      <c r="N434" s="383"/>
      <c r="O434" s="383"/>
      <c r="P434" s="383"/>
      <c r="Q434" s="383"/>
      <c r="R434" s="383"/>
      <c r="S434" s="383"/>
      <c r="T434" s="383"/>
      <c r="U434" s="383"/>
      <c r="V434" s="383"/>
      <c r="W434" s="383"/>
      <c r="X434" s="383"/>
      <c r="Y434" s="383"/>
      <c r="Z434" s="383"/>
      <c r="AA434" s="383"/>
      <c r="AB434" s="383"/>
    </row>
    <row r="435" ht="16.5" customHeight="1">
      <c r="A435" s="465"/>
      <c r="B435" s="465"/>
      <c r="C435" s="383"/>
      <c r="D435" s="383"/>
      <c r="E435" s="383"/>
      <c r="F435" s="383"/>
      <c r="G435" s="383"/>
      <c r="H435" s="383"/>
      <c r="I435" s="383"/>
      <c r="J435" s="383"/>
      <c r="K435" s="383"/>
      <c r="L435" s="383"/>
      <c r="M435" s="383"/>
      <c r="N435" s="383"/>
      <c r="O435" s="383"/>
      <c r="P435" s="383"/>
      <c r="Q435" s="383"/>
      <c r="R435" s="383"/>
      <c r="S435" s="383"/>
      <c r="T435" s="383"/>
      <c r="U435" s="383"/>
      <c r="V435" s="383"/>
      <c r="W435" s="383"/>
      <c r="X435" s="383"/>
      <c r="Y435" s="383"/>
      <c r="Z435" s="383"/>
      <c r="AA435" s="383"/>
      <c r="AB435" s="383"/>
    </row>
    <row r="436" ht="16.5" customHeight="1">
      <c r="A436" s="465"/>
      <c r="B436" s="465"/>
      <c r="C436" s="383"/>
      <c r="D436" s="383"/>
      <c r="E436" s="383"/>
      <c r="F436" s="383"/>
      <c r="G436" s="383"/>
      <c r="H436" s="383"/>
      <c r="I436" s="383"/>
      <c r="J436" s="383"/>
      <c r="K436" s="383"/>
      <c r="L436" s="383"/>
      <c r="M436" s="383"/>
      <c r="N436" s="383"/>
      <c r="O436" s="383"/>
      <c r="P436" s="383"/>
      <c r="Q436" s="383"/>
      <c r="R436" s="383"/>
      <c r="S436" s="383"/>
      <c r="T436" s="383"/>
      <c r="U436" s="383"/>
      <c r="V436" s="383"/>
      <c r="W436" s="383"/>
      <c r="X436" s="383"/>
      <c r="Y436" s="383"/>
      <c r="Z436" s="383"/>
      <c r="AA436" s="383"/>
      <c r="AB436" s="383"/>
    </row>
    <row r="437" ht="16.5" customHeight="1">
      <c r="A437" s="465"/>
      <c r="B437" s="465"/>
      <c r="C437" s="383"/>
      <c r="D437" s="383"/>
      <c r="E437" s="383"/>
      <c r="F437" s="383"/>
      <c r="G437" s="383"/>
      <c r="H437" s="383"/>
      <c r="I437" s="383"/>
      <c r="J437" s="383"/>
      <c r="K437" s="383"/>
      <c r="L437" s="383"/>
      <c r="M437" s="383"/>
      <c r="N437" s="383"/>
      <c r="O437" s="383"/>
      <c r="P437" s="383"/>
      <c r="Q437" s="383"/>
      <c r="R437" s="383"/>
      <c r="S437" s="383"/>
      <c r="T437" s="383"/>
      <c r="U437" s="383"/>
      <c r="V437" s="383"/>
      <c r="W437" s="383"/>
      <c r="X437" s="383"/>
      <c r="Y437" s="383"/>
      <c r="Z437" s="383"/>
      <c r="AA437" s="383"/>
      <c r="AB437" s="383"/>
    </row>
    <row r="438" ht="16.5" customHeight="1">
      <c r="A438" s="465"/>
      <c r="B438" s="465"/>
      <c r="C438" s="383"/>
      <c r="D438" s="383"/>
      <c r="E438" s="383"/>
      <c r="F438" s="383"/>
      <c r="G438" s="383"/>
      <c r="H438" s="383"/>
      <c r="I438" s="383"/>
      <c r="J438" s="383"/>
      <c r="K438" s="383"/>
      <c r="L438" s="383"/>
      <c r="M438" s="383"/>
      <c r="N438" s="383"/>
      <c r="O438" s="383"/>
      <c r="P438" s="383"/>
      <c r="Q438" s="383"/>
      <c r="R438" s="383"/>
      <c r="S438" s="383"/>
      <c r="T438" s="383"/>
      <c r="U438" s="383"/>
      <c r="V438" s="383"/>
      <c r="W438" s="383"/>
      <c r="X438" s="383"/>
      <c r="Y438" s="383"/>
      <c r="Z438" s="383"/>
      <c r="AA438" s="383"/>
      <c r="AB438" s="383"/>
    </row>
    <row r="439" ht="16.5" customHeight="1">
      <c r="A439" s="465"/>
      <c r="B439" s="465"/>
      <c r="C439" s="383"/>
      <c r="D439" s="383"/>
      <c r="E439" s="383"/>
      <c r="F439" s="383"/>
      <c r="G439" s="383"/>
      <c r="H439" s="383"/>
      <c r="I439" s="383"/>
      <c r="J439" s="383"/>
      <c r="K439" s="383"/>
      <c r="L439" s="383"/>
      <c r="M439" s="383"/>
      <c r="N439" s="383"/>
      <c r="O439" s="383"/>
      <c r="P439" s="383"/>
      <c r="Q439" s="383"/>
      <c r="R439" s="383"/>
      <c r="S439" s="383"/>
      <c r="T439" s="383"/>
      <c r="U439" s="383"/>
      <c r="V439" s="383"/>
      <c r="W439" s="383"/>
      <c r="X439" s="383"/>
      <c r="Y439" s="383"/>
      <c r="Z439" s="383"/>
      <c r="AA439" s="383"/>
      <c r="AB439" s="383"/>
    </row>
    <row r="440" ht="16.5" customHeight="1">
      <c r="A440" s="465"/>
      <c r="B440" s="465"/>
      <c r="C440" s="383"/>
      <c r="D440" s="383"/>
      <c r="E440" s="383"/>
      <c r="F440" s="383"/>
      <c r="G440" s="383"/>
      <c r="H440" s="383"/>
      <c r="I440" s="383"/>
      <c r="J440" s="383"/>
      <c r="K440" s="383"/>
      <c r="L440" s="383"/>
      <c r="M440" s="383"/>
      <c r="N440" s="383"/>
      <c r="O440" s="383"/>
      <c r="P440" s="383"/>
      <c r="Q440" s="383"/>
      <c r="R440" s="383"/>
      <c r="S440" s="383"/>
      <c r="T440" s="383"/>
      <c r="U440" s="383"/>
      <c r="V440" s="383"/>
      <c r="W440" s="383"/>
      <c r="X440" s="383"/>
      <c r="Y440" s="383"/>
      <c r="Z440" s="383"/>
      <c r="AA440" s="383"/>
      <c r="AB440" s="383"/>
    </row>
    <row r="441" ht="16.5" customHeight="1">
      <c r="A441" s="465"/>
      <c r="B441" s="465"/>
      <c r="C441" s="383"/>
      <c r="D441" s="383"/>
      <c r="E441" s="383"/>
      <c r="F441" s="383"/>
      <c r="G441" s="383"/>
      <c r="H441" s="383"/>
      <c r="I441" s="383"/>
      <c r="J441" s="383"/>
      <c r="K441" s="383"/>
      <c r="L441" s="383"/>
      <c r="M441" s="383"/>
      <c r="N441" s="383"/>
      <c r="O441" s="383"/>
      <c r="P441" s="383"/>
      <c r="Q441" s="383"/>
      <c r="R441" s="383"/>
      <c r="S441" s="383"/>
      <c r="T441" s="383"/>
      <c r="U441" s="383"/>
      <c r="V441" s="383"/>
      <c r="W441" s="383"/>
      <c r="X441" s="383"/>
      <c r="Y441" s="383"/>
      <c r="Z441" s="383"/>
      <c r="AA441" s="383"/>
      <c r="AB441" s="383"/>
    </row>
    <row r="442" ht="16.5" customHeight="1">
      <c r="A442" s="465"/>
      <c r="B442" s="465"/>
      <c r="C442" s="383"/>
      <c r="D442" s="383"/>
      <c r="E442" s="383"/>
      <c r="F442" s="383"/>
      <c r="G442" s="383"/>
      <c r="H442" s="383"/>
      <c r="I442" s="383"/>
      <c r="J442" s="383"/>
      <c r="K442" s="383"/>
      <c r="L442" s="383"/>
      <c r="M442" s="383"/>
      <c r="N442" s="383"/>
      <c r="O442" s="383"/>
      <c r="P442" s="383"/>
      <c r="Q442" s="383"/>
      <c r="R442" s="383"/>
      <c r="S442" s="383"/>
      <c r="T442" s="383"/>
      <c r="U442" s="383"/>
      <c r="V442" s="383"/>
      <c r="W442" s="383"/>
      <c r="X442" s="383"/>
      <c r="Y442" s="383"/>
      <c r="Z442" s="383"/>
      <c r="AA442" s="383"/>
      <c r="AB442" s="383"/>
    </row>
    <row r="443" ht="16.5" customHeight="1">
      <c r="A443" s="465"/>
      <c r="B443" s="465"/>
      <c r="C443" s="383"/>
      <c r="D443" s="383"/>
      <c r="E443" s="383"/>
      <c r="F443" s="383"/>
      <c r="G443" s="383"/>
      <c r="H443" s="383"/>
      <c r="I443" s="383"/>
      <c r="J443" s="383"/>
      <c r="K443" s="383"/>
      <c r="L443" s="383"/>
      <c r="M443" s="383"/>
      <c r="N443" s="383"/>
      <c r="O443" s="383"/>
      <c r="P443" s="383"/>
      <c r="Q443" s="383"/>
      <c r="R443" s="383"/>
      <c r="S443" s="383"/>
      <c r="T443" s="383"/>
      <c r="U443" s="383"/>
      <c r="V443" s="383"/>
      <c r="W443" s="383"/>
      <c r="X443" s="383"/>
      <c r="Y443" s="383"/>
      <c r="Z443" s="383"/>
      <c r="AA443" s="383"/>
      <c r="AB443" s="383"/>
    </row>
    <row r="444" ht="16.5" customHeight="1">
      <c r="A444" s="465"/>
      <c r="B444" s="465"/>
      <c r="C444" s="383"/>
      <c r="D444" s="383"/>
      <c r="E444" s="383"/>
      <c r="F444" s="383"/>
      <c r="G444" s="383"/>
      <c r="H444" s="383"/>
      <c r="I444" s="383"/>
      <c r="J444" s="383"/>
      <c r="K444" s="383"/>
      <c r="L444" s="383"/>
      <c r="M444" s="383"/>
      <c r="N444" s="383"/>
      <c r="O444" s="383"/>
      <c r="P444" s="383"/>
      <c r="Q444" s="383"/>
      <c r="R444" s="383"/>
      <c r="S444" s="383"/>
      <c r="T444" s="383"/>
      <c r="U444" s="383"/>
      <c r="V444" s="383"/>
      <c r="W444" s="383"/>
      <c r="X444" s="383"/>
      <c r="Y444" s="383"/>
      <c r="Z444" s="383"/>
      <c r="AA444" s="383"/>
      <c r="AB444" s="383"/>
    </row>
    <row r="445" ht="16.5" customHeight="1">
      <c r="A445" s="465"/>
      <c r="B445" s="465"/>
      <c r="C445" s="383"/>
      <c r="D445" s="383"/>
      <c r="E445" s="383"/>
      <c r="F445" s="383"/>
      <c r="G445" s="383"/>
      <c r="H445" s="383"/>
      <c r="I445" s="383"/>
      <c r="J445" s="383"/>
      <c r="K445" s="383"/>
      <c r="L445" s="383"/>
      <c r="M445" s="383"/>
      <c r="N445" s="383"/>
      <c r="O445" s="383"/>
      <c r="P445" s="383"/>
      <c r="Q445" s="383"/>
      <c r="R445" s="383"/>
      <c r="S445" s="383"/>
      <c r="T445" s="383"/>
      <c r="U445" s="383"/>
      <c r="V445" s="383"/>
      <c r="W445" s="383"/>
      <c r="X445" s="383"/>
      <c r="Y445" s="383"/>
      <c r="Z445" s="383"/>
      <c r="AA445" s="383"/>
      <c r="AB445" s="383"/>
    </row>
    <row r="446" ht="16.5" customHeight="1">
      <c r="A446" s="465"/>
      <c r="B446" s="465"/>
      <c r="C446" s="383"/>
      <c r="D446" s="383"/>
      <c r="E446" s="383"/>
      <c r="F446" s="383"/>
      <c r="G446" s="383"/>
      <c r="H446" s="383"/>
      <c r="I446" s="383"/>
      <c r="J446" s="383"/>
      <c r="K446" s="383"/>
      <c r="L446" s="383"/>
      <c r="M446" s="383"/>
      <c r="N446" s="383"/>
      <c r="O446" s="383"/>
      <c r="P446" s="383"/>
      <c r="Q446" s="383"/>
      <c r="R446" s="383"/>
      <c r="S446" s="383"/>
      <c r="T446" s="383"/>
      <c r="U446" s="383"/>
      <c r="V446" s="383"/>
      <c r="W446" s="383"/>
      <c r="X446" s="383"/>
      <c r="Y446" s="383"/>
      <c r="Z446" s="383"/>
      <c r="AA446" s="383"/>
      <c r="AB446" s="383"/>
    </row>
    <row r="447" ht="16.5" customHeight="1">
      <c r="A447" s="465"/>
      <c r="B447" s="465"/>
      <c r="C447" s="383"/>
      <c r="D447" s="383"/>
      <c r="E447" s="383"/>
      <c r="F447" s="383"/>
      <c r="G447" s="383"/>
      <c r="H447" s="383"/>
      <c r="I447" s="383"/>
      <c r="J447" s="383"/>
      <c r="K447" s="383"/>
      <c r="L447" s="383"/>
      <c r="M447" s="383"/>
      <c r="N447" s="383"/>
      <c r="O447" s="383"/>
      <c r="P447" s="383"/>
      <c r="Q447" s="383"/>
      <c r="R447" s="383"/>
      <c r="S447" s="383"/>
      <c r="T447" s="383"/>
      <c r="U447" s="383"/>
      <c r="V447" s="383"/>
      <c r="W447" s="383"/>
      <c r="X447" s="383"/>
      <c r="Y447" s="383"/>
      <c r="Z447" s="383"/>
      <c r="AA447" s="383"/>
      <c r="AB447" s="383"/>
    </row>
    <row r="448" ht="16.5" customHeight="1">
      <c r="A448" s="465"/>
      <c r="B448" s="465"/>
      <c r="C448" s="383"/>
      <c r="D448" s="383"/>
      <c r="E448" s="383"/>
      <c r="F448" s="383"/>
      <c r="G448" s="383"/>
      <c r="H448" s="383"/>
      <c r="I448" s="383"/>
      <c r="J448" s="383"/>
      <c r="K448" s="383"/>
      <c r="L448" s="383"/>
      <c r="M448" s="383"/>
      <c r="N448" s="383"/>
      <c r="O448" s="383"/>
      <c r="P448" s="383"/>
      <c r="Q448" s="383"/>
      <c r="R448" s="383"/>
      <c r="S448" s="383"/>
      <c r="T448" s="383"/>
      <c r="U448" s="383"/>
      <c r="V448" s="383"/>
      <c r="W448" s="383"/>
      <c r="X448" s="383"/>
      <c r="Y448" s="383"/>
      <c r="Z448" s="383"/>
      <c r="AA448" s="383"/>
      <c r="AB448" s="383"/>
    </row>
    <row r="449" ht="16.5" customHeight="1">
      <c r="A449" s="465"/>
      <c r="B449" s="465"/>
      <c r="C449" s="383"/>
      <c r="D449" s="383"/>
      <c r="E449" s="383"/>
      <c r="F449" s="383"/>
      <c r="G449" s="383"/>
      <c r="H449" s="383"/>
      <c r="I449" s="383"/>
      <c r="J449" s="383"/>
      <c r="K449" s="383"/>
      <c r="L449" s="383"/>
      <c r="M449" s="383"/>
      <c r="N449" s="383"/>
      <c r="O449" s="383"/>
      <c r="P449" s="383"/>
      <c r="Q449" s="383"/>
      <c r="R449" s="383"/>
      <c r="S449" s="383"/>
      <c r="T449" s="383"/>
      <c r="U449" s="383"/>
      <c r="V449" s="383"/>
      <c r="W449" s="383"/>
      <c r="X449" s="383"/>
      <c r="Y449" s="383"/>
      <c r="Z449" s="383"/>
      <c r="AA449" s="383"/>
      <c r="AB449" s="383"/>
    </row>
    <row r="450" ht="16.5" customHeight="1">
      <c r="A450" s="465"/>
      <c r="B450" s="465"/>
      <c r="C450" s="383"/>
      <c r="D450" s="383"/>
      <c r="E450" s="383"/>
      <c r="F450" s="383"/>
      <c r="G450" s="383"/>
      <c r="H450" s="383"/>
      <c r="I450" s="383"/>
      <c r="J450" s="383"/>
      <c r="K450" s="383"/>
      <c r="L450" s="383"/>
      <c r="M450" s="383"/>
      <c r="N450" s="383"/>
      <c r="O450" s="383"/>
      <c r="P450" s="383"/>
      <c r="Q450" s="383"/>
      <c r="R450" s="383"/>
      <c r="S450" s="383"/>
      <c r="T450" s="383"/>
      <c r="U450" s="383"/>
      <c r="V450" s="383"/>
      <c r="W450" s="383"/>
      <c r="X450" s="383"/>
      <c r="Y450" s="383"/>
      <c r="Z450" s="383"/>
      <c r="AA450" s="383"/>
      <c r="AB450" s="383"/>
    </row>
    <row r="451" ht="16.5" customHeight="1">
      <c r="A451" s="465"/>
      <c r="B451" s="465"/>
      <c r="C451" s="383"/>
      <c r="D451" s="383"/>
      <c r="E451" s="383"/>
      <c r="F451" s="383"/>
      <c r="G451" s="383"/>
      <c r="H451" s="383"/>
      <c r="I451" s="383"/>
      <c r="J451" s="383"/>
      <c r="K451" s="383"/>
      <c r="L451" s="383"/>
      <c r="M451" s="383"/>
      <c r="N451" s="383"/>
      <c r="O451" s="383"/>
      <c r="P451" s="383"/>
      <c r="Q451" s="383"/>
      <c r="R451" s="383"/>
      <c r="S451" s="383"/>
      <c r="T451" s="383"/>
      <c r="U451" s="383"/>
      <c r="V451" s="383"/>
      <c r="W451" s="383"/>
      <c r="X451" s="383"/>
      <c r="Y451" s="383"/>
      <c r="Z451" s="383"/>
      <c r="AA451" s="383"/>
      <c r="AB451" s="383"/>
    </row>
    <row r="452" ht="16.5" customHeight="1">
      <c r="A452" s="465"/>
      <c r="B452" s="465"/>
      <c r="C452" s="383"/>
      <c r="D452" s="383"/>
      <c r="E452" s="383"/>
      <c r="F452" s="383"/>
      <c r="G452" s="383"/>
      <c r="H452" s="383"/>
      <c r="I452" s="383"/>
      <c r="J452" s="383"/>
      <c r="K452" s="383"/>
      <c r="L452" s="383"/>
      <c r="M452" s="383"/>
      <c r="N452" s="383"/>
      <c r="O452" s="383"/>
      <c r="P452" s="383"/>
      <c r="Q452" s="383"/>
      <c r="R452" s="383"/>
      <c r="S452" s="383"/>
      <c r="T452" s="383"/>
      <c r="U452" s="383"/>
      <c r="V452" s="383"/>
      <c r="W452" s="383"/>
      <c r="X452" s="383"/>
      <c r="Y452" s="383"/>
      <c r="Z452" s="383"/>
      <c r="AA452" s="383"/>
      <c r="AB452" s="383"/>
    </row>
    <row r="453" ht="16.5" customHeight="1">
      <c r="A453" s="465"/>
      <c r="B453" s="465"/>
      <c r="C453" s="383"/>
      <c r="D453" s="383"/>
      <c r="E453" s="383"/>
      <c r="F453" s="383"/>
      <c r="G453" s="383"/>
      <c r="H453" s="383"/>
      <c r="I453" s="383"/>
      <c r="J453" s="383"/>
      <c r="K453" s="383"/>
      <c r="L453" s="383"/>
      <c r="M453" s="383"/>
      <c r="N453" s="383"/>
      <c r="O453" s="383"/>
      <c r="P453" s="383"/>
      <c r="Q453" s="383"/>
      <c r="R453" s="383"/>
      <c r="S453" s="383"/>
      <c r="T453" s="383"/>
      <c r="U453" s="383"/>
      <c r="V453" s="383"/>
      <c r="W453" s="383"/>
      <c r="X453" s="383"/>
      <c r="Y453" s="383"/>
      <c r="Z453" s="383"/>
      <c r="AA453" s="383"/>
      <c r="AB453" s="383"/>
    </row>
    <row r="454" ht="16.5" customHeight="1">
      <c r="A454" s="465"/>
      <c r="B454" s="465"/>
      <c r="C454" s="383"/>
      <c r="D454" s="383"/>
      <c r="E454" s="383"/>
      <c r="F454" s="383"/>
      <c r="G454" s="383"/>
      <c r="H454" s="383"/>
      <c r="I454" s="383"/>
      <c r="J454" s="383"/>
      <c r="K454" s="383"/>
      <c r="L454" s="383"/>
      <c r="M454" s="383"/>
      <c r="N454" s="383"/>
      <c r="O454" s="383"/>
      <c r="P454" s="383"/>
      <c r="Q454" s="383"/>
      <c r="R454" s="383"/>
      <c r="S454" s="383"/>
      <c r="T454" s="383"/>
      <c r="U454" s="383"/>
      <c r="V454" s="383"/>
      <c r="W454" s="383"/>
      <c r="X454" s="383"/>
      <c r="Y454" s="383"/>
      <c r="Z454" s="383"/>
      <c r="AA454" s="383"/>
      <c r="AB454" s="383"/>
    </row>
    <row r="455" ht="16.5" customHeight="1">
      <c r="A455" s="465"/>
      <c r="B455" s="465"/>
      <c r="C455" s="383"/>
      <c r="D455" s="383"/>
      <c r="E455" s="383"/>
      <c r="F455" s="383"/>
      <c r="G455" s="383"/>
      <c r="H455" s="383"/>
      <c r="I455" s="383"/>
      <c r="J455" s="383"/>
      <c r="K455" s="383"/>
      <c r="L455" s="383"/>
      <c r="M455" s="383"/>
      <c r="N455" s="383"/>
      <c r="O455" s="383"/>
      <c r="P455" s="383"/>
      <c r="Q455" s="383"/>
      <c r="R455" s="383"/>
      <c r="S455" s="383"/>
      <c r="T455" s="383"/>
      <c r="U455" s="383"/>
      <c r="V455" s="383"/>
      <c r="W455" s="383"/>
      <c r="X455" s="383"/>
      <c r="Y455" s="383"/>
      <c r="Z455" s="383"/>
      <c r="AA455" s="383"/>
      <c r="AB455" s="383"/>
    </row>
    <row r="456" ht="16.5" customHeight="1">
      <c r="A456" s="465"/>
      <c r="B456" s="465"/>
      <c r="C456" s="383"/>
      <c r="D456" s="383"/>
      <c r="E456" s="383"/>
      <c r="F456" s="383"/>
      <c r="G456" s="383"/>
      <c r="H456" s="383"/>
      <c r="I456" s="383"/>
      <c r="J456" s="383"/>
      <c r="K456" s="383"/>
      <c r="L456" s="383"/>
      <c r="M456" s="383"/>
      <c r="N456" s="383"/>
      <c r="O456" s="383"/>
      <c r="P456" s="383"/>
      <c r="Q456" s="383"/>
      <c r="R456" s="383"/>
      <c r="S456" s="383"/>
      <c r="T456" s="383"/>
      <c r="U456" s="383"/>
      <c r="V456" s="383"/>
      <c r="W456" s="383"/>
      <c r="X456" s="383"/>
      <c r="Y456" s="383"/>
      <c r="Z456" s="383"/>
      <c r="AA456" s="383"/>
      <c r="AB456" s="383"/>
    </row>
    <row r="457" ht="16.5" customHeight="1">
      <c r="A457" s="465"/>
      <c r="B457" s="465"/>
      <c r="C457" s="383"/>
      <c r="D457" s="383"/>
      <c r="E457" s="383"/>
      <c r="F457" s="383"/>
      <c r="G457" s="383"/>
      <c r="H457" s="383"/>
      <c r="I457" s="383"/>
      <c r="J457" s="383"/>
      <c r="K457" s="383"/>
      <c r="L457" s="383"/>
      <c r="M457" s="383"/>
      <c r="N457" s="383"/>
      <c r="O457" s="383"/>
      <c r="P457" s="383"/>
      <c r="Q457" s="383"/>
      <c r="R457" s="383"/>
      <c r="S457" s="383"/>
      <c r="T457" s="383"/>
      <c r="U457" s="383"/>
      <c r="V457" s="383"/>
      <c r="W457" s="383"/>
      <c r="X457" s="383"/>
      <c r="Y457" s="383"/>
      <c r="Z457" s="383"/>
      <c r="AA457" s="383"/>
      <c r="AB457" s="383"/>
    </row>
    <row r="458" ht="16.5" customHeight="1">
      <c r="A458" s="465"/>
      <c r="B458" s="465"/>
      <c r="C458" s="383"/>
      <c r="D458" s="383"/>
      <c r="E458" s="383"/>
      <c r="F458" s="383"/>
      <c r="G458" s="383"/>
      <c r="H458" s="383"/>
      <c r="I458" s="383"/>
      <c r="J458" s="383"/>
      <c r="K458" s="383"/>
      <c r="L458" s="383"/>
      <c r="M458" s="383"/>
      <c r="N458" s="383"/>
      <c r="O458" s="383"/>
      <c r="P458" s="383"/>
      <c r="Q458" s="383"/>
      <c r="R458" s="383"/>
      <c r="S458" s="383"/>
      <c r="T458" s="383"/>
      <c r="U458" s="383"/>
      <c r="V458" s="383"/>
      <c r="W458" s="383"/>
      <c r="X458" s="383"/>
      <c r="Y458" s="383"/>
      <c r="Z458" s="383"/>
      <c r="AA458" s="383"/>
      <c r="AB458" s="383"/>
    </row>
    <row r="459" ht="16.5" customHeight="1">
      <c r="A459" s="465"/>
      <c r="B459" s="465"/>
      <c r="C459" s="383"/>
      <c r="D459" s="383"/>
      <c r="E459" s="383"/>
      <c r="F459" s="383"/>
      <c r="G459" s="383"/>
      <c r="H459" s="383"/>
      <c r="I459" s="383"/>
      <c r="J459" s="383"/>
      <c r="K459" s="383"/>
      <c r="L459" s="383"/>
      <c r="M459" s="383"/>
      <c r="N459" s="383"/>
      <c r="O459" s="383"/>
      <c r="P459" s="383"/>
      <c r="Q459" s="383"/>
      <c r="R459" s="383"/>
      <c r="S459" s="383"/>
      <c r="T459" s="383"/>
      <c r="U459" s="383"/>
      <c r="V459" s="383"/>
      <c r="W459" s="383"/>
      <c r="X459" s="383"/>
      <c r="Y459" s="383"/>
      <c r="Z459" s="383"/>
      <c r="AA459" s="383"/>
      <c r="AB459" s="383"/>
    </row>
    <row r="460" ht="16.5" customHeight="1">
      <c r="A460" s="465"/>
      <c r="B460" s="465"/>
      <c r="C460" s="383"/>
      <c r="D460" s="383"/>
      <c r="E460" s="383"/>
      <c r="F460" s="383"/>
      <c r="G460" s="383"/>
      <c r="H460" s="383"/>
      <c r="I460" s="383"/>
      <c r="J460" s="383"/>
      <c r="K460" s="383"/>
      <c r="L460" s="383"/>
      <c r="M460" s="383"/>
      <c r="N460" s="383"/>
      <c r="O460" s="383"/>
      <c r="P460" s="383"/>
      <c r="Q460" s="383"/>
      <c r="R460" s="383"/>
      <c r="S460" s="383"/>
      <c r="T460" s="383"/>
      <c r="U460" s="383"/>
      <c r="V460" s="383"/>
      <c r="W460" s="383"/>
      <c r="X460" s="383"/>
      <c r="Y460" s="383"/>
      <c r="Z460" s="383"/>
      <c r="AA460" s="383"/>
      <c r="AB460" s="383"/>
    </row>
    <row r="461" ht="16.5" customHeight="1">
      <c r="A461" s="465"/>
      <c r="B461" s="465"/>
      <c r="C461" s="383"/>
      <c r="D461" s="383"/>
      <c r="E461" s="383"/>
      <c r="F461" s="383"/>
      <c r="G461" s="383"/>
      <c r="H461" s="383"/>
      <c r="I461" s="383"/>
      <c r="J461" s="383"/>
      <c r="K461" s="383"/>
      <c r="L461" s="383"/>
      <c r="M461" s="383"/>
      <c r="N461" s="383"/>
      <c r="O461" s="383"/>
      <c r="P461" s="383"/>
      <c r="Q461" s="383"/>
      <c r="R461" s="383"/>
      <c r="S461" s="383"/>
      <c r="T461" s="383"/>
      <c r="U461" s="383"/>
      <c r="V461" s="383"/>
      <c r="W461" s="383"/>
      <c r="X461" s="383"/>
      <c r="Y461" s="383"/>
      <c r="Z461" s="383"/>
      <c r="AA461" s="383"/>
      <c r="AB461" s="383"/>
    </row>
    <row r="462" ht="16.5" customHeight="1">
      <c r="A462" s="465"/>
      <c r="B462" s="465"/>
      <c r="C462" s="383"/>
      <c r="D462" s="383"/>
      <c r="E462" s="383"/>
      <c r="F462" s="383"/>
      <c r="G462" s="383"/>
      <c r="H462" s="383"/>
      <c r="I462" s="383"/>
      <c r="J462" s="383"/>
      <c r="K462" s="383"/>
      <c r="L462" s="383"/>
      <c r="M462" s="383"/>
      <c r="N462" s="383"/>
      <c r="O462" s="383"/>
      <c r="P462" s="383"/>
      <c r="Q462" s="383"/>
      <c r="R462" s="383"/>
      <c r="S462" s="383"/>
      <c r="T462" s="383"/>
      <c r="U462" s="383"/>
      <c r="V462" s="383"/>
      <c r="W462" s="383"/>
      <c r="X462" s="383"/>
      <c r="Y462" s="383"/>
      <c r="Z462" s="383"/>
      <c r="AA462" s="383"/>
      <c r="AB462" s="383"/>
    </row>
    <row r="463" ht="16.5" customHeight="1">
      <c r="A463" s="465"/>
      <c r="B463" s="465"/>
      <c r="C463" s="383"/>
      <c r="D463" s="383"/>
      <c r="E463" s="383"/>
      <c r="F463" s="383"/>
      <c r="G463" s="383"/>
      <c r="H463" s="383"/>
      <c r="I463" s="383"/>
      <c r="J463" s="383"/>
      <c r="K463" s="383"/>
      <c r="L463" s="383"/>
      <c r="M463" s="383"/>
      <c r="N463" s="383"/>
      <c r="O463" s="383"/>
      <c r="P463" s="383"/>
      <c r="Q463" s="383"/>
      <c r="R463" s="383"/>
      <c r="S463" s="383"/>
      <c r="T463" s="383"/>
      <c r="U463" s="383"/>
      <c r="V463" s="383"/>
      <c r="W463" s="383"/>
      <c r="X463" s="383"/>
      <c r="Y463" s="383"/>
      <c r="Z463" s="383"/>
      <c r="AA463" s="383"/>
      <c r="AB463" s="383"/>
    </row>
    <row r="464" ht="16.5" customHeight="1">
      <c r="A464" s="465"/>
      <c r="B464" s="465"/>
      <c r="C464" s="383"/>
      <c r="D464" s="383"/>
      <c r="E464" s="383"/>
      <c r="F464" s="383"/>
      <c r="G464" s="383"/>
      <c r="H464" s="383"/>
      <c r="I464" s="383"/>
      <c r="J464" s="383"/>
      <c r="K464" s="383"/>
      <c r="L464" s="383"/>
      <c r="M464" s="383"/>
      <c r="N464" s="383"/>
      <c r="O464" s="383"/>
      <c r="P464" s="383"/>
      <c r="Q464" s="383"/>
      <c r="R464" s="383"/>
      <c r="S464" s="383"/>
      <c r="T464" s="383"/>
      <c r="U464" s="383"/>
      <c r="V464" s="383"/>
      <c r="W464" s="383"/>
      <c r="X464" s="383"/>
      <c r="Y464" s="383"/>
      <c r="Z464" s="383"/>
      <c r="AA464" s="383"/>
      <c r="AB464" s="383"/>
    </row>
    <row r="465" ht="16.5" customHeight="1">
      <c r="A465" s="465"/>
      <c r="B465" s="465"/>
      <c r="C465" s="383"/>
      <c r="D465" s="383"/>
      <c r="E465" s="383"/>
      <c r="F465" s="383"/>
      <c r="G465" s="383"/>
      <c r="H465" s="383"/>
      <c r="I465" s="383"/>
      <c r="J465" s="383"/>
      <c r="K465" s="383"/>
      <c r="L465" s="383"/>
      <c r="M465" s="383"/>
      <c r="N465" s="383"/>
      <c r="O465" s="383"/>
      <c r="P465" s="383"/>
      <c r="Q465" s="383"/>
      <c r="R465" s="383"/>
      <c r="S465" s="383"/>
      <c r="T465" s="383"/>
      <c r="U465" s="383"/>
      <c r="V465" s="383"/>
      <c r="W465" s="383"/>
      <c r="X465" s="383"/>
      <c r="Y465" s="383"/>
      <c r="Z465" s="383"/>
      <c r="AA465" s="383"/>
      <c r="AB465" s="383"/>
    </row>
    <row r="466" ht="16.5" customHeight="1">
      <c r="A466" s="465"/>
      <c r="B466" s="465"/>
      <c r="C466" s="383"/>
      <c r="D466" s="383"/>
      <c r="E466" s="383"/>
      <c r="F466" s="383"/>
      <c r="G466" s="383"/>
      <c r="H466" s="383"/>
      <c r="I466" s="383"/>
      <c r="J466" s="383"/>
      <c r="K466" s="383"/>
      <c r="L466" s="383"/>
      <c r="M466" s="383"/>
      <c r="N466" s="383"/>
      <c r="O466" s="383"/>
      <c r="P466" s="383"/>
      <c r="Q466" s="383"/>
      <c r="R466" s="383"/>
      <c r="S466" s="383"/>
      <c r="T466" s="383"/>
      <c r="U466" s="383"/>
      <c r="V466" s="383"/>
      <c r="W466" s="383"/>
      <c r="X466" s="383"/>
      <c r="Y466" s="383"/>
      <c r="Z466" s="383"/>
      <c r="AA466" s="383"/>
      <c r="AB466" s="383"/>
    </row>
    <row r="467" ht="16.5" customHeight="1">
      <c r="A467" s="465"/>
      <c r="B467" s="465"/>
      <c r="C467" s="383"/>
      <c r="D467" s="383"/>
      <c r="E467" s="383"/>
      <c r="F467" s="383"/>
      <c r="G467" s="383"/>
      <c r="H467" s="383"/>
      <c r="I467" s="383"/>
      <c r="J467" s="383"/>
      <c r="K467" s="383"/>
      <c r="L467" s="383"/>
      <c r="M467" s="383"/>
      <c r="N467" s="383"/>
      <c r="O467" s="383"/>
      <c r="P467" s="383"/>
      <c r="Q467" s="383"/>
      <c r="R467" s="383"/>
      <c r="S467" s="383"/>
      <c r="T467" s="383"/>
      <c r="U467" s="383"/>
      <c r="V467" s="383"/>
      <c r="W467" s="383"/>
      <c r="X467" s="383"/>
      <c r="Y467" s="383"/>
      <c r="Z467" s="383"/>
      <c r="AA467" s="383"/>
      <c r="AB467" s="383"/>
    </row>
    <row r="468" ht="16.5" customHeight="1">
      <c r="A468" s="465"/>
      <c r="B468" s="465"/>
      <c r="C468" s="383"/>
      <c r="D468" s="383"/>
      <c r="E468" s="383"/>
      <c r="F468" s="383"/>
      <c r="G468" s="383"/>
      <c r="H468" s="383"/>
      <c r="I468" s="383"/>
      <c r="J468" s="383"/>
      <c r="K468" s="383"/>
      <c r="L468" s="383"/>
      <c r="M468" s="383"/>
      <c r="N468" s="383"/>
      <c r="O468" s="383"/>
      <c r="P468" s="383"/>
      <c r="Q468" s="383"/>
      <c r="R468" s="383"/>
      <c r="S468" s="383"/>
      <c r="T468" s="383"/>
      <c r="U468" s="383"/>
      <c r="V468" s="383"/>
      <c r="W468" s="383"/>
      <c r="X468" s="383"/>
      <c r="Y468" s="383"/>
      <c r="Z468" s="383"/>
      <c r="AA468" s="383"/>
      <c r="AB468" s="383"/>
    </row>
    <row r="469" ht="16.5" customHeight="1">
      <c r="A469" s="465"/>
      <c r="B469" s="465"/>
      <c r="C469" s="383"/>
      <c r="D469" s="383"/>
      <c r="E469" s="383"/>
      <c r="F469" s="383"/>
      <c r="G469" s="383"/>
      <c r="H469" s="383"/>
      <c r="I469" s="383"/>
      <c r="J469" s="383"/>
      <c r="K469" s="383"/>
      <c r="L469" s="383"/>
      <c r="M469" s="383"/>
      <c r="N469" s="383"/>
      <c r="O469" s="383"/>
      <c r="P469" s="383"/>
      <c r="Q469" s="383"/>
      <c r="R469" s="383"/>
      <c r="S469" s="383"/>
      <c r="T469" s="383"/>
      <c r="U469" s="383"/>
      <c r="V469" s="383"/>
      <c r="W469" s="383"/>
      <c r="X469" s="383"/>
      <c r="Y469" s="383"/>
      <c r="Z469" s="383"/>
      <c r="AA469" s="383"/>
      <c r="AB469" s="383"/>
    </row>
    <row r="470" ht="16.5" customHeight="1">
      <c r="A470" s="465"/>
      <c r="B470" s="465"/>
      <c r="C470" s="383"/>
      <c r="D470" s="383"/>
      <c r="E470" s="383"/>
      <c r="F470" s="383"/>
      <c r="G470" s="383"/>
      <c r="H470" s="383"/>
      <c r="I470" s="383"/>
      <c r="J470" s="383"/>
      <c r="K470" s="383"/>
      <c r="L470" s="383"/>
      <c r="M470" s="383"/>
      <c r="N470" s="383"/>
      <c r="O470" s="383"/>
      <c r="P470" s="383"/>
      <c r="Q470" s="383"/>
      <c r="R470" s="383"/>
      <c r="S470" s="383"/>
      <c r="T470" s="383"/>
      <c r="U470" s="383"/>
      <c r="V470" s="383"/>
      <c r="W470" s="383"/>
      <c r="X470" s="383"/>
      <c r="Y470" s="383"/>
      <c r="Z470" s="383"/>
      <c r="AA470" s="383"/>
      <c r="AB470" s="383"/>
    </row>
    <row r="471" ht="16.5" customHeight="1">
      <c r="A471" s="465"/>
      <c r="B471" s="465"/>
      <c r="C471" s="383"/>
      <c r="D471" s="383"/>
      <c r="E471" s="383"/>
      <c r="F471" s="383"/>
      <c r="G471" s="383"/>
      <c r="H471" s="383"/>
      <c r="I471" s="383"/>
      <c r="J471" s="383"/>
      <c r="K471" s="383"/>
      <c r="L471" s="383"/>
      <c r="M471" s="383"/>
      <c r="N471" s="383"/>
      <c r="O471" s="383"/>
      <c r="P471" s="383"/>
      <c r="Q471" s="383"/>
      <c r="R471" s="383"/>
      <c r="S471" s="383"/>
      <c r="T471" s="383"/>
      <c r="U471" s="383"/>
      <c r="V471" s="383"/>
      <c r="W471" s="383"/>
      <c r="X471" s="383"/>
      <c r="Y471" s="383"/>
      <c r="Z471" s="383"/>
      <c r="AA471" s="383"/>
      <c r="AB471" s="383"/>
    </row>
    <row r="472" ht="16.5" customHeight="1">
      <c r="A472" s="465"/>
      <c r="B472" s="465"/>
      <c r="C472" s="383"/>
      <c r="D472" s="383"/>
      <c r="E472" s="383"/>
      <c r="F472" s="383"/>
      <c r="G472" s="383"/>
      <c r="H472" s="383"/>
      <c r="I472" s="383"/>
      <c r="J472" s="383"/>
      <c r="K472" s="383"/>
      <c r="L472" s="383"/>
      <c r="M472" s="383"/>
      <c r="N472" s="383"/>
      <c r="O472" s="383"/>
      <c r="P472" s="383"/>
      <c r="Q472" s="383"/>
      <c r="R472" s="383"/>
      <c r="S472" s="383"/>
      <c r="T472" s="383"/>
      <c r="U472" s="383"/>
      <c r="V472" s="383"/>
      <c r="W472" s="383"/>
      <c r="X472" s="383"/>
      <c r="Y472" s="383"/>
      <c r="Z472" s="383"/>
      <c r="AA472" s="383"/>
      <c r="AB472" s="383"/>
    </row>
    <row r="473" ht="16.5" customHeight="1">
      <c r="A473" s="465"/>
      <c r="B473" s="465"/>
      <c r="C473" s="383"/>
      <c r="D473" s="383"/>
      <c r="E473" s="383"/>
      <c r="F473" s="383"/>
      <c r="G473" s="383"/>
      <c r="H473" s="383"/>
      <c r="I473" s="383"/>
      <c r="J473" s="383"/>
      <c r="K473" s="383"/>
      <c r="L473" s="383"/>
      <c r="M473" s="383"/>
      <c r="N473" s="383"/>
      <c r="O473" s="383"/>
      <c r="P473" s="383"/>
      <c r="Q473" s="383"/>
      <c r="R473" s="383"/>
      <c r="S473" s="383"/>
      <c r="T473" s="383"/>
      <c r="U473" s="383"/>
      <c r="V473" s="383"/>
      <c r="W473" s="383"/>
      <c r="X473" s="383"/>
      <c r="Y473" s="383"/>
      <c r="Z473" s="383"/>
      <c r="AA473" s="383"/>
      <c r="AB473" s="383"/>
    </row>
    <row r="474" ht="16.5" customHeight="1">
      <c r="A474" s="465"/>
      <c r="B474" s="465"/>
      <c r="C474" s="383"/>
      <c r="D474" s="383"/>
      <c r="E474" s="383"/>
      <c r="F474" s="383"/>
      <c r="G474" s="383"/>
      <c r="H474" s="383"/>
      <c r="I474" s="383"/>
      <c r="J474" s="383"/>
      <c r="K474" s="383"/>
      <c r="L474" s="383"/>
      <c r="M474" s="383"/>
      <c r="N474" s="383"/>
      <c r="O474" s="383"/>
      <c r="P474" s="383"/>
      <c r="Q474" s="383"/>
      <c r="R474" s="383"/>
      <c r="S474" s="383"/>
      <c r="T474" s="383"/>
      <c r="U474" s="383"/>
      <c r="V474" s="383"/>
      <c r="W474" s="383"/>
      <c r="X474" s="383"/>
      <c r="Y474" s="383"/>
      <c r="Z474" s="383"/>
      <c r="AA474" s="383"/>
      <c r="AB474" s="383"/>
    </row>
    <row r="475" ht="16.5" customHeight="1">
      <c r="A475" s="465"/>
      <c r="B475" s="465"/>
      <c r="C475" s="383"/>
      <c r="D475" s="383"/>
      <c r="E475" s="383"/>
      <c r="F475" s="383"/>
      <c r="G475" s="383"/>
      <c r="H475" s="383"/>
      <c r="I475" s="383"/>
      <c r="J475" s="383"/>
      <c r="K475" s="383"/>
      <c r="L475" s="383"/>
      <c r="M475" s="383"/>
      <c r="N475" s="383"/>
      <c r="O475" s="383"/>
      <c r="P475" s="383"/>
      <c r="Q475" s="383"/>
      <c r="R475" s="383"/>
      <c r="S475" s="383"/>
      <c r="T475" s="383"/>
      <c r="U475" s="383"/>
      <c r="V475" s="383"/>
      <c r="W475" s="383"/>
      <c r="X475" s="383"/>
      <c r="Y475" s="383"/>
      <c r="Z475" s="383"/>
      <c r="AA475" s="383"/>
      <c r="AB475" s="383"/>
    </row>
    <row r="476" ht="16.5" customHeight="1">
      <c r="A476" s="465"/>
      <c r="B476" s="465"/>
      <c r="C476" s="383"/>
      <c r="D476" s="383"/>
      <c r="E476" s="383"/>
      <c r="F476" s="383"/>
      <c r="G476" s="383"/>
      <c r="H476" s="383"/>
      <c r="I476" s="383"/>
      <c r="J476" s="383"/>
      <c r="K476" s="383"/>
      <c r="L476" s="383"/>
      <c r="M476" s="383"/>
      <c r="N476" s="383"/>
      <c r="O476" s="383"/>
      <c r="P476" s="383"/>
      <c r="Q476" s="383"/>
      <c r="R476" s="383"/>
      <c r="S476" s="383"/>
      <c r="T476" s="383"/>
      <c r="U476" s="383"/>
      <c r="V476" s="383"/>
      <c r="W476" s="383"/>
      <c r="X476" s="383"/>
      <c r="Y476" s="383"/>
      <c r="Z476" s="383"/>
      <c r="AA476" s="383"/>
      <c r="AB476" s="383"/>
    </row>
    <row r="477" ht="16.5" customHeight="1">
      <c r="A477" s="465"/>
      <c r="B477" s="465"/>
      <c r="C477" s="383"/>
      <c r="D477" s="383"/>
      <c r="E477" s="383"/>
      <c r="F477" s="383"/>
      <c r="G477" s="383"/>
      <c r="H477" s="383"/>
      <c r="I477" s="383"/>
      <c r="J477" s="383"/>
      <c r="K477" s="383"/>
      <c r="L477" s="383"/>
      <c r="M477" s="383"/>
      <c r="N477" s="383"/>
      <c r="O477" s="383"/>
      <c r="P477" s="383"/>
      <c r="Q477" s="383"/>
      <c r="R477" s="383"/>
      <c r="S477" s="383"/>
      <c r="T477" s="383"/>
      <c r="U477" s="383"/>
      <c r="V477" s="383"/>
      <c r="W477" s="383"/>
      <c r="X477" s="383"/>
      <c r="Y477" s="383"/>
      <c r="Z477" s="383"/>
      <c r="AA477" s="383"/>
      <c r="AB477" s="383"/>
    </row>
    <row r="478" ht="16.5" customHeight="1">
      <c r="A478" s="465"/>
      <c r="B478" s="465"/>
      <c r="C478" s="383"/>
      <c r="D478" s="383"/>
      <c r="E478" s="383"/>
      <c r="F478" s="383"/>
      <c r="G478" s="383"/>
      <c r="H478" s="383"/>
      <c r="I478" s="383"/>
      <c r="J478" s="383"/>
      <c r="K478" s="383"/>
      <c r="L478" s="383"/>
      <c r="M478" s="383"/>
      <c r="N478" s="383"/>
      <c r="O478" s="383"/>
      <c r="P478" s="383"/>
      <c r="Q478" s="383"/>
      <c r="R478" s="383"/>
      <c r="S478" s="383"/>
      <c r="T478" s="383"/>
      <c r="U478" s="383"/>
      <c r="V478" s="383"/>
      <c r="W478" s="383"/>
      <c r="X478" s="383"/>
      <c r="Y478" s="383"/>
      <c r="Z478" s="383"/>
      <c r="AA478" s="383"/>
      <c r="AB478" s="383"/>
    </row>
    <row r="479" ht="16.5" customHeight="1">
      <c r="A479" s="465"/>
      <c r="B479" s="465"/>
      <c r="C479" s="383"/>
      <c r="D479" s="383"/>
      <c r="E479" s="383"/>
      <c r="F479" s="383"/>
      <c r="G479" s="383"/>
      <c r="H479" s="383"/>
      <c r="I479" s="383"/>
      <c r="J479" s="383"/>
      <c r="K479" s="383"/>
      <c r="L479" s="383"/>
      <c r="M479" s="383"/>
      <c r="N479" s="383"/>
      <c r="O479" s="383"/>
      <c r="P479" s="383"/>
      <c r="Q479" s="383"/>
      <c r="R479" s="383"/>
      <c r="S479" s="383"/>
      <c r="T479" s="383"/>
      <c r="U479" s="383"/>
      <c r="V479" s="383"/>
      <c r="W479" s="383"/>
      <c r="X479" s="383"/>
      <c r="Y479" s="383"/>
      <c r="Z479" s="383"/>
      <c r="AA479" s="383"/>
      <c r="AB479" s="383"/>
    </row>
    <row r="480" ht="16.5" customHeight="1">
      <c r="A480" s="465"/>
      <c r="B480" s="465"/>
      <c r="C480" s="383"/>
      <c r="D480" s="383"/>
      <c r="E480" s="383"/>
      <c r="F480" s="383"/>
      <c r="G480" s="383"/>
      <c r="H480" s="383"/>
      <c r="I480" s="383"/>
      <c r="J480" s="383"/>
      <c r="K480" s="383"/>
      <c r="L480" s="383"/>
      <c r="M480" s="383"/>
      <c r="N480" s="383"/>
      <c r="O480" s="383"/>
      <c r="P480" s="383"/>
      <c r="Q480" s="383"/>
      <c r="R480" s="383"/>
      <c r="S480" s="383"/>
      <c r="T480" s="383"/>
      <c r="U480" s="383"/>
      <c r="V480" s="383"/>
      <c r="W480" s="383"/>
      <c r="X480" s="383"/>
      <c r="Y480" s="383"/>
      <c r="Z480" s="383"/>
      <c r="AA480" s="383"/>
      <c r="AB480" s="383"/>
    </row>
    <row r="481" ht="16.5" customHeight="1">
      <c r="A481" s="465"/>
      <c r="B481" s="465"/>
      <c r="C481" s="383"/>
      <c r="D481" s="383"/>
      <c r="E481" s="383"/>
      <c r="F481" s="383"/>
      <c r="G481" s="383"/>
      <c r="H481" s="383"/>
      <c r="I481" s="383"/>
      <c r="J481" s="383"/>
      <c r="K481" s="383"/>
      <c r="L481" s="383"/>
      <c r="M481" s="383"/>
      <c r="N481" s="383"/>
      <c r="O481" s="383"/>
      <c r="P481" s="383"/>
      <c r="Q481" s="383"/>
      <c r="R481" s="383"/>
      <c r="S481" s="383"/>
      <c r="T481" s="383"/>
      <c r="U481" s="383"/>
      <c r="V481" s="383"/>
      <c r="W481" s="383"/>
      <c r="X481" s="383"/>
      <c r="Y481" s="383"/>
      <c r="Z481" s="383"/>
      <c r="AA481" s="383"/>
      <c r="AB481" s="383"/>
    </row>
    <row r="482" ht="16.5" customHeight="1">
      <c r="A482" s="465"/>
      <c r="B482" s="465"/>
      <c r="C482" s="383"/>
      <c r="D482" s="383"/>
      <c r="E482" s="383"/>
      <c r="F482" s="383"/>
      <c r="G482" s="383"/>
      <c r="H482" s="383"/>
      <c r="I482" s="383"/>
      <c r="J482" s="383"/>
      <c r="K482" s="383"/>
      <c r="L482" s="383"/>
      <c r="M482" s="383"/>
      <c r="N482" s="383"/>
      <c r="O482" s="383"/>
      <c r="P482" s="383"/>
      <c r="Q482" s="383"/>
      <c r="R482" s="383"/>
      <c r="S482" s="383"/>
      <c r="T482" s="383"/>
      <c r="U482" s="383"/>
      <c r="V482" s="383"/>
      <c r="W482" s="383"/>
      <c r="X482" s="383"/>
      <c r="Y482" s="383"/>
      <c r="Z482" s="383"/>
      <c r="AA482" s="383"/>
      <c r="AB482" s="383"/>
    </row>
    <row r="483" ht="16.5" customHeight="1">
      <c r="A483" s="465"/>
      <c r="B483" s="465"/>
      <c r="C483" s="383"/>
      <c r="D483" s="383"/>
      <c r="E483" s="383"/>
      <c r="F483" s="383"/>
      <c r="G483" s="383"/>
      <c r="H483" s="383"/>
      <c r="I483" s="383"/>
      <c r="J483" s="383"/>
      <c r="K483" s="383"/>
      <c r="L483" s="383"/>
      <c r="M483" s="383"/>
      <c r="N483" s="383"/>
      <c r="O483" s="383"/>
      <c r="P483" s="383"/>
      <c r="Q483" s="383"/>
      <c r="R483" s="383"/>
      <c r="S483" s="383"/>
      <c r="T483" s="383"/>
      <c r="U483" s="383"/>
      <c r="V483" s="383"/>
      <c r="W483" s="383"/>
      <c r="X483" s="383"/>
      <c r="Y483" s="383"/>
      <c r="Z483" s="383"/>
      <c r="AA483" s="383"/>
      <c r="AB483" s="383"/>
    </row>
    <row r="484" ht="16.5" customHeight="1">
      <c r="A484" s="465"/>
      <c r="B484" s="465"/>
      <c r="C484" s="383"/>
      <c r="D484" s="383"/>
      <c r="E484" s="383"/>
      <c r="F484" s="383"/>
      <c r="G484" s="383"/>
      <c r="H484" s="383"/>
      <c r="I484" s="383"/>
      <c r="J484" s="383"/>
      <c r="K484" s="383"/>
      <c r="L484" s="383"/>
      <c r="M484" s="383"/>
      <c r="N484" s="383"/>
      <c r="O484" s="383"/>
      <c r="P484" s="383"/>
      <c r="Q484" s="383"/>
      <c r="R484" s="383"/>
      <c r="S484" s="383"/>
      <c r="T484" s="383"/>
      <c r="U484" s="383"/>
      <c r="V484" s="383"/>
      <c r="W484" s="383"/>
      <c r="X484" s="383"/>
      <c r="Y484" s="383"/>
      <c r="Z484" s="383"/>
      <c r="AA484" s="383"/>
      <c r="AB484" s="383"/>
    </row>
    <row r="485" ht="16.5" customHeight="1">
      <c r="A485" s="465"/>
      <c r="B485" s="465"/>
      <c r="C485" s="383"/>
      <c r="D485" s="383"/>
      <c r="E485" s="383"/>
      <c r="F485" s="383"/>
      <c r="G485" s="383"/>
      <c r="H485" s="383"/>
      <c r="I485" s="383"/>
      <c r="J485" s="383"/>
      <c r="K485" s="383"/>
      <c r="L485" s="383"/>
      <c r="M485" s="383"/>
      <c r="N485" s="383"/>
      <c r="O485" s="383"/>
      <c r="P485" s="383"/>
      <c r="Q485" s="383"/>
      <c r="R485" s="383"/>
      <c r="S485" s="383"/>
      <c r="T485" s="383"/>
      <c r="U485" s="383"/>
      <c r="V485" s="383"/>
      <c r="W485" s="383"/>
      <c r="X485" s="383"/>
      <c r="Y485" s="383"/>
      <c r="Z485" s="383"/>
      <c r="AA485" s="383"/>
      <c r="AB485" s="383"/>
    </row>
    <row r="486" ht="16.5" customHeight="1">
      <c r="A486" s="465"/>
      <c r="B486" s="465"/>
      <c r="C486" s="383"/>
      <c r="D486" s="383"/>
      <c r="E486" s="383"/>
      <c r="F486" s="383"/>
      <c r="G486" s="383"/>
      <c r="H486" s="383"/>
      <c r="I486" s="383"/>
      <c r="J486" s="383"/>
      <c r="K486" s="383"/>
      <c r="L486" s="383"/>
      <c r="M486" s="383"/>
      <c r="N486" s="383"/>
      <c r="O486" s="383"/>
      <c r="P486" s="383"/>
      <c r="Q486" s="383"/>
      <c r="R486" s="383"/>
      <c r="S486" s="383"/>
      <c r="T486" s="383"/>
      <c r="U486" s="383"/>
      <c r="V486" s="383"/>
      <c r="W486" s="383"/>
      <c r="X486" s="383"/>
      <c r="Y486" s="383"/>
      <c r="Z486" s="383"/>
      <c r="AA486" s="383"/>
      <c r="AB486" s="383"/>
    </row>
    <row r="487" ht="16.5" customHeight="1">
      <c r="A487" s="465"/>
      <c r="B487" s="465"/>
      <c r="C487" s="383"/>
      <c r="D487" s="383"/>
      <c r="E487" s="383"/>
      <c r="F487" s="383"/>
      <c r="G487" s="383"/>
      <c r="H487" s="383"/>
      <c r="I487" s="383"/>
      <c r="J487" s="383"/>
      <c r="K487" s="383"/>
      <c r="L487" s="383"/>
      <c r="M487" s="383"/>
      <c r="N487" s="383"/>
      <c r="O487" s="383"/>
      <c r="P487" s="383"/>
      <c r="Q487" s="383"/>
      <c r="R487" s="383"/>
      <c r="S487" s="383"/>
      <c r="T487" s="383"/>
      <c r="U487" s="383"/>
      <c r="V487" s="383"/>
      <c r="W487" s="383"/>
      <c r="X487" s="383"/>
      <c r="Y487" s="383"/>
      <c r="Z487" s="383"/>
      <c r="AA487" s="383"/>
      <c r="AB487" s="383"/>
    </row>
    <row r="488" ht="16.5" customHeight="1">
      <c r="A488" s="465"/>
      <c r="B488" s="465"/>
      <c r="C488" s="383"/>
      <c r="D488" s="383"/>
      <c r="E488" s="383"/>
      <c r="F488" s="383"/>
      <c r="G488" s="383"/>
      <c r="H488" s="383"/>
      <c r="I488" s="383"/>
      <c r="J488" s="383"/>
      <c r="K488" s="383"/>
      <c r="L488" s="383"/>
      <c r="M488" s="383"/>
      <c r="N488" s="383"/>
      <c r="O488" s="383"/>
      <c r="P488" s="383"/>
      <c r="Q488" s="383"/>
      <c r="R488" s="383"/>
      <c r="S488" s="383"/>
      <c r="T488" s="383"/>
      <c r="U488" s="383"/>
      <c r="V488" s="383"/>
      <c r="W488" s="383"/>
      <c r="X488" s="383"/>
      <c r="Y488" s="383"/>
      <c r="Z488" s="383"/>
      <c r="AA488" s="383"/>
      <c r="AB488" s="383"/>
    </row>
    <row r="489" ht="16.5" customHeight="1">
      <c r="A489" s="465"/>
      <c r="B489" s="465"/>
      <c r="C489" s="383"/>
      <c r="D489" s="383"/>
      <c r="E489" s="383"/>
      <c r="F489" s="383"/>
      <c r="G489" s="383"/>
      <c r="H489" s="383"/>
      <c r="I489" s="383"/>
      <c r="J489" s="383"/>
      <c r="K489" s="383"/>
      <c r="L489" s="383"/>
      <c r="M489" s="383"/>
      <c r="N489" s="383"/>
      <c r="O489" s="383"/>
      <c r="P489" s="383"/>
      <c r="Q489" s="383"/>
      <c r="R489" s="383"/>
      <c r="S489" s="383"/>
      <c r="T489" s="383"/>
      <c r="U489" s="383"/>
      <c r="V489" s="383"/>
      <c r="W489" s="383"/>
      <c r="X489" s="383"/>
      <c r="Y489" s="383"/>
      <c r="Z489" s="383"/>
      <c r="AA489" s="383"/>
      <c r="AB489" s="383"/>
    </row>
    <row r="490" ht="16.5" customHeight="1">
      <c r="A490" s="465"/>
      <c r="B490" s="465"/>
      <c r="C490" s="383"/>
      <c r="D490" s="383"/>
      <c r="E490" s="383"/>
      <c r="F490" s="383"/>
      <c r="G490" s="383"/>
      <c r="H490" s="383"/>
      <c r="I490" s="383"/>
      <c r="J490" s="383"/>
      <c r="K490" s="383"/>
      <c r="L490" s="383"/>
      <c r="M490" s="383"/>
      <c r="N490" s="383"/>
      <c r="O490" s="383"/>
      <c r="P490" s="383"/>
      <c r="Q490" s="383"/>
      <c r="R490" s="383"/>
      <c r="S490" s="383"/>
      <c r="T490" s="383"/>
      <c r="U490" s="383"/>
      <c r="V490" s="383"/>
      <c r="W490" s="383"/>
      <c r="X490" s="383"/>
      <c r="Y490" s="383"/>
      <c r="Z490" s="383"/>
      <c r="AA490" s="383"/>
      <c r="AB490" s="383"/>
    </row>
    <row r="491" ht="16.5" customHeight="1">
      <c r="A491" s="465"/>
      <c r="B491" s="465"/>
      <c r="C491" s="383"/>
      <c r="D491" s="383"/>
      <c r="E491" s="383"/>
      <c r="F491" s="383"/>
      <c r="G491" s="383"/>
      <c r="H491" s="383"/>
      <c r="I491" s="383"/>
      <c r="J491" s="383"/>
      <c r="K491" s="383"/>
      <c r="L491" s="383"/>
      <c r="M491" s="383"/>
      <c r="N491" s="383"/>
      <c r="O491" s="383"/>
      <c r="P491" s="383"/>
      <c r="Q491" s="383"/>
      <c r="R491" s="383"/>
      <c r="S491" s="383"/>
      <c r="T491" s="383"/>
      <c r="U491" s="383"/>
      <c r="V491" s="383"/>
      <c r="W491" s="383"/>
      <c r="X491" s="383"/>
      <c r="Y491" s="383"/>
      <c r="Z491" s="383"/>
      <c r="AA491" s="383"/>
      <c r="AB491" s="383"/>
    </row>
    <row r="492" ht="16.5" customHeight="1">
      <c r="A492" s="465"/>
      <c r="B492" s="465"/>
      <c r="C492" s="383"/>
      <c r="D492" s="383"/>
      <c r="E492" s="383"/>
      <c r="F492" s="383"/>
      <c r="G492" s="383"/>
      <c r="H492" s="383"/>
      <c r="I492" s="383"/>
      <c r="J492" s="383"/>
      <c r="K492" s="383"/>
      <c r="L492" s="383"/>
      <c r="M492" s="383"/>
      <c r="N492" s="383"/>
      <c r="O492" s="383"/>
      <c r="P492" s="383"/>
      <c r="Q492" s="383"/>
      <c r="R492" s="383"/>
      <c r="S492" s="383"/>
      <c r="T492" s="383"/>
      <c r="U492" s="383"/>
      <c r="V492" s="383"/>
      <c r="W492" s="383"/>
      <c r="X492" s="383"/>
      <c r="Y492" s="383"/>
      <c r="Z492" s="383"/>
      <c r="AA492" s="383"/>
      <c r="AB492" s="383"/>
    </row>
    <row r="493" ht="16.5" customHeight="1">
      <c r="A493" s="465"/>
      <c r="B493" s="465"/>
      <c r="C493" s="383"/>
      <c r="D493" s="383"/>
      <c r="E493" s="383"/>
      <c r="F493" s="383"/>
      <c r="G493" s="383"/>
      <c r="H493" s="383"/>
      <c r="I493" s="383"/>
      <c r="J493" s="383"/>
      <c r="K493" s="383"/>
      <c r="L493" s="383"/>
      <c r="M493" s="383"/>
      <c r="N493" s="383"/>
      <c r="O493" s="383"/>
      <c r="P493" s="383"/>
      <c r="Q493" s="383"/>
      <c r="R493" s="383"/>
      <c r="S493" s="383"/>
      <c r="T493" s="383"/>
      <c r="U493" s="383"/>
      <c r="V493" s="383"/>
      <c r="W493" s="383"/>
      <c r="X493" s="383"/>
      <c r="Y493" s="383"/>
      <c r="Z493" s="383"/>
      <c r="AA493" s="383"/>
      <c r="AB493" s="383"/>
    </row>
    <row r="494" ht="16.5" customHeight="1">
      <c r="A494" s="465"/>
      <c r="B494" s="465"/>
      <c r="C494" s="383"/>
      <c r="D494" s="383"/>
      <c r="E494" s="383"/>
      <c r="F494" s="383"/>
      <c r="G494" s="383"/>
      <c r="H494" s="383"/>
      <c r="I494" s="383"/>
      <c r="J494" s="383"/>
      <c r="K494" s="383"/>
      <c r="L494" s="383"/>
      <c r="M494" s="383"/>
      <c r="N494" s="383"/>
      <c r="O494" s="383"/>
      <c r="P494" s="383"/>
      <c r="Q494" s="383"/>
      <c r="R494" s="383"/>
      <c r="S494" s="383"/>
      <c r="T494" s="383"/>
      <c r="U494" s="383"/>
      <c r="V494" s="383"/>
      <c r="W494" s="383"/>
      <c r="X494" s="383"/>
      <c r="Y494" s="383"/>
      <c r="Z494" s="383"/>
      <c r="AA494" s="383"/>
      <c r="AB494" s="383"/>
    </row>
    <row r="495" ht="16.5" customHeight="1">
      <c r="A495" s="465"/>
      <c r="B495" s="465"/>
      <c r="C495" s="383"/>
      <c r="D495" s="383"/>
      <c r="E495" s="383"/>
      <c r="F495" s="383"/>
      <c r="G495" s="383"/>
      <c r="H495" s="383"/>
      <c r="I495" s="383"/>
      <c r="J495" s="383"/>
      <c r="K495" s="383"/>
      <c r="L495" s="383"/>
      <c r="M495" s="383"/>
      <c r="N495" s="383"/>
      <c r="O495" s="383"/>
      <c r="P495" s="383"/>
      <c r="Q495" s="383"/>
      <c r="R495" s="383"/>
      <c r="S495" s="383"/>
      <c r="T495" s="383"/>
      <c r="U495" s="383"/>
      <c r="V495" s="383"/>
      <c r="W495" s="383"/>
      <c r="X495" s="383"/>
      <c r="Y495" s="383"/>
      <c r="Z495" s="383"/>
      <c r="AA495" s="383"/>
      <c r="AB495" s="383"/>
    </row>
    <row r="496" ht="16.5" customHeight="1">
      <c r="A496" s="465"/>
      <c r="B496" s="465"/>
      <c r="C496" s="383"/>
      <c r="D496" s="383"/>
      <c r="E496" s="383"/>
      <c r="F496" s="383"/>
      <c r="G496" s="383"/>
      <c r="H496" s="383"/>
      <c r="I496" s="383"/>
      <c r="J496" s="383"/>
      <c r="K496" s="383"/>
      <c r="L496" s="383"/>
      <c r="M496" s="383"/>
      <c r="N496" s="383"/>
      <c r="O496" s="383"/>
      <c r="P496" s="383"/>
      <c r="Q496" s="383"/>
      <c r="R496" s="383"/>
      <c r="S496" s="383"/>
      <c r="T496" s="383"/>
      <c r="U496" s="383"/>
      <c r="V496" s="383"/>
      <c r="W496" s="383"/>
      <c r="X496" s="383"/>
      <c r="Y496" s="383"/>
      <c r="Z496" s="383"/>
      <c r="AA496" s="383"/>
      <c r="AB496" s="383"/>
    </row>
    <row r="497" ht="16.5" customHeight="1">
      <c r="A497" s="465"/>
      <c r="B497" s="465"/>
      <c r="C497" s="383"/>
      <c r="D497" s="383"/>
      <c r="E497" s="383"/>
      <c r="F497" s="383"/>
      <c r="G497" s="383"/>
      <c r="H497" s="383"/>
      <c r="I497" s="383"/>
      <c r="J497" s="383"/>
      <c r="K497" s="383"/>
      <c r="L497" s="383"/>
      <c r="M497" s="383"/>
      <c r="N497" s="383"/>
      <c r="O497" s="383"/>
      <c r="P497" s="383"/>
      <c r="Q497" s="383"/>
      <c r="R497" s="383"/>
      <c r="S497" s="383"/>
      <c r="T497" s="383"/>
      <c r="U497" s="383"/>
      <c r="V497" s="383"/>
      <c r="W497" s="383"/>
      <c r="X497" s="383"/>
      <c r="Y497" s="383"/>
      <c r="Z497" s="383"/>
      <c r="AA497" s="383"/>
      <c r="AB497" s="383"/>
    </row>
    <row r="498" ht="16.5" customHeight="1">
      <c r="A498" s="465"/>
      <c r="B498" s="465"/>
      <c r="C498" s="383"/>
      <c r="D498" s="383"/>
      <c r="E498" s="383"/>
      <c r="F498" s="383"/>
      <c r="G498" s="383"/>
      <c r="H498" s="383"/>
      <c r="I498" s="383"/>
      <c r="J498" s="383"/>
      <c r="K498" s="383"/>
      <c r="L498" s="383"/>
      <c r="M498" s="383"/>
      <c r="N498" s="383"/>
      <c r="O498" s="383"/>
      <c r="P498" s="383"/>
      <c r="Q498" s="383"/>
      <c r="R498" s="383"/>
      <c r="S498" s="383"/>
      <c r="T498" s="383"/>
      <c r="U498" s="383"/>
      <c r="V498" s="383"/>
      <c r="W498" s="383"/>
      <c r="X498" s="383"/>
      <c r="Y498" s="383"/>
      <c r="Z498" s="383"/>
      <c r="AA498" s="383"/>
      <c r="AB498" s="383"/>
    </row>
    <row r="499" ht="16.5" customHeight="1">
      <c r="A499" s="465"/>
      <c r="B499" s="465"/>
      <c r="C499" s="383"/>
      <c r="D499" s="383"/>
      <c r="E499" s="383"/>
      <c r="F499" s="383"/>
      <c r="G499" s="383"/>
      <c r="H499" s="383"/>
      <c r="I499" s="383"/>
      <c r="J499" s="383"/>
      <c r="K499" s="383"/>
      <c r="L499" s="383"/>
      <c r="M499" s="383"/>
      <c r="N499" s="383"/>
      <c r="O499" s="383"/>
      <c r="P499" s="383"/>
      <c r="Q499" s="383"/>
      <c r="R499" s="383"/>
      <c r="S499" s="383"/>
      <c r="T499" s="383"/>
      <c r="U499" s="383"/>
      <c r="V499" s="383"/>
      <c r="W499" s="383"/>
      <c r="X499" s="383"/>
      <c r="Y499" s="383"/>
      <c r="Z499" s="383"/>
      <c r="AA499" s="383"/>
      <c r="AB499" s="383"/>
    </row>
    <row r="500" ht="16.5" customHeight="1">
      <c r="A500" s="465"/>
      <c r="B500" s="465"/>
      <c r="C500" s="383"/>
      <c r="D500" s="383"/>
      <c r="E500" s="383"/>
      <c r="F500" s="383"/>
      <c r="G500" s="383"/>
      <c r="H500" s="383"/>
      <c r="I500" s="383"/>
      <c r="J500" s="383"/>
      <c r="K500" s="383"/>
      <c r="L500" s="383"/>
      <c r="M500" s="383"/>
      <c r="N500" s="383"/>
      <c r="O500" s="383"/>
      <c r="P500" s="383"/>
      <c r="Q500" s="383"/>
      <c r="R500" s="383"/>
      <c r="S500" s="383"/>
      <c r="T500" s="383"/>
      <c r="U500" s="383"/>
      <c r="V500" s="383"/>
      <c r="W500" s="383"/>
      <c r="X500" s="383"/>
      <c r="Y500" s="383"/>
      <c r="Z500" s="383"/>
      <c r="AA500" s="383"/>
      <c r="AB500" s="383"/>
    </row>
    <row r="501" ht="16.5" customHeight="1">
      <c r="A501" s="465"/>
      <c r="B501" s="465"/>
      <c r="C501" s="383"/>
      <c r="D501" s="383"/>
      <c r="E501" s="383"/>
      <c r="F501" s="383"/>
      <c r="G501" s="383"/>
      <c r="H501" s="383"/>
      <c r="I501" s="383"/>
      <c r="J501" s="383"/>
      <c r="K501" s="383"/>
      <c r="L501" s="383"/>
      <c r="M501" s="383"/>
      <c r="N501" s="383"/>
      <c r="O501" s="383"/>
      <c r="P501" s="383"/>
      <c r="Q501" s="383"/>
      <c r="R501" s="383"/>
      <c r="S501" s="383"/>
      <c r="T501" s="383"/>
      <c r="U501" s="383"/>
      <c r="V501" s="383"/>
      <c r="W501" s="383"/>
      <c r="X501" s="383"/>
      <c r="Y501" s="383"/>
      <c r="Z501" s="383"/>
      <c r="AA501" s="383"/>
      <c r="AB501" s="383"/>
    </row>
    <row r="502" ht="16.5" customHeight="1">
      <c r="A502" s="465"/>
      <c r="B502" s="465"/>
      <c r="C502" s="383"/>
      <c r="D502" s="383"/>
      <c r="E502" s="383"/>
      <c r="F502" s="383"/>
      <c r="G502" s="383"/>
      <c r="H502" s="383"/>
      <c r="I502" s="383"/>
      <c r="J502" s="383"/>
      <c r="K502" s="383"/>
      <c r="L502" s="383"/>
      <c r="M502" s="383"/>
      <c r="N502" s="383"/>
      <c r="O502" s="383"/>
      <c r="P502" s="383"/>
      <c r="Q502" s="383"/>
      <c r="R502" s="383"/>
      <c r="S502" s="383"/>
      <c r="T502" s="383"/>
      <c r="U502" s="383"/>
      <c r="V502" s="383"/>
      <c r="W502" s="383"/>
      <c r="X502" s="383"/>
      <c r="Y502" s="383"/>
      <c r="Z502" s="383"/>
      <c r="AA502" s="383"/>
      <c r="AB502" s="383"/>
    </row>
    <row r="503" ht="16.5" customHeight="1">
      <c r="A503" s="465"/>
      <c r="B503" s="465"/>
      <c r="C503" s="383"/>
      <c r="D503" s="383"/>
      <c r="E503" s="383"/>
      <c r="F503" s="383"/>
      <c r="G503" s="383"/>
      <c r="H503" s="383"/>
      <c r="I503" s="383"/>
      <c r="J503" s="383"/>
      <c r="K503" s="383"/>
      <c r="L503" s="383"/>
      <c r="M503" s="383"/>
      <c r="N503" s="383"/>
      <c r="O503" s="383"/>
      <c r="P503" s="383"/>
      <c r="Q503" s="383"/>
      <c r="R503" s="383"/>
      <c r="S503" s="383"/>
      <c r="T503" s="383"/>
      <c r="U503" s="383"/>
      <c r="V503" s="383"/>
      <c r="W503" s="383"/>
      <c r="X503" s="383"/>
      <c r="Y503" s="383"/>
      <c r="Z503" s="383"/>
      <c r="AA503" s="383"/>
      <c r="AB503" s="383"/>
    </row>
    <row r="504" ht="16.5" customHeight="1">
      <c r="A504" s="465"/>
      <c r="B504" s="465"/>
      <c r="C504" s="383"/>
      <c r="D504" s="383"/>
      <c r="E504" s="383"/>
      <c r="F504" s="383"/>
      <c r="G504" s="383"/>
      <c r="H504" s="383"/>
      <c r="I504" s="383"/>
      <c r="J504" s="383"/>
      <c r="K504" s="383"/>
      <c r="L504" s="383"/>
      <c r="M504" s="383"/>
      <c r="N504" s="383"/>
      <c r="O504" s="383"/>
      <c r="P504" s="383"/>
      <c r="Q504" s="383"/>
      <c r="R504" s="383"/>
      <c r="S504" s="383"/>
      <c r="T504" s="383"/>
      <c r="U504" s="383"/>
      <c r="V504" s="383"/>
      <c r="W504" s="383"/>
      <c r="X504" s="383"/>
      <c r="Y504" s="383"/>
      <c r="Z504" s="383"/>
      <c r="AA504" s="383"/>
      <c r="AB504" s="383"/>
    </row>
    <row r="505" ht="16.5" customHeight="1">
      <c r="A505" s="465"/>
      <c r="B505" s="465"/>
      <c r="C505" s="383"/>
      <c r="D505" s="383"/>
      <c r="E505" s="383"/>
      <c r="F505" s="383"/>
      <c r="G505" s="383"/>
      <c r="H505" s="383"/>
      <c r="I505" s="383"/>
      <c r="J505" s="383"/>
      <c r="K505" s="383"/>
      <c r="L505" s="383"/>
      <c r="M505" s="383"/>
      <c r="N505" s="383"/>
      <c r="O505" s="383"/>
      <c r="P505" s="383"/>
      <c r="Q505" s="383"/>
      <c r="R505" s="383"/>
      <c r="S505" s="383"/>
      <c r="T505" s="383"/>
      <c r="U505" s="383"/>
      <c r="V505" s="383"/>
      <c r="W505" s="383"/>
      <c r="X505" s="383"/>
      <c r="Y505" s="383"/>
      <c r="Z505" s="383"/>
      <c r="AA505" s="383"/>
      <c r="AB505" s="383"/>
    </row>
    <row r="506" ht="16.5" customHeight="1">
      <c r="A506" s="465"/>
      <c r="B506" s="465"/>
      <c r="C506" s="383"/>
      <c r="D506" s="383"/>
      <c r="E506" s="383"/>
      <c r="F506" s="383"/>
      <c r="G506" s="383"/>
      <c r="H506" s="383"/>
      <c r="I506" s="383"/>
      <c r="J506" s="383"/>
      <c r="K506" s="383"/>
      <c r="L506" s="383"/>
      <c r="M506" s="383"/>
      <c r="N506" s="383"/>
      <c r="O506" s="383"/>
      <c r="P506" s="383"/>
      <c r="Q506" s="383"/>
      <c r="R506" s="383"/>
      <c r="S506" s="383"/>
      <c r="T506" s="383"/>
      <c r="U506" s="383"/>
      <c r="V506" s="383"/>
      <c r="W506" s="383"/>
      <c r="X506" s="383"/>
      <c r="Y506" s="383"/>
      <c r="Z506" s="383"/>
      <c r="AA506" s="383"/>
      <c r="AB506" s="383"/>
    </row>
    <row r="507" ht="16.5" customHeight="1">
      <c r="A507" s="465"/>
      <c r="B507" s="465"/>
      <c r="C507" s="383"/>
      <c r="D507" s="383"/>
      <c r="E507" s="383"/>
      <c r="F507" s="383"/>
      <c r="G507" s="383"/>
      <c r="H507" s="383"/>
      <c r="I507" s="383"/>
      <c r="J507" s="383"/>
      <c r="K507" s="383"/>
      <c r="L507" s="383"/>
      <c r="M507" s="383"/>
      <c r="N507" s="383"/>
      <c r="O507" s="383"/>
      <c r="P507" s="383"/>
      <c r="Q507" s="383"/>
      <c r="R507" s="383"/>
      <c r="S507" s="383"/>
      <c r="T507" s="383"/>
      <c r="U507" s="383"/>
      <c r="V507" s="383"/>
      <c r="W507" s="383"/>
      <c r="X507" s="383"/>
      <c r="Y507" s="383"/>
      <c r="Z507" s="383"/>
      <c r="AA507" s="383"/>
      <c r="AB507" s="383"/>
    </row>
    <row r="508" ht="16.5" customHeight="1">
      <c r="A508" s="465"/>
      <c r="B508" s="465"/>
      <c r="C508" s="383"/>
      <c r="D508" s="383"/>
      <c r="E508" s="383"/>
      <c r="F508" s="383"/>
      <c r="G508" s="383"/>
      <c r="H508" s="383"/>
      <c r="I508" s="383"/>
      <c r="J508" s="383"/>
      <c r="K508" s="383"/>
      <c r="L508" s="383"/>
      <c r="M508" s="383"/>
      <c r="N508" s="383"/>
      <c r="O508" s="383"/>
      <c r="P508" s="383"/>
      <c r="Q508" s="383"/>
      <c r="R508" s="383"/>
      <c r="S508" s="383"/>
      <c r="T508" s="383"/>
      <c r="U508" s="383"/>
      <c r="V508" s="383"/>
      <c r="W508" s="383"/>
      <c r="X508" s="383"/>
      <c r="Y508" s="383"/>
      <c r="Z508" s="383"/>
      <c r="AA508" s="383"/>
      <c r="AB508" s="383"/>
    </row>
    <row r="509" ht="16.5" customHeight="1">
      <c r="A509" s="465"/>
      <c r="B509" s="465"/>
      <c r="C509" s="383"/>
      <c r="D509" s="383"/>
      <c r="E509" s="383"/>
      <c r="F509" s="383"/>
      <c r="G509" s="383"/>
      <c r="H509" s="383"/>
      <c r="I509" s="383"/>
      <c r="J509" s="383"/>
      <c r="K509" s="383"/>
      <c r="L509" s="383"/>
      <c r="M509" s="383"/>
      <c r="N509" s="383"/>
      <c r="O509" s="383"/>
      <c r="P509" s="383"/>
      <c r="Q509" s="383"/>
      <c r="R509" s="383"/>
      <c r="S509" s="383"/>
      <c r="T509" s="383"/>
      <c r="U509" s="383"/>
      <c r="V509" s="383"/>
      <c r="W509" s="383"/>
      <c r="X509" s="383"/>
      <c r="Y509" s="383"/>
      <c r="Z509" s="383"/>
      <c r="AA509" s="383"/>
      <c r="AB509" s="383"/>
    </row>
    <row r="510" ht="16.5" customHeight="1">
      <c r="A510" s="465"/>
      <c r="B510" s="465"/>
      <c r="C510" s="383"/>
      <c r="D510" s="383"/>
      <c r="E510" s="383"/>
      <c r="F510" s="383"/>
      <c r="G510" s="383"/>
      <c r="H510" s="383"/>
      <c r="I510" s="383"/>
      <c r="J510" s="383"/>
      <c r="K510" s="383"/>
      <c r="L510" s="383"/>
      <c r="M510" s="383"/>
      <c r="N510" s="383"/>
      <c r="O510" s="383"/>
      <c r="P510" s="383"/>
      <c r="Q510" s="383"/>
      <c r="R510" s="383"/>
      <c r="S510" s="383"/>
      <c r="T510" s="383"/>
      <c r="U510" s="383"/>
      <c r="V510" s="383"/>
      <c r="W510" s="383"/>
      <c r="X510" s="383"/>
      <c r="Y510" s="383"/>
      <c r="Z510" s="383"/>
      <c r="AA510" s="383"/>
      <c r="AB510" s="383"/>
    </row>
    <row r="511" ht="16.5" customHeight="1">
      <c r="A511" s="465"/>
      <c r="B511" s="465"/>
      <c r="C511" s="383"/>
      <c r="D511" s="383"/>
      <c r="E511" s="383"/>
      <c r="F511" s="383"/>
      <c r="G511" s="383"/>
      <c r="H511" s="383"/>
      <c r="I511" s="383"/>
      <c r="J511" s="383"/>
      <c r="K511" s="383"/>
      <c r="L511" s="383"/>
      <c r="M511" s="383"/>
      <c r="N511" s="383"/>
      <c r="O511" s="383"/>
      <c r="P511" s="383"/>
      <c r="Q511" s="383"/>
      <c r="R511" s="383"/>
      <c r="S511" s="383"/>
      <c r="T511" s="383"/>
      <c r="U511" s="383"/>
      <c r="V511" s="383"/>
      <c r="W511" s="383"/>
      <c r="X511" s="383"/>
      <c r="Y511" s="383"/>
      <c r="Z511" s="383"/>
      <c r="AA511" s="383"/>
      <c r="AB511" s="383"/>
    </row>
    <row r="512" ht="16.5" customHeight="1">
      <c r="A512" s="465"/>
      <c r="B512" s="465"/>
      <c r="C512" s="383"/>
      <c r="D512" s="383"/>
      <c r="E512" s="383"/>
      <c r="F512" s="383"/>
      <c r="G512" s="383"/>
      <c r="H512" s="383"/>
      <c r="I512" s="383"/>
      <c r="J512" s="383"/>
      <c r="K512" s="383"/>
      <c r="L512" s="383"/>
      <c r="M512" s="383"/>
      <c r="N512" s="383"/>
      <c r="O512" s="383"/>
      <c r="P512" s="383"/>
      <c r="Q512" s="383"/>
      <c r="R512" s="383"/>
      <c r="S512" s="383"/>
      <c r="T512" s="383"/>
      <c r="U512" s="383"/>
      <c r="V512" s="383"/>
      <c r="W512" s="383"/>
      <c r="X512" s="383"/>
      <c r="Y512" s="383"/>
      <c r="Z512" s="383"/>
      <c r="AA512" s="383"/>
      <c r="AB512" s="383"/>
    </row>
    <row r="513" ht="16.5" customHeight="1">
      <c r="A513" s="465"/>
      <c r="B513" s="465"/>
      <c r="C513" s="383"/>
      <c r="D513" s="383"/>
      <c r="E513" s="383"/>
      <c r="F513" s="383"/>
      <c r="G513" s="383"/>
      <c r="H513" s="383"/>
      <c r="I513" s="383"/>
      <c r="J513" s="383"/>
      <c r="K513" s="383"/>
      <c r="L513" s="383"/>
      <c r="M513" s="383"/>
      <c r="N513" s="383"/>
      <c r="O513" s="383"/>
      <c r="P513" s="383"/>
      <c r="Q513" s="383"/>
      <c r="R513" s="383"/>
      <c r="S513" s="383"/>
      <c r="T513" s="383"/>
      <c r="U513" s="383"/>
      <c r="V513" s="383"/>
      <c r="W513" s="383"/>
      <c r="X513" s="383"/>
      <c r="Y513" s="383"/>
      <c r="Z513" s="383"/>
      <c r="AA513" s="383"/>
      <c r="AB513" s="383"/>
    </row>
    <row r="514" ht="16.5" customHeight="1">
      <c r="A514" s="465"/>
      <c r="B514" s="465"/>
      <c r="C514" s="383"/>
      <c r="D514" s="383"/>
      <c r="E514" s="383"/>
      <c r="F514" s="383"/>
      <c r="G514" s="383"/>
      <c r="H514" s="383"/>
      <c r="I514" s="383"/>
      <c r="J514" s="383"/>
      <c r="K514" s="383"/>
      <c r="L514" s="383"/>
      <c r="M514" s="383"/>
      <c r="N514" s="383"/>
      <c r="O514" s="383"/>
      <c r="P514" s="383"/>
      <c r="Q514" s="383"/>
      <c r="R514" s="383"/>
      <c r="S514" s="383"/>
      <c r="T514" s="383"/>
      <c r="U514" s="383"/>
      <c r="V514" s="383"/>
      <c r="W514" s="383"/>
      <c r="X514" s="383"/>
      <c r="Y514" s="383"/>
      <c r="Z514" s="383"/>
      <c r="AA514" s="383"/>
      <c r="AB514" s="383"/>
    </row>
    <row r="515" ht="16.5" customHeight="1">
      <c r="A515" s="465"/>
      <c r="B515" s="465"/>
      <c r="C515" s="383"/>
      <c r="D515" s="383"/>
      <c r="E515" s="383"/>
      <c r="F515" s="383"/>
      <c r="G515" s="383"/>
      <c r="H515" s="383"/>
      <c r="I515" s="383"/>
      <c r="J515" s="383"/>
      <c r="K515" s="383"/>
      <c r="L515" s="383"/>
      <c r="M515" s="383"/>
      <c r="N515" s="383"/>
      <c r="O515" s="383"/>
      <c r="P515" s="383"/>
      <c r="Q515" s="383"/>
      <c r="R515" s="383"/>
      <c r="S515" s="383"/>
      <c r="T515" s="383"/>
      <c r="U515" s="383"/>
      <c r="V515" s="383"/>
      <c r="W515" s="383"/>
      <c r="X515" s="383"/>
      <c r="Y515" s="383"/>
      <c r="Z515" s="383"/>
      <c r="AA515" s="383"/>
      <c r="AB515" s="383"/>
    </row>
    <row r="516" ht="16.5" customHeight="1">
      <c r="A516" s="465"/>
      <c r="B516" s="465"/>
      <c r="C516" s="383"/>
      <c r="D516" s="383"/>
      <c r="E516" s="383"/>
      <c r="F516" s="383"/>
      <c r="G516" s="383"/>
      <c r="H516" s="383"/>
      <c r="I516" s="383"/>
      <c r="J516" s="383"/>
      <c r="K516" s="383"/>
      <c r="L516" s="383"/>
      <c r="M516" s="383"/>
      <c r="N516" s="383"/>
      <c r="O516" s="383"/>
      <c r="P516" s="383"/>
      <c r="Q516" s="383"/>
      <c r="R516" s="383"/>
      <c r="S516" s="383"/>
      <c r="T516" s="383"/>
      <c r="U516" s="383"/>
      <c r="V516" s="383"/>
      <c r="W516" s="383"/>
      <c r="X516" s="383"/>
      <c r="Y516" s="383"/>
      <c r="Z516" s="383"/>
      <c r="AA516" s="383"/>
      <c r="AB516" s="383"/>
    </row>
    <row r="517" ht="16.5" customHeight="1">
      <c r="A517" s="465"/>
      <c r="B517" s="465"/>
      <c r="C517" s="383"/>
      <c r="D517" s="383"/>
      <c r="E517" s="383"/>
      <c r="F517" s="383"/>
      <c r="G517" s="383"/>
      <c r="H517" s="383"/>
      <c r="I517" s="383"/>
      <c r="J517" s="383"/>
      <c r="K517" s="383"/>
      <c r="L517" s="383"/>
      <c r="M517" s="383"/>
      <c r="N517" s="383"/>
      <c r="O517" s="383"/>
      <c r="P517" s="383"/>
      <c r="Q517" s="383"/>
      <c r="R517" s="383"/>
      <c r="S517" s="383"/>
      <c r="T517" s="383"/>
      <c r="U517" s="383"/>
      <c r="V517" s="383"/>
      <c r="W517" s="383"/>
      <c r="X517" s="383"/>
      <c r="Y517" s="383"/>
      <c r="Z517" s="383"/>
      <c r="AA517" s="383"/>
      <c r="AB517" s="383"/>
    </row>
    <row r="518" ht="16.5" customHeight="1">
      <c r="A518" s="465"/>
      <c r="B518" s="465"/>
      <c r="C518" s="383"/>
      <c r="D518" s="383"/>
      <c r="E518" s="383"/>
      <c r="F518" s="383"/>
      <c r="G518" s="383"/>
      <c r="H518" s="383"/>
      <c r="I518" s="383"/>
      <c r="J518" s="383"/>
      <c r="K518" s="383"/>
      <c r="L518" s="383"/>
      <c r="M518" s="383"/>
      <c r="N518" s="383"/>
      <c r="O518" s="383"/>
      <c r="P518" s="383"/>
      <c r="Q518" s="383"/>
      <c r="R518" s="383"/>
      <c r="S518" s="383"/>
      <c r="T518" s="383"/>
      <c r="U518" s="383"/>
      <c r="V518" s="383"/>
      <c r="W518" s="383"/>
      <c r="X518" s="383"/>
      <c r="Y518" s="383"/>
      <c r="Z518" s="383"/>
      <c r="AA518" s="383"/>
      <c r="AB518" s="383"/>
    </row>
    <row r="519" ht="16.5" customHeight="1">
      <c r="A519" s="465"/>
      <c r="B519" s="465"/>
      <c r="C519" s="383"/>
      <c r="D519" s="383"/>
      <c r="E519" s="383"/>
      <c r="F519" s="383"/>
      <c r="G519" s="383"/>
      <c r="H519" s="383"/>
      <c r="I519" s="383"/>
      <c r="J519" s="383"/>
      <c r="K519" s="383"/>
      <c r="L519" s="383"/>
      <c r="M519" s="383"/>
      <c r="N519" s="383"/>
      <c r="O519" s="383"/>
      <c r="P519" s="383"/>
      <c r="Q519" s="383"/>
      <c r="R519" s="383"/>
      <c r="S519" s="383"/>
      <c r="T519" s="383"/>
      <c r="U519" s="383"/>
      <c r="V519" s="383"/>
      <c r="W519" s="383"/>
      <c r="X519" s="383"/>
      <c r="Y519" s="383"/>
      <c r="Z519" s="383"/>
      <c r="AA519" s="383"/>
      <c r="AB519" s="383"/>
    </row>
    <row r="520" ht="16.5" customHeight="1">
      <c r="A520" s="465"/>
      <c r="B520" s="465"/>
      <c r="C520" s="383"/>
      <c r="D520" s="383"/>
      <c r="E520" s="383"/>
      <c r="F520" s="383"/>
      <c r="G520" s="383"/>
      <c r="H520" s="383"/>
      <c r="I520" s="383"/>
      <c r="J520" s="383"/>
      <c r="K520" s="383"/>
      <c r="L520" s="383"/>
      <c r="M520" s="383"/>
      <c r="N520" s="383"/>
      <c r="O520" s="383"/>
      <c r="P520" s="383"/>
      <c r="Q520" s="383"/>
      <c r="R520" s="383"/>
      <c r="S520" s="383"/>
      <c r="T520" s="383"/>
      <c r="U520" s="383"/>
      <c r="V520" s="383"/>
      <c r="W520" s="383"/>
      <c r="X520" s="383"/>
      <c r="Y520" s="383"/>
      <c r="Z520" s="383"/>
      <c r="AA520" s="383"/>
      <c r="AB520" s="383"/>
    </row>
    <row r="521" ht="16.5" customHeight="1">
      <c r="A521" s="465"/>
      <c r="B521" s="465"/>
      <c r="C521" s="383"/>
      <c r="D521" s="383"/>
      <c r="E521" s="383"/>
      <c r="F521" s="383"/>
      <c r="G521" s="383"/>
      <c r="H521" s="383"/>
      <c r="I521" s="383"/>
      <c r="J521" s="383"/>
      <c r="K521" s="383"/>
      <c r="L521" s="383"/>
      <c r="M521" s="383"/>
      <c r="N521" s="383"/>
      <c r="O521" s="383"/>
      <c r="P521" s="383"/>
      <c r="Q521" s="383"/>
      <c r="R521" s="383"/>
      <c r="S521" s="383"/>
      <c r="T521" s="383"/>
      <c r="U521" s="383"/>
      <c r="V521" s="383"/>
      <c r="W521" s="383"/>
      <c r="X521" s="383"/>
      <c r="Y521" s="383"/>
      <c r="Z521" s="383"/>
      <c r="AA521" s="383"/>
      <c r="AB521" s="383"/>
    </row>
    <row r="522" ht="16.5" customHeight="1">
      <c r="A522" s="465"/>
      <c r="B522" s="465"/>
      <c r="C522" s="383"/>
      <c r="D522" s="383"/>
      <c r="E522" s="383"/>
      <c r="F522" s="383"/>
      <c r="G522" s="383"/>
      <c r="H522" s="383"/>
      <c r="I522" s="383"/>
      <c r="J522" s="383"/>
      <c r="K522" s="383"/>
      <c r="L522" s="383"/>
      <c r="M522" s="383"/>
      <c r="N522" s="383"/>
      <c r="O522" s="383"/>
      <c r="P522" s="383"/>
      <c r="Q522" s="383"/>
      <c r="R522" s="383"/>
      <c r="S522" s="383"/>
      <c r="T522" s="383"/>
      <c r="U522" s="383"/>
      <c r="V522" s="383"/>
      <c r="W522" s="383"/>
      <c r="X522" s="383"/>
      <c r="Y522" s="383"/>
      <c r="Z522" s="383"/>
      <c r="AA522" s="383"/>
      <c r="AB522" s="383"/>
    </row>
    <row r="523" ht="16.5" customHeight="1">
      <c r="A523" s="465"/>
      <c r="B523" s="465"/>
      <c r="C523" s="383"/>
      <c r="D523" s="383"/>
      <c r="E523" s="383"/>
      <c r="F523" s="383"/>
      <c r="G523" s="383"/>
      <c r="H523" s="383"/>
      <c r="I523" s="383"/>
      <c r="J523" s="383"/>
      <c r="K523" s="383"/>
      <c r="L523" s="383"/>
      <c r="M523" s="383"/>
      <c r="N523" s="383"/>
      <c r="O523" s="383"/>
      <c r="P523" s="383"/>
      <c r="Q523" s="383"/>
      <c r="R523" s="383"/>
      <c r="S523" s="383"/>
      <c r="T523" s="383"/>
      <c r="U523" s="383"/>
      <c r="V523" s="383"/>
      <c r="W523" s="383"/>
      <c r="X523" s="383"/>
      <c r="Y523" s="383"/>
      <c r="Z523" s="383"/>
      <c r="AA523" s="383"/>
      <c r="AB523" s="383"/>
    </row>
    <row r="524" ht="16.5" customHeight="1">
      <c r="A524" s="465"/>
      <c r="B524" s="465"/>
      <c r="C524" s="383"/>
      <c r="D524" s="383"/>
      <c r="E524" s="383"/>
      <c r="F524" s="383"/>
      <c r="G524" s="383"/>
      <c r="H524" s="383"/>
      <c r="I524" s="383"/>
      <c r="J524" s="383"/>
      <c r="K524" s="383"/>
      <c r="L524" s="383"/>
      <c r="M524" s="383"/>
      <c r="N524" s="383"/>
      <c r="O524" s="383"/>
      <c r="P524" s="383"/>
      <c r="Q524" s="383"/>
      <c r="R524" s="383"/>
      <c r="S524" s="383"/>
      <c r="T524" s="383"/>
      <c r="U524" s="383"/>
      <c r="V524" s="383"/>
      <c r="W524" s="383"/>
      <c r="X524" s="383"/>
      <c r="Y524" s="383"/>
      <c r="Z524" s="383"/>
      <c r="AA524" s="383"/>
      <c r="AB524" s="383"/>
    </row>
    <row r="525" ht="16.5" customHeight="1">
      <c r="A525" s="465"/>
      <c r="B525" s="465"/>
      <c r="C525" s="383"/>
      <c r="D525" s="383"/>
      <c r="E525" s="383"/>
      <c r="F525" s="383"/>
      <c r="G525" s="383"/>
      <c r="H525" s="383"/>
      <c r="I525" s="383"/>
      <c r="J525" s="383"/>
      <c r="K525" s="383"/>
      <c r="L525" s="383"/>
      <c r="M525" s="383"/>
      <c r="N525" s="383"/>
      <c r="O525" s="383"/>
      <c r="P525" s="383"/>
      <c r="Q525" s="383"/>
      <c r="R525" s="383"/>
      <c r="S525" s="383"/>
      <c r="T525" s="383"/>
      <c r="U525" s="383"/>
      <c r="V525" s="383"/>
      <c r="W525" s="383"/>
      <c r="X525" s="383"/>
      <c r="Y525" s="383"/>
      <c r="Z525" s="383"/>
      <c r="AA525" s="383"/>
      <c r="AB525" s="383"/>
    </row>
    <row r="526" ht="16.5" customHeight="1">
      <c r="A526" s="465"/>
      <c r="B526" s="465"/>
      <c r="C526" s="383"/>
      <c r="D526" s="383"/>
      <c r="E526" s="383"/>
      <c r="F526" s="383"/>
      <c r="G526" s="383"/>
      <c r="H526" s="383"/>
      <c r="I526" s="383"/>
      <c r="J526" s="383"/>
      <c r="K526" s="383"/>
      <c r="L526" s="383"/>
      <c r="M526" s="383"/>
      <c r="N526" s="383"/>
      <c r="O526" s="383"/>
      <c r="P526" s="383"/>
      <c r="Q526" s="383"/>
      <c r="R526" s="383"/>
      <c r="S526" s="383"/>
      <c r="T526" s="383"/>
      <c r="U526" s="383"/>
      <c r="V526" s="383"/>
      <c r="W526" s="383"/>
      <c r="X526" s="383"/>
      <c r="Y526" s="383"/>
      <c r="Z526" s="383"/>
      <c r="AA526" s="383"/>
      <c r="AB526" s="383"/>
    </row>
    <row r="527" ht="16.5" customHeight="1">
      <c r="A527" s="465"/>
      <c r="B527" s="465"/>
      <c r="C527" s="383"/>
      <c r="D527" s="383"/>
      <c r="E527" s="383"/>
      <c r="F527" s="383"/>
      <c r="G527" s="383"/>
      <c r="H527" s="383"/>
      <c r="I527" s="383"/>
      <c r="J527" s="383"/>
      <c r="K527" s="383"/>
      <c r="L527" s="383"/>
      <c r="M527" s="383"/>
      <c r="N527" s="383"/>
      <c r="O527" s="383"/>
      <c r="P527" s="383"/>
      <c r="Q527" s="383"/>
      <c r="R527" s="383"/>
      <c r="S527" s="383"/>
      <c r="T527" s="383"/>
      <c r="U527" s="383"/>
      <c r="V527" s="383"/>
      <c r="W527" s="383"/>
      <c r="X527" s="383"/>
      <c r="Y527" s="383"/>
      <c r="Z527" s="383"/>
      <c r="AA527" s="383"/>
      <c r="AB527" s="383"/>
    </row>
    <row r="528" ht="16.5" customHeight="1">
      <c r="A528" s="465"/>
      <c r="B528" s="465"/>
      <c r="C528" s="383"/>
      <c r="D528" s="383"/>
      <c r="E528" s="383"/>
      <c r="F528" s="383"/>
      <c r="G528" s="383"/>
      <c r="H528" s="383"/>
      <c r="I528" s="383"/>
      <c r="J528" s="383"/>
      <c r="K528" s="383"/>
      <c r="L528" s="383"/>
      <c r="M528" s="383"/>
      <c r="N528" s="383"/>
      <c r="O528" s="383"/>
      <c r="P528" s="383"/>
      <c r="Q528" s="383"/>
      <c r="R528" s="383"/>
      <c r="S528" s="383"/>
      <c r="T528" s="383"/>
      <c r="U528" s="383"/>
      <c r="V528" s="383"/>
      <c r="W528" s="383"/>
      <c r="X528" s="383"/>
      <c r="Y528" s="383"/>
      <c r="Z528" s="383"/>
      <c r="AA528" s="383"/>
      <c r="AB528" s="383"/>
    </row>
    <row r="529" ht="16.5" customHeight="1">
      <c r="A529" s="465"/>
      <c r="B529" s="465"/>
      <c r="C529" s="383"/>
      <c r="D529" s="383"/>
      <c r="E529" s="383"/>
      <c r="F529" s="383"/>
      <c r="G529" s="383"/>
      <c r="H529" s="383"/>
      <c r="I529" s="383"/>
      <c r="J529" s="383"/>
      <c r="K529" s="383"/>
      <c r="L529" s="383"/>
      <c r="M529" s="383"/>
      <c r="N529" s="383"/>
      <c r="O529" s="383"/>
      <c r="P529" s="383"/>
      <c r="Q529" s="383"/>
      <c r="R529" s="383"/>
      <c r="S529" s="383"/>
      <c r="T529" s="383"/>
      <c r="U529" s="383"/>
      <c r="V529" s="383"/>
      <c r="W529" s="383"/>
      <c r="X529" s="383"/>
      <c r="Y529" s="383"/>
      <c r="Z529" s="383"/>
      <c r="AA529" s="383"/>
      <c r="AB529" s="383"/>
    </row>
    <row r="530" ht="16.5" customHeight="1">
      <c r="A530" s="465"/>
      <c r="B530" s="465"/>
      <c r="C530" s="383"/>
      <c r="D530" s="383"/>
      <c r="E530" s="383"/>
      <c r="F530" s="383"/>
      <c r="G530" s="383"/>
      <c r="H530" s="383"/>
      <c r="I530" s="383"/>
      <c r="J530" s="383"/>
      <c r="K530" s="383"/>
      <c r="L530" s="383"/>
      <c r="M530" s="383"/>
      <c r="N530" s="383"/>
      <c r="O530" s="383"/>
      <c r="P530" s="383"/>
      <c r="Q530" s="383"/>
      <c r="R530" s="383"/>
      <c r="S530" s="383"/>
      <c r="T530" s="383"/>
      <c r="U530" s="383"/>
      <c r="V530" s="383"/>
      <c r="W530" s="383"/>
      <c r="X530" s="383"/>
      <c r="Y530" s="383"/>
      <c r="Z530" s="383"/>
      <c r="AA530" s="383"/>
      <c r="AB530" s="383"/>
    </row>
    <row r="531" ht="16.5" customHeight="1">
      <c r="A531" s="465"/>
      <c r="B531" s="465"/>
      <c r="C531" s="383"/>
      <c r="D531" s="383"/>
      <c r="E531" s="383"/>
      <c r="F531" s="383"/>
      <c r="G531" s="383"/>
      <c r="H531" s="383"/>
      <c r="I531" s="383"/>
      <c r="J531" s="383"/>
      <c r="K531" s="383"/>
      <c r="L531" s="383"/>
      <c r="M531" s="383"/>
      <c r="N531" s="383"/>
      <c r="O531" s="383"/>
      <c r="P531" s="383"/>
      <c r="Q531" s="383"/>
      <c r="R531" s="383"/>
      <c r="S531" s="383"/>
      <c r="T531" s="383"/>
      <c r="U531" s="383"/>
      <c r="V531" s="383"/>
      <c r="W531" s="383"/>
      <c r="X531" s="383"/>
      <c r="Y531" s="383"/>
      <c r="Z531" s="383"/>
      <c r="AA531" s="383"/>
      <c r="AB531" s="383"/>
    </row>
    <row r="532" ht="16.5" customHeight="1">
      <c r="A532" s="465"/>
      <c r="B532" s="465"/>
      <c r="C532" s="383"/>
      <c r="D532" s="383"/>
      <c r="E532" s="383"/>
      <c r="F532" s="383"/>
      <c r="G532" s="383"/>
      <c r="H532" s="383"/>
      <c r="I532" s="383"/>
      <c r="J532" s="383"/>
      <c r="K532" s="383"/>
      <c r="L532" s="383"/>
      <c r="M532" s="383"/>
      <c r="N532" s="383"/>
      <c r="O532" s="383"/>
      <c r="P532" s="383"/>
      <c r="Q532" s="383"/>
      <c r="R532" s="383"/>
      <c r="S532" s="383"/>
      <c r="T532" s="383"/>
      <c r="U532" s="383"/>
      <c r="V532" s="383"/>
      <c r="W532" s="383"/>
      <c r="X532" s="383"/>
      <c r="Y532" s="383"/>
      <c r="Z532" s="383"/>
      <c r="AA532" s="383"/>
      <c r="AB532" s="383"/>
    </row>
    <row r="533" ht="16.5" customHeight="1">
      <c r="A533" s="465"/>
      <c r="B533" s="465"/>
      <c r="C533" s="383"/>
      <c r="D533" s="383"/>
      <c r="E533" s="383"/>
      <c r="F533" s="383"/>
      <c r="G533" s="383"/>
      <c r="H533" s="383"/>
      <c r="I533" s="383"/>
      <c r="J533" s="383"/>
      <c r="K533" s="383"/>
      <c r="L533" s="383"/>
      <c r="M533" s="383"/>
      <c r="N533" s="383"/>
      <c r="O533" s="383"/>
      <c r="P533" s="383"/>
      <c r="Q533" s="383"/>
      <c r="R533" s="383"/>
      <c r="S533" s="383"/>
      <c r="T533" s="383"/>
      <c r="U533" s="383"/>
      <c r="V533" s="383"/>
      <c r="W533" s="383"/>
      <c r="X533" s="383"/>
      <c r="Y533" s="383"/>
      <c r="Z533" s="383"/>
      <c r="AA533" s="383"/>
      <c r="AB533" s="383"/>
    </row>
    <row r="534" ht="16.5" customHeight="1">
      <c r="A534" s="465"/>
      <c r="B534" s="465"/>
      <c r="C534" s="383"/>
      <c r="D534" s="383"/>
      <c r="E534" s="383"/>
      <c r="F534" s="383"/>
      <c r="G534" s="383"/>
      <c r="H534" s="383"/>
      <c r="I534" s="383"/>
      <c r="J534" s="383"/>
      <c r="K534" s="383"/>
      <c r="L534" s="383"/>
      <c r="M534" s="383"/>
      <c r="N534" s="383"/>
      <c r="O534" s="383"/>
      <c r="P534" s="383"/>
      <c r="Q534" s="383"/>
      <c r="R534" s="383"/>
      <c r="S534" s="383"/>
      <c r="T534" s="383"/>
      <c r="U534" s="383"/>
      <c r="V534" s="383"/>
      <c r="W534" s="383"/>
      <c r="X534" s="383"/>
      <c r="Y534" s="383"/>
      <c r="Z534" s="383"/>
      <c r="AA534" s="383"/>
      <c r="AB534" s="383"/>
    </row>
    <row r="535" ht="16.5" customHeight="1">
      <c r="A535" s="465"/>
      <c r="B535" s="465"/>
      <c r="C535" s="383"/>
      <c r="D535" s="383"/>
      <c r="E535" s="383"/>
      <c r="F535" s="383"/>
      <c r="G535" s="383"/>
      <c r="H535" s="383"/>
      <c r="I535" s="383"/>
      <c r="J535" s="383"/>
      <c r="K535" s="383"/>
      <c r="L535" s="383"/>
      <c r="M535" s="383"/>
      <c r="N535" s="383"/>
      <c r="O535" s="383"/>
      <c r="P535" s="383"/>
      <c r="Q535" s="383"/>
      <c r="R535" s="383"/>
      <c r="S535" s="383"/>
      <c r="T535" s="383"/>
      <c r="U535" s="383"/>
      <c r="V535" s="383"/>
      <c r="W535" s="383"/>
      <c r="X535" s="383"/>
      <c r="Y535" s="383"/>
      <c r="Z535" s="383"/>
      <c r="AA535" s="383"/>
      <c r="AB535" s="383"/>
    </row>
    <row r="536" ht="16.5" customHeight="1">
      <c r="A536" s="465"/>
      <c r="B536" s="465"/>
      <c r="C536" s="383"/>
      <c r="D536" s="383"/>
      <c r="E536" s="383"/>
      <c r="F536" s="383"/>
      <c r="G536" s="383"/>
      <c r="H536" s="383"/>
      <c r="I536" s="383"/>
      <c r="J536" s="383"/>
      <c r="K536" s="383"/>
      <c r="L536" s="383"/>
      <c r="M536" s="383"/>
      <c r="N536" s="383"/>
      <c r="O536" s="383"/>
      <c r="P536" s="383"/>
      <c r="Q536" s="383"/>
      <c r="R536" s="383"/>
      <c r="S536" s="383"/>
      <c r="T536" s="383"/>
      <c r="U536" s="383"/>
      <c r="V536" s="383"/>
      <c r="W536" s="383"/>
      <c r="X536" s="383"/>
      <c r="Y536" s="383"/>
      <c r="Z536" s="383"/>
      <c r="AA536" s="383"/>
      <c r="AB536" s="383"/>
    </row>
    <row r="537" ht="16.5" customHeight="1">
      <c r="A537" s="465"/>
      <c r="B537" s="465"/>
      <c r="C537" s="383"/>
      <c r="D537" s="383"/>
      <c r="E537" s="383"/>
      <c r="F537" s="383"/>
      <c r="G537" s="383"/>
      <c r="H537" s="383"/>
      <c r="I537" s="383"/>
      <c r="J537" s="383"/>
      <c r="K537" s="383"/>
      <c r="L537" s="383"/>
      <c r="M537" s="383"/>
      <c r="N537" s="383"/>
      <c r="O537" s="383"/>
      <c r="P537" s="383"/>
      <c r="Q537" s="383"/>
      <c r="R537" s="383"/>
      <c r="S537" s="383"/>
      <c r="T537" s="383"/>
      <c r="U537" s="383"/>
      <c r="V537" s="383"/>
      <c r="W537" s="383"/>
      <c r="X537" s="383"/>
      <c r="Y537" s="383"/>
      <c r="Z537" s="383"/>
      <c r="AA537" s="383"/>
      <c r="AB537" s="383"/>
    </row>
    <row r="538" ht="16.5" customHeight="1">
      <c r="A538" s="465"/>
      <c r="B538" s="465"/>
      <c r="C538" s="383"/>
      <c r="D538" s="383"/>
      <c r="E538" s="383"/>
      <c r="F538" s="383"/>
      <c r="G538" s="383"/>
      <c r="H538" s="383"/>
      <c r="I538" s="383"/>
      <c r="J538" s="383"/>
      <c r="K538" s="383"/>
      <c r="L538" s="383"/>
      <c r="M538" s="383"/>
      <c r="N538" s="383"/>
      <c r="O538" s="383"/>
      <c r="P538" s="383"/>
      <c r="Q538" s="383"/>
      <c r="R538" s="383"/>
      <c r="S538" s="383"/>
      <c r="T538" s="383"/>
      <c r="U538" s="383"/>
      <c r="V538" s="383"/>
      <c r="W538" s="383"/>
      <c r="X538" s="383"/>
      <c r="Y538" s="383"/>
      <c r="Z538" s="383"/>
      <c r="AA538" s="383"/>
      <c r="AB538" s="383"/>
    </row>
    <row r="539" ht="16.5" customHeight="1">
      <c r="A539" s="465"/>
      <c r="B539" s="465"/>
      <c r="C539" s="383"/>
      <c r="D539" s="383"/>
      <c r="E539" s="383"/>
      <c r="F539" s="383"/>
      <c r="G539" s="383"/>
      <c r="H539" s="383"/>
      <c r="I539" s="383"/>
      <c r="J539" s="383"/>
      <c r="K539" s="383"/>
      <c r="L539" s="383"/>
      <c r="M539" s="383"/>
      <c r="N539" s="383"/>
      <c r="O539" s="383"/>
      <c r="P539" s="383"/>
      <c r="Q539" s="383"/>
      <c r="R539" s="383"/>
      <c r="S539" s="383"/>
      <c r="T539" s="383"/>
      <c r="U539" s="383"/>
      <c r="V539" s="383"/>
      <c r="W539" s="383"/>
      <c r="X539" s="383"/>
      <c r="Y539" s="383"/>
      <c r="Z539" s="383"/>
      <c r="AA539" s="383"/>
      <c r="AB539" s="383"/>
    </row>
    <row r="540" ht="16.5" customHeight="1">
      <c r="A540" s="465"/>
      <c r="B540" s="465"/>
      <c r="C540" s="383"/>
      <c r="D540" s="383"/>
      <c r="E540" s="383"/>
      <c r="F540" s="383"/>
      <c r="G540" s="383"/>
      <c r="H540" s="383"/>
      <c r="I540" s="383"/>
      <c r="J540" s="383"/>
      <c r="K540" s="383"/>
      <c r="L540" s="383"/>
      <c r="M540" s="383"/>
      <c r="N540" s="383"/>
      <c r="O540" s="383"/>
      <c r="P540" s="383"/>
      <c r="Q540" s="383"/>
      <c r="R540" s="383"/>
      <c r="S540" s="383"/>
      <c r="T540" s="383"/>
      <c r="U540" s="383"/>
      <c r="V540" s="383"/>
      <c r="W540" s="383"/>
      <c r="X540" s="383"/>
      <c r="Y540" s="383"/>
      <c r="Z540" s="383"/>
      <c r="AA540" s="383"/>
      <c r="AB540" s="383"/>
    </row>
    <row r="541" ht="16.5" customHeight="1">
      <c r="A541" s="465"/>
      <c r="B541" s="465"/>
      <c r="C541" s="383"/>
      <c r="D541" s="383"/>
      <c r="E541" s="383"/>
      <c r="F541" s="383"/>
      <c r="G541" s="383"/>
      <c r="H541" s="383"/>
      <c r="I541" s="383"/>
      <c r="J541" s="383"/>
      <c r="K541" s="383"/>
      <c r="L541" s="383"/>
      <c r="M541" s="383"/>
      <c r="N541" s="383"/>
      <c r="O541" s="383"/>
      <c r="P541" s="383"/>
      <c r="Q541" s="383"/>
      <c r="R541" s="383"/>
      <c r="S541" s="383"/>
      <c r="T541" s="383"/>
      <c r="U541" s="383"/>
      <c r="V541" s="383"/>
      <c r="W541" s="383"/>
      <c r="X541" s="383"/>
      <c r="Y541" s="383"/>
      <c r="Z541" s="383"/>
      <c r="AA541" s="383"/>
      <c r="AB541" s="383"/>
    </row>
    <row r="542" ht="16.5" customHeight="1">
      <c r="A542" s="465"/>
      <c r="B542" s="465"/>
      <c r="C542" s="383"/>
      <c r="D542" s="383"/>
      <c r="E542" s="383"/>
      <c r="F542" s="383"/>
      <c r="G542" s="383"/>
      <c r="H542" s="383"/>
      <c r="I542" s="383"/>
      <c r="J542" s="383"/>
      <c r="K542" s="383"/>
      <c r="L542" s="383"/>
      <c r="M542" s="383"/>
      <c r="N542" s="383"/>
      <c r="O542" s="383"/>
      <c r="P542" s="383"/>
      <c r="Q542" s="383"/>
      <c r="R542" s="383"/>
      <c r="S542" s="383"/>
      <c r="T542" s="383"/>
      <c r="U542" s="383"/>
      <c r="V542" s="383"/>
      <c r="W542" s="383"/>
      <c r="X542" s="383"/>
      <c r="Y542" s="383"/>
      <c r="Z542" s="383"/>
      <c r="AA542" s="383"/>
      <c r="AB542" s="383"/>
    </row>
    <row r="543" ht="16.5" customHeight="1">
      <c r="A543" s="465"/>
      <c r="B543" s="465"/>
      <c r="C543" s="383"/>
      <c r="D543" s="383"/>
      <c r="E543" s="383"/>
      <c r="F543" s="383"/>
      <c r="G543" s="383"/>
      <c r="H543" s="383"/>
      <c r="I543" s="383"/>
      <c r="J543" s="383"/>
      <c r="K543" s="383"/>
      <c r="L543" s="383"/>
      <c r="M543" s="383"/>
      <c r="N543" s="383"/>
      <c r="O543" s="383"/>
      <c r="P543" s="383"/>
      <c r="Q543" s="383"/>
      <c r="R543" s="383"/>
      <c r="S543" s="383"/>
      <c r="T543" s="383"/>
      <c r="U543" s="383"/>
      <c r="V543" s="383"/>
      <c r="W543" s="383"/>
      <c r="X543" s="383"/>
      <c r="Y543" s="383"/>
      <c r="Z543" s="383"/>
      <c r="AA543" s="383"/>
      <c r="AB543" s="383"/>
    </row>
    <row r="544" ht="16.5" customHeight="1">
      <c r="A544" s="465"/>
      <c r="B544" s="465"/>
      <c r="C544" s="383"/>
      <c r="D544" s="383"/>
      <c r="E544" s="383"/>
      <c r="F544" s="383"/>
      <c r="G544" s="383"/>
      <c r="H544" s="383"/>
      <c r="I544" s="383"/>
      <c r="J544" s="383"/>
      <c r="K544" s="383"/>
      <c r="L544" s="383"/>
      <c r="M544" s="383"/>
      <c r="N544" s="383"/>
      <c r="O544" s="383"/>
      <c r="P544" s="383"/>
      <c r="Q544" s="383"/>
      <c r="R544" s="383"/>
      <c r="S544" s="383"/>
      <c r="T544" s="383"/>
      <c r="U544" s="383"/>
      <c r="V544" s="383"/>
      <c r="W544" s="383"/>
      <c r="X544" s="383"/>
      <c r="Y544" s="383"/>
      <c r="Z544" s="383"/>
      <c r="AA544" s="383"/>
      <c r="AB544" s="383"/>
    </row>
    <row r="545" ht="16.5" customHeight="1">
      <c r="A545" s="465"/>
      <c r="B545" s="465"/>
      <c r="C545" s="383"/>
      <c r="D545" s="383"/>
      <c r="E545" s="383"/>
      <c r="F545" s="383"/>
      <c r="G545" s="383"/>
      <c r="H545" s="383"/>
      <c r="I545" s="383"/>
      <c r="J545" s="383"/>
      <c r="K545" s="383"/>
      <c r="L545" s="383"/>
      <c r="M545" s="383"/>
      <c r="N545" s="383"/>
      <c r="O545" s="383"/>
      <c r="P545" s="383"/>
      <c r="Q545" s="383"/>
      <c r="R545" s="383"/>
      <c r="S545" s="383"/>
      <c r="T545" s="383"/>
      <c r="U545" s="383"/>
      <c r="V545" s="383"/>
      <c r="W545" s="383"/>
      <c r="X545" s="383"/>
      <c r="Y545" s="383"/>
      <c r="Z545" s="383"/>
      <c r="AA545" s="383"/>
      <c r="AB545" s="383"/>
    </row>
    <row r="546" ht="16.5" customHeight="1">
      <c r="A546" s="465"/>
      <c r="B546" s="465"/>
      <c r="C546" s="383"/>
      <c r="D546" s="383"/>
      <c r="E546" s="383"/>
      <c r="F546" s="383"/>
      <c r="G546" s="383"/>
      <c r="H546" s="383"/>
      <c r="I546" s="383"/>
      <c r="J546" s="383"/>
      <c r="K546" s="383"/>
      <c r="L546" s="383"/>
      <c r="M546" s="383"/>
      <c r="N546" s="383"/>
      <c r="O546" s="383"/>
      <c r="P546" s="383"/>
      <c r="Q546" s="383"/>
      <c r="R546" s="383"/>
      <c r="S546" s="383"/>
      <c r="T546" s="383"/>
      <c r="U546" s="383"/>
      <c r="V546" s="383"/>
      <c r="W546" s="383"/>
      <c r="X546" s="383"/>
      <c r="Y546" s="383"/>
      <c r="Z546" s="383"/>
      <c r="AA546" s="383"/>
      <c r="AB546" s="383"/>
    </row>
    <row r="547" ht="16.5" customHeight="1">
      <c r="A547" s="465"/>
      <c r="B547" s="465"/>
      <c r="C547" s="383"/>
      <c r="D547" s="383"/>
      <c r="E547" s="383"/>
      <c r="F547" s="383"/>
      <c r="G547" s="383"/>
      <c r="H547" s="383"/>
      <c r="I547" s="383"/>
      <c r="J547" s="383"/>
      <c r="K547" s="383"/>
      <c r="L547" s="383"/>
      <c r="M547" s="383"/>
      <c r="N547" s="383"/>
      <c r="O547" s="383"/>
      <c r="P547" s="383"/>
      <c r="Q547" s="383"/>
      <c r="R547" s="383"/>
      <c r="S547" s="383"/>
      <c r="T547" s="383"/>
      <c r="U547" s="383"/>
      <c r="V547" s="383"/>
      <c r="W547" s="383"/>
      <c r="X547" s="383"/>
      <c r="Y547" s="383"/>
      <c r="Z547" s="383"/>
      <c r="AA547" s="383"/>
      <c r="AB547" s="383"/>
    </row>
    <row r="548" ht="16.5" customHeight="1">
      <c r="A548" s="465"/>
      <c r="B548" s="465"/>
      <c r="C548" s="383"/>
      <c r="D548" s="383"/>
      <c r="E548" s="383"/>
      <c r="F548" s="383"/>
      <c r="G548" s="383"/>
      <c r="H548" s="383"/>
      <c r="I548" s="383"/>
      <c r="J548" s="383"/>
      <c r="K548" s="383"/>
      <c r="L548" s="383"/>
      <c r="M548" s="383"/>
      <c r="N548" s="383"/>
      <c r="O548" s="383"/>
      <c r="P548" s="383"/>
      <c r="Q548" s="383"/>
      <c r="R548" s="383"/>
      <c r="S548" s="383"/>
      <c r="T548" s="383"/>
      <c r="U548" s="383"/>
      <c r="V548" s="383"/>
      <c r="W548" s="383"/>
      <c r="X548" s="383"/>
      <c r="Y548" s="383"/>
      <c r="Z548" s="383"/>
      <c r="AA548" s="383"/>
      <c r="AB548" s="383"/>
    </row>
    <row r="549" ht="16.5" customHeight="1">
      <c r="A549" s="465"/>
      <c r="B549" s="465"/>
      <c r="C549" s="383"/>
      <c r="D549" s="383"/>
      <c r="E549" s="383"/>
      <c r="F549" s="383"/>
      <c r="G549" s="383"/>
      <c r="H549" s="383"/>
      <c r="I549" s="383"/>
      <c r="J549" s="383"/>
      <c r="K549" s="383"/>
      <c r="L549" s="383"/>
      <c r="M549" s="383"/>
      <c r="N549" s="383"/>
      <c r="O549" s="383"/>
      <c r="P549" s="383"/>
      <c r="Q549" s="383"/>
      <c r="R549" s="383"/>
      <c r="S549" s="383"/>
      <c r="T549" s="383"/>
      <c r="U549" s="383"/>
      <c r="V549" s="383"/>
      <c r="W549" s="383"/>
      <c r="X549" s="383"/>
      <c r="Y549" s="383"/>
      <c r="Z549" s="383"/>
      <c r="AA549" s="383"/>
      <c r="AB549" s="383"/>
    </row>
    <row r="550" ht="16.5" customHeight="1">
      <c r="A550" s="465"/>
      <c r="B550" s="465"/>
      <c r="C550" s="383"/>
      <c r="D550" s="383"/>
      <c r="E550" s="383"/>
      <c r="F550" s="383"/>
      <c r="G550" s="383"/>
      <c r="H550" s="383"/>
      <c r="I550" s="383"/>
      <c r="J550" s="383"/>
      <c r="K550" s="383"/>
      <c r="L550" s="383"/>
      <c r="M550" s="383"/>
      <c r="N550" s="383"/>
      <c r="O550" s="383"/>
      <c r="P550" s="383"/>
      <c r="Q550" s="383"/>
      <c r="R550" s="383"/>
      <c r="S550" s="383"/>
      <c r="T550" s="383"/>
      <c r="U550" s="383"/>
      <c r="V550" s="383"/>
      <c r="W550" s="383"/>
      <c r="X550" s="383"/>
      <c r="Y550" s="383"/>
      <c r="Z550" s="383"/>
      <c r="AA550" s="383"/>
      <c r="AB550" s="383"/>
    </row>
    <row r="551" ht="16.5" customHeight="1">
      <c r="A551" s="465"/>
      <c r="B551" s="465"/>
      <c r="C551" s="383"/>
      <c r="D551" s="383"/>
      <c r="E551" s="383"/>
      <c r="F551" s="383"/>
      <c r="G551" s="383"/>
      <c r="H551" s="383"/>
      <c r="I551" s="383"/>
      <c r="J551" s="383"/>
      <c r="K551" s="383"/>
      <c r="L551" s="383"/>
      <c r="M551" s="383"/>
      <c r="N551" s="383"/>
      <c r="O551" s="383"/>
      <c r="P551" s="383"/>
      <c r="Q551" s="383"/>
      <c r="R551" s="383"/>
      <c r="S551" s="383"/>
      <c r="T551" s="383"/>
      <c r="U551" s="383"/>
      <c r="V551" s="383"/>
      <c r="W551" s="383"/>
      <c r="X551" s="383"/>
      <c r="Y551" s="383"/>
      <c r="Z551" s="383"/>
      <c r="AA551" s="383"/>
      <c r="AB551" s="383"/>
    </row>
    <row r="552" ht="16.5" customHeight="1">
      <c r="A552" s="465"/>
      <c r="B552" s="465"/>
      <c r="C552" s="383"/>
      <c r="D552" s="383"/>
      <c r="E552" s="383"/>
      <c r="F552" s="383"/>
      <c r="G552" s="383"/>
      <c r="H552" s="383"/>
      <c r="I552" s="383"/>
      <c r="J552" s="383"/>
      <c r="K552" s="383"/>
      <c r="L552" s="383"/>
      <c r="M552" s="383"/>
      <c r="N552" s="383"/>
      <c r="O552" s="383"/>
      <c r="P552" s="383"/>
      <c r="Q552" s="383"/>
      <c r="R552" s="383"/>
      <c r="S552" s="383"/>
      <c r="T552" s="383"/>
      <c r="U552" s="383"/>
      <c r="V552" s="383"/>
      <c r="W552" s="383"/>
      <c r="X552" s="383"/>
      <c r="Y552" s="383"/>
      <c r="Z552" s="383"/>
      <c r="AA552" s="383"/>
      <c r="AB552" s="383"/>
    </row>
    <row r="553" ht="16.5" customHeight="1">
      <c r="A553" s="465"/>
      <c r="B553" s="465"/>
      <c r="C553" s="383"/>
      <c r="D553" s="383"/>
      <c r="E553" s="383"/>
      <c r="F553" s="383"/>
      <c r="G553" s="383"/>
      <c r="H553" s="383"/>
      <c r="I553" s="383"/>
      <c r="J553" s="383"/>
      <c r="K553" s="383"/>
      <c r="L553" s="383"/>
      <c r="M553" s="383"/>
      <c r="N553" s="383"/>
      <c r="O553" s="383"/>
      <c r="P553" s="383"/>
      <c r="Q553" s="383"/>
      <c r="R553" s="383"/>
      <c r="S553" s="383"/>
      <c r="T553" s="383"/>
      <c r="U553" s="383"/>
      <c r="V553" s="383"/>
      <c r="W553" s="383"/>
      <c r="X553" s="383"/>
      <c r="Y553" s="383"/>
      <c r="Z553" s="383"/>
      <c r="AA553" s="383"/>
      <c r="AB553" s="383"/>
    </row>
    <row r="554" ht="16.5" customHeight="1">
      <c r="A554" s="465"/>
      <c r="B554" s="465"/>
      <c r="C554" s="383"/>
      <c r="D554" s="383"/>
      <c r="E554" s="383"/>
      <c r="F554" s="383"/>
      <c r="G554" s="383"/>
      <c r="H554" s="383"/>
      <c r="I554" s="383"/>
      <c r="J554" s="383"/>
      <c r="K554" s="383"/>
      <c r="L554" s="383"/>
      <c r="M554" s="383"/>
      <c r="N554" s="383"/>
      <c r="O554" s="383"/>
      <c r="P554" s="383"/>
      <c r="Q554" s="383"/>
      <c r="R554" s="383"/>
      <c r="S554" s="383"/>
      <c r="T554" s="383"/>
      <c r="U554" s="383"/>
      <c r="V554" s="383"/>
      <c r="W554" s="383"/>
      <c r="X554" s="383"/>
      <c r="Y554" s="383"/>
      <c r="Z554" s="383"/>
      <c r="AA554" s="383"/>
      <c r="AB554" s="383"/>
    </row>
    <row r="555" ht="16.5" customHeight="1">
      <c r="A555" s="465"/>
      <c r="B555" s="465"/>
      <c r="C555" s="383"/>
      <c r="D555" s="383"/>
      <c r="E555" s="383"/>
      <c r="F555" s="383"/>
      <c r="G555" s="383"/>
      <c r="H555" s="383"/>
      <c r="I555" s="383"/>
      <c r="J555" s="383"/>
      <c r="K555" s="383"/>
      <c r="L555" s="383"/>
      <c r="M555" s="383"/>
      <c r="N555" s="383"/>
      <c r="O555" s="383"/>
      <c r="P555" s="383"/>
      <c r="Q555" s="383"/>
      <c r="R555" s="383"/>
      <c r="S555" s="383"/>
      <c r="T555" s="383"/>
      <c r="U555" s="383"/>
      <c r="V555" s="383"/>
      <c r="W555" s="383"/>
      <c r="X555" s="383"/>
      <c r="Y555" s="383"/>
      <c r="Z555" s="383"/>
      <c r="AA555" s="383"/>
      <c r="AB555" s="383"/>
    </row>
    <row r="556" ht="16.5" customHeight="1">
      <c r="A556" s="465"/>
      <c r="B556" s="465"/>
      <c r="C556" s="383"/>
      <c r="D556" s="383"/>
      <c r="E556" s="383"/>
      <c r="F556" s="383"/>
      <c r="G556" s="383"/>
      <c r="H556" s="383"/>
      <c r="I556" s="383"/>
      <c r="J556" s="383"/>
      <c r="K556" s="383"/>
      <c r="L556" s="383"/>
      <c r="M556" s="383"/>
      <c r="N556" s="383"/>
      <c r="O556" s="383"/>
      <c r="P556" s="383"/>
      <c r="Q556" s="383"/>
      <c r="R556" s="383"/>
      <c r="S556" s="383"/>
      <c r="T556" s="383"/>
      <c r="U556" s="383"/>
      <c r="V556" s="383"/>
      <c r="W556" s="383"/>
      <c r="X556" s="383"/>
      <c r="Y556" s="383"/>
      <c r="Z556" s="383"/>
      <c r="AA556" s="383"/>
      <c r="AB556" s="383"/>
    </row>
    <row r="557" ht="16.5" customHeight="1">
      <c r="A557" s="465"/>
      <c r="B557" s="465"/>
      <c r="C557" s="383"/>
      <c r="D557" s="383"/>
      <c r="E557" s="383"/>
      <c r="F557" s="383"/>
      <c r="G557" s="383"/>
      <c r="H557" s="383"/>
      <c r="I557" s="383"/>
      <c r="J557" s="383"/>
      <c r="K557" s="383"/>
      <c r="L557" s="383"/>
      <c r="M557" s="383"/>
      <c r="N557" s="383"/>
      <c r="O557" s="383"/>
      <c r="P557" s="383"/>
      <c r="Q557" s="383"/>
      <c r="R557" s="383"/>
      <c r="S557" s="383"/>
      <c r="T557" s="383"/>
      <c r="U557" s="383"/>
      <c r="V557" s="383"/>
      <c r="W557" s="383"/>
      <c r="X557" s="383"/>
      <c r="Y557" s="383"/>
      <c r="Z557" s="383"/>
      <c r="AA557" s="383"/>
      <c r="AB557" s="383"/>
    </row>
    <row r="558" ht="16.5" customHeight="1">
      <c r="A558" s="465"/>
      <c r="B558" s="465"/>
      <c r="C558" s="383"/>
      <c r="D558" s="383"/>
      <c r="E558" s="383"/>
      <c r="F558" s="383"/>
      <c r="G558" s="383"/>
      <c r="H558" s="383"/>
      <c r="I558" s="383"/>
      <c r="J558" s="383"/>
      <c r="K558" s="383"/>
      <c r="L558" s="383"/>
      <c r="M558" s="383"/>
      <c r="N558" s="383"/>
      <c r="O558" s="383"/>
      <c r="P558" s="383"/>
      <c r="Q558" s="383"/>
      <c r="R558" s="383"/>
      <c r="S558" s="383"/>
      <c r="T558" s="383"/>
      <c r="U558" s="383"/>
      <c r="V558" s="383"/>
      <c r="W558" s="383"/>
      <c r="X558" s="383"/>
      <c r="Y558" s="383"/>
      <c r="Z558" s="383"/>
      <c r="AA558" s="383"/>
      <c r="AB558" s="383"/>
    </row>
    <row r="559" ht="16.5" customHeight="1">
      <c r="A559" s="465"/>
      <c r="B559" s="465"/>
      <c r="C559" s="383"/>
      <c r="D559" s="383"/>
      <c r="E559" s="383"/>
      <c r="F559" s="383"/>
      <c r="G559" s="383"/>
      <c r="H559" s="383"/>
      <c r="I559" s="383"/>
      <c r="J559" s="383"/>
      <c r="K559" s="383"/>
      <c r="L559" s="383"/>
      <c r="M559" s="383"/>
      <c r="N559" s="383"/>
      <c r="O559" s="383"/>
      <c r="P559" s="383"/>
      <c r="Q559" s="383"/>
      <c r="R559" s="383"/>
      <c r="S559" s="383"/>
      <c r="T559" s="383"/>
      <c r="U559" s="383"/>
      <c r="V559" s="383"/>
      <c r="W559" s="383"/>
      <c r="X559" s="383"/>
      <c r="Y559" s="383"/>
      <c r="Z559" s="383"/>
      <c r="AA559" s="383"/>
      <c r="AB559" s="383"/>
    </row>
    <row r="560" ht="16.5" customHeight="1">
      <c r="A560" s="465"/>
      <c r="B560" s="465"/>
      <c r="C560" s="383"/>
      <c r="D560" s="383"/>
      <c r="E560" s="383"/>
      <c r="F560" s="383"/>
      <c r="G560" s="383"/>
      <c r="H560" s="383"/>
      <c r="I560" s="383"/>
      <c r="J560" s="383"/>
      <c r="K560" s="383"/>
      <c r="L560" s="383"/>
      <c r="M560" s="383"/>
      <c r="N560" s="383"/>
      <c r="O560" s="383"/>
      <c r="P560" s="383"/>
      <c r="Q560" s="383"/>
      <c r="R560" s="383"/>
      <c r="S560" s="383"/>
      <c r="T560" s="383"/>
      <c r="U560" s="383"/>
      <c r="V560" s="383"/>
      <c r="W560" s="383"/>
      <c r="X560" s="383"/>
      <c r="Y560" s="383"/>
      <c r="Z560" s="383"/>
      <c r="AA560" s="383"/>
      <c r="AB560" s="383"/>
    </row>
    <row r="561" ht="16.5" customHeight="1">
      <c r="A561" s="465"/>
      <c r="B561" s="465"/>
      <c r="C561" s="383"/>
      <c r="D561" s="383"/>
      <c r="E561" s="383"/>
      <c r="F561" s="383"/>
      <c r="G561" s="383"/>
      <c r="H561" s="383"/>
      <c r="I561" s="383"/>
      <c r="J561" s="383"/>
      <c r="K561" s="383"/>
      <c r="L561" s="383"/>
      <c r="M561" s="383"/>
      <c r="N561" s="383"/>
      <c r="O561" s="383"/>
      <c r="P561" s="383"/>
      <c r="Q561" s="383"/>
      <c r="R561" s="383"/>
      <c r="S561" s="383"/>
      <c r="T561" s="383"/>
      <c r="U561" s="383"/>
      <c r="V561" s="383"/>
      <c r="W561" s="383"/>
      <c r="X561" s="383"/>
      <c r="Y561" s="383"/>
      <c r="Z561" s="383"/>
      <c r="AA561" s="383"/>
      <c r="AB561" s="383"/>
    </row>
    <row r="562" ht="16.5" customHeight="1">
      <c r="A562" s="465"/>
      <c r="B562" s="465"/>
      <c r="C562" s="383"/>
      <c r="D562" s="383"/>
      <c r="E562" s="383"/>
      <c r="F562" s="383"/>
      <c r="G562" s="383"/>
      <c r="H562" s="383"/>
      <c r="I562" s="383"/>
      <c r="J562" s="383"/>
      <c r="K562" s="383"/>
      <c r="L562" s="383"/>
      <c r="M562" s="383"/>
      <c r="N562" s="383"/>
      <c r="O562" s="383"/>
      <c r="P562" s="383"/>
      <c r="Q562" s="383"/>
      <c r="R562" s="383"/>
      <c r="S562" s="383"/>
      <c r="T562" s="383"/>
      <c r="U562" s="383"/>
      <c r="V562" s="383"/>
      <c r="W562" s="383"/>
      <c r="X562" s="383"/>
      <c r="Y562" s="383"/>
      <c r="Z562" s="383"/>
      <c r="AA562" s="383"/>
      <c r="AB562" s="383"/>
    </row>
    <row r="563" ht="16.5" customHeight="1">
      <c r="A563" s="465"/>
      <c r="B563" s="465"/>
      <c r="C563" s="383"/>
      <c r="D563" s="383"/>
      <c r="E563" s="383"/>
      <c r="F563" s="383"/>
      <c r="G563" s="383"/>
      <c r="H563" s="383"/>
      <c r="I563" s="383"/>
      <c r="J563" s="383"/>
      <c r="K563" s="383"/>
      <c r="L563" s="383"/>
      <c r="M563" s="383"/>
      <c r="N563" s="383"/>
      <c r="O563" s="383"/>
      <c r="P563" s="383"/>
      <c r="Q563" s="383"/>
      <c r="R563" s="383"/>
      <c r="S563" s="383"/>
      <c r="T563" s="383"/>
      <c r="U563" s="383"/>
      <c r="V563" s="383"/>
      <c r="W563" s="383"/>
      <c r="X563" s="383"/>
      <c r="Y563" s="383"/>
      <c r="Z563" s="383"/>
      <c r="AA563" s="383"/>
      <c r="AB563" s="383"/>
    </row>
    <row r="564" ht="16.5" customHeight="1">
      <c r="A564" s="465"/>
      <c r="B564" s="465"/>
      <c r="C564" s="383"/>
      <c r="D564" s="383"/>
      <c r="E564" s="383"/>
      <c r="F564" s="383"/>
      <c r="G564" s="383"/>
      <c r="H564" s="383"/>
      <c r="I564" s="383"/>
      <c r="J564" s="383"/>
      <c r="K564" s="383"/>
      <c r="L564" s="383"/>
      <c r="M564" s="383"/>
      <c r="N564" s="383"/>
      <c r="O564" s="383"/>
      <c r="P564" s="383"/>
      <c r="Q564" s="383"/>
      <c r="R564" s="383"/>
      <c r="S564" s="383"/>
      <c r="T564" s="383"/>
      <c r="U564" s="383"/>
      <c r="V564" s="383"/>
      <c r="W564" s="383"/>
      <c r="X564" s="383"/>
      <c r="Y564" s="383"/>
      <c r="Z564" s="383"/>
      <c r="AA564" s="383"/>
      <c r="AB564" s="383"/>
    </row>
    <row r="565" ht="16.5" customHeight="1">
      <c r="A565" s="465"/>
      <c r="B565" s="465"/>
      <c r="C565" s="383"/>
      <c r="D565" s="383"/>
      <c r="E565" s="383"/>
      <c r="F565" s="383"/>
      <c r="G565" s="383"/>
      <c r="H565" s="383"/>
      <c r="I565" s="383"/>
      <c r="J565" s="383"/>
      <c r="K565" s="383"/>
      <c r="L565" s="383"/>
      <c r="M565" s="383"/>
      <c r="N565" s="383"/>
      <c r="O565" s="383"/>
      <c r="P565" s="383"/>
      <c r="Q565" s="383"/>
      <c r="R565" s="383"/>
      <c r="S565" s="383"/>
      <c r="T565" s="383"/>
      <c r="U565" s="383"/>
      <c r="V565" s="383"/>
      <c r="W565" s="383"/>
      <c r="X565" s="383"/>
      <c r="Y565" s="383"/>
      <c r="Z565" s="383"/>
      <c r="AA565" s="383"/>
      <c r="AB565" s="383"/>
    </row>
    <row r="566" ht="16.5" customHeight="1">
      <c r="A566" s="465"/>
      <c r="B566" s="465"/>
      <c r="C566" s="383"/>
      <c r="D566" s="383"/>
      <c r="E566" s="383"/>
      <c r="F566" s="383"/>
      <c r="G566" s="383"/>
      <c r="H566" s="383"/>
      <c r="I566" s="383"/>
      <c r="J566" s="383"/>
      <c r="K566" s="383"/>
      <c r="L566" s="383"/>
      <c r="M566" s="383"/>
      <c r="N566" s="383"/>
      <c r="O566" s="383"/>
      <c r="P566" s="383"/>
      <c r="Q566" s="383"/>
      <c r="R566" s="383"/>
      <c r="S566" s="383"/>
      <c r="T566" s="383"/>
      <c r="U566" s="383"/>
      <c r="V566" s="383"/>
      <c r="W566" s="383"/>
      <c r="X566" s="383"/>
      <c r="Y566" s="383"/>
      <c r="Z566" s="383"/>
      <c r="AA566" s="383"/>
      <c r="AB566" s="383"/>
    </row>
    <row r="567" ht="16.5" customHeight="1">
      <c r="A567" s="465"/>
      <c r="B567" s="465"/>
      <c r="C567" s="383"/>
      <c r="D567" s="383"/>
      <c r="E567" s="383"/>
      <c r="F567" s="383"/>
      <c r="G567" s="383"/>
      <c r="H567" s="383"/>
      <c r="I567" s="383"/>
      <c r="J567" s="383"/>
      <c r="K567" s="383"/>
      <c r="L567" s="383"/>
      <c r="M567" s="383"/>
      <c r="N567" s="383"/>
      <c r="O567" s="383"/>
      <c r="P567" s="383"/>
      <c r="Q567" s="383"/>
      <c r="R567" s="383"/>
      <c r="S567" s="383"/>
      <c r="T567" s="383"/>
      <c r="U567" s="383"/>
      <c r="V567" s="383"/>
      <c r="W567" s="383"/>
      <c r="X567" s="383"/>
      <c r="Y567" s="383"/>
      <c r="Z567" s="383"/>
      <c r="AA567" s="383"/>
      <c r="AB567" s="383"/>
    </row>
    <row r="568" ht="16.5" customHeight="1">
      <c r="A568" s="465"/>
      <c r="B568" s="465"/>
      <c r="C568" s="383"/>
      <c r="D568" s="383"/>
      <c r="E568" s="383"/>
      <c r="F568" s="383"/>
      <c r="G568" s="383"/>
      <c r="H568" s="383"/>
      <c r="I568" s="383"/>
      <c r="J568" s="383"/>
      <c r="K568" s="383"/>
      <c r="L568" s="383"/>
      <c r="M568" s="383"/>
      <c r="N568" s="383"/>
      <c r="O568" s="383"/>
      <c r="P568" s="383"/>
      <c r="Q568" s="383"/>
      <c r="R568" s="383"/>
      <c r="S568" s="383"/>
      <c r="T568" s="383"/>
      <c r="U568" s="383"/>
      <c r="V568" s="383"/>
      <c r="W568" s="383"/>
      <c r="X568" s="383"/>
      <c r="Y568" s="383"/>
      <c r="Z568" s="383"/>
      <c r="AA568" s="383"/>
      <c r="AB568" s="383"/>
    </row>
    <row r="569" ht="16.5" customHeight="1">
      <c r="A569" s="465"/>
      <c r="B569" s="465"/>
      <c r="C569" s="383"/>
      <c r="D569" s="383"/>
      <c r="E569" s="383"/>
      <c r="F569" s="383"/>
      <c r="G569" s="383"/>
      <c r="H569" s="383"/>
      <c r="I569" s="383"/>
      <c r="J569" s="383"/>
      <c r="K569" s="383"/>
      <c r="L569" s="383"/>
      <c r="M569" s="383"/>
      <c r="N569" s="383"/>
      <c r="O569" s="383"/>
      <c r="P569" s="383"/>
      <c r="Q569" s="383"/>
      <c r="R569" s="383"/>
      <c r="S569" s="383"/>
      <c r="T569" s="383"/>
      <c r="U569" s="383"/>
      <c r="V569" s="383"/>
      <c r="W569" s="383"/>
      <c r="X569" s="383"/>
      <c r="Y569" s="383"/>
      <c r="Z569" s="383"/>
      <c r="AA569" s="383"/>
      <c r="AB569" s="383"/>
    </row>
    <row r="570" ht="16.5" customHeight="1">
      <c r="A570" s="465"/>
      <c r="B570" s="465"/>
      <c r="C570" s="383"/>
      <c r="D570" s="383"/>
      <c r="E570" s="383"/>
      <c r="F570" s="383"/>
      <c r="G570" s="383"/>
      <c r="H570" s="383"/>
      <c r="I570" s="383"/>
      <c r="J570" s="383"/>
      <c r="K570" s="383"/>
      <c r="L570" s="383"/>
      <c r="M570" s="383"/>
      <c r="N570" s="383"/>
      <c r="O570" s="383"/>
      <c r="P570" s="383"/>
      <c r="Q570" s="383"/>
      <c r="R570" s="383"/>
      <c r="S570" s="383"/>
      <c r="T570" s="383"/>
      <c r="U570" s="383"/>
      <c r="V570" s="383"/>
      <c r="W570" s="383"/>
      <c r="X570" s="383"/>
      <c r="Y570" s="383"/>
      <c r="Z570" s="383"/>
      <c r="AA570" s="383"/>
      <c r="AB570" s="383"/>
    </row>
    <row r="571" ht="16.5" customHeight="1">
      <c r="A571" s="465"/>
      <c r="B571" s="465"/>
      <c r="C571" s="383"/>
      <c r="D571" s="383"/>
      <c r="E571" s="383"/>
      <c r="F571" s="383"/>
      <c r="G571" s="383"/>
      <c r="H571" s="383"/>
      <c r="I571" s="383"/>
      <c r="J571" s="383"/>
      <c r="K571" s="383"/>
      <c r="L571" s="383"/>
      <c r="M571" s="383"/>
      <c r="N571" s="383"/>
      <c r="O571" s="383"/>
      <c r="P571" s="383"/>
      <c r="Q571" s="383"/>
      <c r="R571" s="383"/>
      <c r="S571" s="383"/>
      <c r="T571" s="383"/>
      <c r="U571" s="383"/>
      <c r="V571" s="383"/>
      <c r="W571" s="383"/>
      <c r="X571" s="383"/>
      <c r="Y571" s="383"/>
      <c r="Z571" s="383"/>
      <c r="AA571" s="383"/>
      <c r="AB571" s="383"/>
    </row>
    <row r="572" ht="16.5" customHeight="1">
      <c r="A572" s="465"/>
      <c r="B572" s="465"/>
      <c r="C572" s="383"/>
      <c r="D572" s="383"/>
      <c r="E572" s="383"/>
      <c r="F572" s="383"/>
      <c r="G572" s="383"/>
      <c r="H572" s="383"/>
      <c r="I572" s="383"/>
      <c r="J572" s="383"/>
      <c r="K572" s="383"/>
      <c r="L572" s="383"/>
      <c r="M572" s="383"/>
      <c r="N572" s="383"/>
      <c r="O572" s="383"/>
      <c r="P572" s="383"/>
      <c r="Q572" s="383"/>
      <c r="R572" s="383"/>
      <c r="S572" s="383"/>
      <c r="T572" s="383"/>
      <c r="U572" s="383"/>
      <c r="V572" s="383"/>
      <c r="W572" s="383"/>
      <c r="X572" s="383"/>
      <c r="Y572" s="383"/>
      <c r="Z572" s="383"/>
      <c r="AA572" s="383"/>
      <c r="AB572" s="383"/>
    </row>
    <row r="573" ht="16.5" customHeight="1">
      <c r="A573" s="465"/>
      <c r="B573" s="465"/>
      <c r="C573" s="383"/>
      <c r="D573" s="383"/>
      <c r="E573" s="383"/>
      <c r="F573" s="383"/>
      <c r="G573" s="383"/>
      <c r="H573" s="383"/>
      <c r="I573" s="383"/>
      <c r="J573" s="383"/>
      <c r="K573" s="383"/>
      <c r="L573" s="383"/>
      <c r="M573" s="383"/>
      <c r="N573" s="383"/>
      <c r="O573" s="383"/>
      <c r="P573" s="383"/>
      <c r="Q573" s="383"/>
      <c r="R573" s="383"/>
      <c r="S573" s="383"/>
      <c r="T573" s="383"/>
      <c r="U573" s="383"/>
      <c r="V573" s="383"/>
      <c r="W573" s="383"/>
      <c r="X573" s="383"/>
      <c r="Y573" s="383"/>
      <c r="Z573" s="383"/>
      <c r="AA573" s="383"/>
      <c r="AB573" s="383"/>
    </row>
    <row r="574" ht="16.5" customHeight="1">
      <c r="A574" s="465"/>
      <c r="B574" s="465"/>
      <c r="C574" s="383"/>
      <c r="D574" s="383"/>
      <c r="E574" s="383"/>
      <c r="F574" s="383"/>
      <c r="G574" s="383"/>
      <c r="H574" s="383"/>
      <c r="I574" s="383"/>
      <c r="J574" s="383"/>
      <c r="K574" s="383"/>
      <c r="L574" s="383"/>
      <c r="M574" s="383"/>
      <c r="N574" s="383"/>
      <c r="O574" s="383"/>
      <c r="P574" s="383"/>
      <c r="Q574" s="383"/>
      <c r="R574" s="383"/>
      <c r="S574" s="383"/>
      <c r="T574" s="383"/>
      <c r="U574" s="383"/>
      <c r="V574" s="383"/>
      <c r="W574" s="383"/>
      <c r="X574" s="383"/>
      <c r="Y574" s="383"/>
      <c r="Z574" s="383"/>
      <c r="AA574" s="383"/>
      <c r="AB574" s="383"/>
    </row>
    <row r="575" ht="16.5" customHeight="1">
      <c r="A575" s="465"/>
      <c r="B575" s="465"/>
      <c r="C575" s="383"/>
      <c r="D575" s="383"/>
      <c r="E575" s="383"/>
      <c r="F575" s="383"/>
      <c r="G575" s="383"/>
      <c r="H575" s="383"/>
      <c r="I575" s="383"/>
      <c r="J575" s="383"/>
      <c r="K575" s="383"/>
      <c r="L575" s="383"/>
      <c r="M575" s="383"/>
      <c r="N575" s="383"/>
      <c r="O575" s="383"/>
      <c r="P575" s="383"/>
      <c r="Q575" s="383"/>
      <c r="R575" s="383"/>
      <c r="S575" s="383"/>
      <c r="T575" s="383"/>
      <c r="U575" s="383"/>
      <c r="V575" s="383"/>
      <c r="W575" s="383"/>
      <c r="X575" s="383"/>
      <c r="Y575" s="383"/>
      <c r="Z575" s="383"/>
      <c r="AA575" s="383"/>
      <c r="AB575" s="383"/>
    </row>
    <row r="576" ht="16.5" customHeight="1">
      <c r="A576" s="465"/>
      <c r="B576" s="465"/>
      <c r="C576" s="383"/>
      <c r="D576" s="383"/>
      <c r="E576" s="383"/>
      <c r="F576" s="383"/>
      <c r="G576" s="383"/>
      <c r="H576" s="383"/>
      <c r="I576" s="383"/>
      <c r="J576" s="383"/>
      <c r="K576" s="383"/>
      <c r="L576" s="383"/>
      <c r="M576" s="383"/>
      <c r="N576" s="383"/>
      <c r="O576" s="383"/>
      <c r="P576" s="383"/>
      <c r="Q576" s="383"/>
      <c r="R576" s="383"/>
      <c r="S576" s="383"/>
      <c r="T576" s="383"/>
      <c r="U576" s="383"/>
      <c r="V576" s="383"/>
      <c r="W576" s="383"/>
      <c r="X576" s="383"/>
      <c r="Y576" s="383"/>
      <c r="Z576" s="383"/>
      <c r="AA576" s="383"/>
      <c r="AB576" s="383"/>
    </row>
    <row r="577" ht="16.5" customHeight="1">
      <c r="A577" s="465"/>
      <c r="B577" s="465"/>
      <c r="C577" s="383"/>
      <c r="D577" s="383"/>
      <c r="E577" s="383"/>
      <c r="F577" s="383"/>
      <c r="G577" s="383"/>
      <c r="H577" s="383"/>
      <c r="I577" s="383"/>
      <c r="J577" s="383"/>
      <c r="K577" s="383"/>
      <c r="L577" s="383"/>
      <c r="M577" s="383"/>
      <c r="N577" s="383"/>
      <c r="O577" s="383"/>
      <c r="P577" s="383"/>
      <c r="Q577" s="383"/>
      <c r="R577" s="383"/>
      <c r="S577" s="383"/>
      <c r="T577" s="383"/>
      <c r="U577" s="383"/>
      <c r="V577" s="383"/>
      <c r="W577" s="383"/>
      <c r="X577" s="383"/>
      <c r="Y577" s="383"/>
      <c r="Z577" s="383"/>
      <c r="AA577" s="383"/>
      <c r="AB577" s="383"/>
    </row>
    <row r="578" ht="16.5" customHeight="1">
      <c r="A578" s="465"/>
      <c r="B578" s="465"/>
      <c r="C578" s="383"/>
      <c r="D578" s="383"/>
      <c r="E578" s="383"/>
      <c r="F578" s="383"/>
      <c r="G578" s="383"/>
      <c r="H578" s="383"/>
      <c r="I578" s="383"/>
      <c r="J578" s="383"/>
      <c r="K578" s="383"/>
      <c r="L578" s="383"/>
      <c r="M578" s="383"/>
      <c r="N578" s="383"/>
      <c r="O578" s="383"/>
      <c r="P578" s="383"/>
      <c r="Q578" s="383"/>
      <c r="R578" s="383"/>
      <c r="S578" s="383"/>
      <c r="T578" s="383"/>
      <c r="U578" s="383"/>
      <c r="V578" s="383"/>
      <c r="W578" s="383"/>
      <c r="X578" s="383"/>
      <c r="Y578" s="383"/>
      <c r="Z578" s="383"/>
      <c r="AA578" s="383"/>
      <c r="AB578" s="383"/>
    </row>
    <row r="579" ht="16.5" customHeight="1">
      <c r="A579" s="465"/>
      <c r="B579" s="465"/>
      <c r="C579" s="383"/>
      <c r="D579" s="383"/>
      <c r="E579" s="383"/>
      <c r="F579" s="383"/>
      <c r="G579" s="383"/>
      <c r="H579" s="383"/>
      <c r="I579" s="383"/>
      <c r="J579" s="383"/>
      <c r="K579" s="383"/>
      <c r="L579" s="383"/>
      <c r="M579" s="383"/>
      <c r="N579" s="383"/>
      <c r="O579" s="383"/>
      <c r="P579" s="383"/>
      <c r="Q579" s="383"/>
      <c r="R579" s="383"/>
      <c r="S579" s="383"/>
      <c r="T579" s="383"/>
      <c r="U579" s="383"/>
      <c r="V579" s="383"/>
      <c r="W579" s="383"/>
      <c r="X579" s="383"/>
      <c r="Y579" s="383"/>
      <c r="Z579" s="383"/>
      <c r="AA579" s="383"/>
      <c r="AB579" s="383"/>
    </row>
    <row r="580" ht="16.5" customHeight="1">
      <c r="A580" s="465"/>
      <c r="B580" s="465"/>
      <c r="C580" s="383"/>
      <c r="D580" s="383"/>
      <c r="E580" s="383"/>
      <c r="F580" s="383"/>
      <c r="G580" s="383"/>
      <c r="H580" s="383"/>
      <c r="I580" s="383"/>
      <c r="J580" s="383"/>
      <c r="K580" s="383"/>
      <c r="L580" s="383"/>
      <c r="M580" s="383"/>
      <c r="N580" s="383"/>
      <c r="O580" s="383"/>
      <c r="P580" s="383"/>
      <c r="Q580" s="383"/>
      <c r="R580" s="383"/>
      <c r="S580" s="383"/>
      <c r="T580" s="383"/>
      <c r="U580" s="383"/>
      <c r="V580" s="383"/>
      <c r="W580" s="383"/>
      <c r="X580" s="383"/>
      <c r="Y580" s="383"/>
      <c r="Z580" s="383"/>
      <c r="AA580" s="383"/>
      <c r="AB580" s="383"/>
    </row>
    <row r="581" ht="16.5" customHeight="1">
      <c r="A581" s="465"/>
      <c r="B581" s="465"/>
      <c r="C581" s="383"/>
      <c r="D581" s="383"/>
      <c r="E581" s="383"/>
      <c r="F581" s="383"/>
      <c r="G581" s="383"/>
      <c r="H581" s="383"/>
      <c r="I581" s="383"/>
      <c r="J581" s="383"/>
      <c r="K581" s="383"/>
      <c r="L581" s="383"/>
      <c r="M581" s="383"/>
      <c r="N581" s="383"/>
      <c r="O581" s="383"/>
      <c r="P581" s="383"/>
      <c r="Q581" s="383"/>
      <c r="R581" s="383"/>
      <c r="S581" s="383"/>
      <c r="T581" s="383"/>
      <c r="U581" s="383"/>
      <c r="V581" s="383"/>
      <c r="W581" s="383"/>
      <c r="X581" s="383"/>
      <c r="Y581" s="383"/>
      <c r="Z581" s="383"/>
      <c r="AA581" s="383"/>
      <c r="AB581" s="383"/>
    </row>
    <row r="582" ht="16.5" customHeight="1">
      <c r="A582" s="465"/>
      <c r="B582" s="465"/>
      <c r="C582" s="383"/>
      <c r="D582" s="383"/>
      <c r="E582" s="383"/>
      <c r="F582" s="383"/>
      <c r="G582" s="383"/>
      <c r="H582" s="383"/>
      <c r="I582" s="383"/>
      <c r="J582" s="383"/>
      <c r="K582" s="383"/>
      <c r="L582" s="383"/>
      <c r="M582" s="383"/>
      <c r="N582" s="383"/>
      <c r="O582" s="383"/>
      <c r="P582" s="383"/>
      <c r="Q582" s="383"/>
      <c r="R582" s="383"/>
      <c r="S582" s="383"/>
      <c r="T582" s="383"/>
      <c r="U582" s="383"/>
      <c r="V582" s="383"/>
      <c r="W582" s="383"/>
      <c r="X582" s="383"/>
      <c r="Y582" s="383"/>
      <c r="Z582" s="383"/>
      <c r="AA582" s="383"/>
      <c r="AB582" s="383"/>
    </row>
    <row r="583" ht="16.5" customHeight="1">
      <c r="A583" s="465"/>
      <c r="B583" s="465"/>
      <c r="C583" s="383"/>
      <c r="D583" s="383"/>
      <c r="E583" s="383"/>
      <c r="F583" s="383"/>
      <c r="G583" s="383"/>
      <c r="H583" s="383"/>
      <c r="I583" s="383"/>
      <c r="J583" s="383"/>
      <c r="K583" s="383"/>
      <c r="L583" s="383"/>
      <c r="M583" s="383"/>
      <c r="N583" s="383"/>
      <c r="O583" s="383"/>
      <c r="P583" s="383"/>
      <c r="Q583" s="383"/>
      <c r="R583" s="383"/>
      <c r="S583" s="383"/>
      <c r="T583" s="383"/>
      <c r="U583" s="383"/>
      <c r="V583" s="383"/>
      <c r="W583" s="383"/>
      <c r="X583" s="383"/>
      <c r="Y583" s="383"/>
      <c r="Z583" s="383"/>
      <c r="AA583" s="383"/>
      <c r="AB583" s="383"/>
    </row>
    <row r="584" ht="16.5" customHeight="1">
      <c r="A584" s="465"/>
      <c r="B584" s="465"/>
      <c r="C584" s="383"/>
      <c r="D584" s="383"/>
      <c r="E584" s="383"/>
      <c r="F584" s="383"/>
      <c r="G584" s="383"/>
      <c r="H584" s="383"/>
      <c r="I584" s="383"/>
      <c r="J584" s="383"/>
      <c r="K584" s="383"/>
      <c r="L584" s="383"/>
      <c r="M584" s="383"/>
      <c r="N584" s="383"/>
      <c r="O584" s="383"/>
      <c r="P584" s="383"/>
      <c r="Q584" s="383"/>
      <c r="R584" s="383"/>
      <c r="S584" s="383"/>
      <c r="T584" s="383"/>
      <c r="U584" s="383"/>
      <c r="V584" s="383"/>
      <c r="W584" s="383"/>
      <c r="X584" s="383"/>
      <c r="Y584" s="383"/>
      <c r="Z584" s="383"/>
      <c r="AA584" s="383"/>
      <c r="AB584" s="383"/>
    </row>
    <row r="585" ht="16.5" customHeight="1">
      <c r="A585" s="465"/>
      <c r="B585" s="465"/>
      <c r="C585" s="383"/>
      <c r="D585" s="383"/>
      <c r="E585" s="383"/>
      <c r="F585" s="383"/>
      <c r="G585" s="383"/>
      <c r="H585" s="383"/>
      <c r="I585" s="383"/>
      <c r="J585" s="383"/>
      <c r="K585" s="383"/>
      <c r="L585" s="383"/>
      <c r="M585" s="383"/>
      <c r="N585" s="383"/>
      <c r="O585" s="383"/>
      <c r="P585" s="383"/>
      <c r="Q585" s="383"/>
      <c r="R585" s="383"/>
      <c r="S585" s="383"/>
      <c r="T585" s="383"/>
      <c r="U585" s="383"/>
      <c r="V585" s="383"/>
      <c r="W585" s="383"/>
      <c r="X585" s="383"/>
      <c r="Y585" s="383"/>
      <c r="Z585" s="383"/>
      <c r="AA585" s="383"/>
      <c r="AB585" s="383"/>
    </row>
    <row r="586" ht="16.5" customHeight="1">
      <c r="A586" s="465"/>
      <c r="B586" s="465"/>
      <c r="C586" s="383"/>
      <c r="D586" s="383"/>
      <c r="E586" s="383"/>
      <c r="F586" s="383"/>
      <c r="G586" s="383"/>
      <c r="H586" s="383"/>
      <c r="I586" s="383"/>
      <c r="J586" s="383"/>
      <c r="K586" s="383"/>
      <c r="L586" s="383"/>
      <c r="M586" s="383"/>
      <c r="N586" s="383"/>
      <c r="O586" s="383"/>
      <c r="P586" s="383"/>
      <c r="Q586" s="383"/>
      <c r="R586" s="383"/>
      <c r="S586" s="383"/>
      <c r="T586" s="383"/>
      <c r="U586" s="383"/>
      <c r="V586" s="383"/>
      <c r="W586" s="383"/>
      <c r="X586" s="383"/>
      <c r="Y586" s="383"/>
      <c r="Z586" s="383"/>
      <c r="AA586" s="383"/>
      <c r="AB586" s="383"/>
    </row>
    <row r="587" ht="16.5" customHeight="1">
      <c r="A587" s="465"/>
      <c r="B587" s="465"/>
      <c r="C587" s="383"/>
      <c r="D587" s="383"/>
      <c r="E587" s="383"/>
      <c r="F587" s="383"/>
      <c r="G587" s="383"/>
      <c r="H587" s="383"/>
      <c r="I587" s="383"/>
      <c r="J587" s="383"/>
      <c r="K587" s="383"/>
      <c r="L587" s="383"/>
      <c r="M587" s="383"/>
      <c r="N587" s="383"/>
      <c r="O587" s="383"/>
      <c r="P587" s="383"/>
      <c r="Q587" s="383"/>
      <c r="R587" s="383"/>
      <c r="S587" s="383"/>
      <c r="T587" s="383"/>
      <c r="U587" s="383"/>
      <c r="V587" s="383"/>
      <c r="W587" s="383"/>
      <c r="X587" s="383"/>
      <c r="Y587" s="383"/>
      <c r="Z587" s="383"/>
      <c r="AA587" s="383"/>
      <c r="AB587" s="383"/>
    </row>
    <row r="588" ht="16.5" customHeight="1">
      <c r="A588" s="465"/>
      <c r="B588" s="465"/>
      <c r="C588" s="383"/>
      <c r="D588" s="383"/>
      <c r="E588" s="383"/>
      <c r="F588" s="383"/>
      <c r="G588" s="383"/>
      <c r="H588" s="383"/>
      <c r="I588" s="383"/>
      <c r="J588" s="383"/>
      <c r="K588" s="383"/>
      <c r="L588" s="383"/>
      <c r="M588" s="383"/>
      <c r="N588" s="383"/>
      <c r="O588" s="383"/>
      <c r="P588" s="383"/>
      <c r="Q588" s="383"/>
      <c r="R588" s="383"/>
      <c r="S588" s="383"/>
      <c r="T588" s="383"/>
      <c r="U588" s="383"/>
      <c r="V588" s="383"/>
      <c r="W588" s="383"/>
      <c r="X588" s="383"/>
      <c r="Y588" s="383"/>
      <c r="Z588" s="383"/>
      <c r="AA588" s="383"/>
      <c r="AB588" s="383"/>
    </row>
    <row r="589" ht="16.5" customHeight="1">
      <c r="A589" s="465"/>
      <c r="B589" s="465"/>
      <c r="C589" s="383"/>
      <c r="D589" s="383"/>
      <c r="E589" s="383"/>
      <c r="F589" s="383"/>
      <c r="G589" s="383"/>
      <c r="H589" s="383"/>
      <c r="I589" s="383"/>
      <c r="J589" s="383"/>
      <c r="K589" s="383"/>
      <c r="L589" s="383"/>
      <c r="M589" s="383"/>
      <c r="N589" s="383"/>
      <c r="O589" s="383"/>
      <c r="P589" s="383"/>
      <c r="Q589" s="383"/>
      <c r="R589" s="383"/>
      <c r="S589" s="383"/>
      <c r="T589" s="383"/>
      <c r="U589" s="383"/>
      <c r="V589" s="383"/>
      <c r="W589" s="383"/>
      <c r="X589" s="383"/>
      <c r="Y589" s="383"/>
      <c r="Z589" s="383"/>
      <c r="AA589" s="383"/>
      <c r="AB589" s="383"/>
    </row>
    <row r="590" ht="16.5" customHeight="1">
      <c r="A590" s="465"/>
      <c r="B590" s="465"/>
      <c r="C590" s="383"/>
      <c r="D590" s="383"/>
      <c r="E590" s="383"/>
      <c r="F590" s="383"/>
      <c r="G590" s="383"/>
      <c r="H590" s="383"/>
      <c r="I590" s="383"/>
      <c r="J590" s="383"/>
      <c r="K590" s="383"/>
      <c r="L590" s="383"/>
      <c r="M590" s="383"/>
      <c r="N590" s="383"/>
      <c r="O590" s="383"/>
      <c r="P590" s="383"/>
      <c r="Q590" s="383"/>
      <c r="R590" s="383"/>
      <c r="S590" s="383"/>
      <c r="T590" s="383"/>
      <c r="U590" s="383"/>
      <c r="V590" s="383"/>
      <c r="W590" s="383"/>
      <c r="X590" s="383"/>
      <c r="Y590" s="383"/>
      <c r="Z590" s="383"/>
      <c r="AA590" s="383"/>
      <c r="AB590" s="383"/>
    </row>
    <row r="591" ht="16.5" customHeight="1">
      <c r="A591" s="465"/>
      <c r="B591" s="465"/>
      <c r="C591" s="383"/>
      <c r="D591" s="383"/>
      <c r="E591" s="383"/>
      <c r="F591" s="383"/>
      <c r="G591" s="383"/>
      <c r="H591" s="383"/>
      <c r="I591" s="383"/>
      <c r="J591" s="383"/>
      <c r="K591" s="383"/>
      <c r="L591" s="383"/>
      <c r="M591" s="383"/>
      <c r="N591" s="383"/>
      <c r="O591" s="383"/>
      <c r="P591" s="383"/>
      <c r="Q591" s="383"/>
      <c r="R591" s="383"/>
      <c r="S591" s="383"/>
      <c r="T591" s="383"/>
      <c r="U591" s="383"/>
      <c r="V591" s="383"/>
      <c r="W591" s="383"/>
      <c r="X591" s="383"/>
      <c r="Y591" s="383"/>
      <c r="Z591" s="383"/>
      <c r="AA591" s="383"/>
      <c r="AB591" s="383"/>
    </row>
    <row r="592" ht="16.5" customHeight="1">
      <c r="A592" s="465"/>
      <c r="B592" s="465"/>
      <c r="C592" s="383"/>
      <c r="D592" s="383"/>
      <c r="E592" s="383"/>
      <c r="F592" s="383"/>
      <c r="G592" s="383"/>
      <c r="H592" s="383"/>
      <c r="I592" s="383"/>
      <c r="J592" s="383"/>
      <c r="K592" s="383"/>
      <c r="L592" s="383"/>
      <c r="M592" s="383"/>
      <c r="N592" s="383"/>
      <c r="O592" s="383"/>
      <c r="P592" s="383"/>
      <c r="Q592" s="383"/>
      <c r="R592" s="383"/>
      <c r="S592" s="383"/>
      <c r="T592" s="383"/>
      <c r="U592" s="383"/>
      <c r="V592" s="383"/>
      <c r="W592" s="383"/>
      <c r="X592" s="383"/>
      <c r="Y592" s="383"/>
      <c r="Z592" s="383"/>
      <c r="AA592" s="383"/>
      <c r="AB592" s="383"/>
    </row>
    <row r="593" ht="16.5" customHeight="1">
      <c r="A593" s="465"/>
      <c r="B593" s="465"/>
      <c r="C593" s="383"/>
      <c r="D593" s="383"/>
      <c r="E593" s="383"/>
      <c r="F593" s="383"/>
      <c r="G593" s="383"/>
      <c r="H593" s="383"/>
      <c r="I593" s="383"/>
      <c r="J593" s="383"/>
      <c r="K593" s="383"/>
      <c r="L593" s="383"/>
      <c r="M593" s="383"/>
      <c r="N593" s="383"/>
      <c r="O593" s="383"/>
      <c r="P593" s="383"/>
      <c r="Q593" s="383"/>
      <c r="R593" s="383"/>
      <c r="S593" s="383"/>
      <c r="T593" s="383"/>
      <c r="U593" s="383"/>
      <c r="V593" s="383"/>
      <c r="W593" s="383"/>
      <c r="X593" s="383"/>
      <c r="Y593" s="383"/>
      <c r="Z593" s="383"/>
      <c r="AA593" s="383"/>
      <c r="AB593" s="383"/>
    </row>
    <row r="594" ht="16.5" customHeight="1">
      <c r="A594" s="465"/>
      <c r="B594" s="465"/>
      <c r="C594" s="383"/>
      <c r="D594" s="383"/>
      <c r="E594" s="383"/>
      <c r="F594" s="383"/>
      <c r="G594" s="383"/>
      <c r="H594" s="383"/>
      <c r="I594" s="383"/>
      <c r="J594" s="383"/>
      <c r="K594" s="383"/>
      <c r="L594" s="383"/>
      <c r="M594" s="383"/>
      <c r="N594" s="383"/>
      <c r="O594" s="383"/>
      <c r="P594" s="383"/>
      <c r="Q594" s="383"/>
      <c r="R594" s="383"/>
      <c r="S594" s="383"/>
      <c r="T594" s="383"/>
      <c r="U594" s="383"/>
      <c r="V594" s="383"/>
      <c r="W594" s="383"/>
      <c r="X594" s="383"/>
      <c r="Y594" s="383"/>
      <c r="Z594" s="383"/>
      <c r="AA594" s="383"/>
      <c r="AB594" s="383"/>
    </row>
    <row r="595" ht="16.5" customHeight="1">
      <c r="A595" s="465"/>
      <c r="B595" s="465"/>
      <c r="C595" s="383"/>
      <c r="D595" s="383"/>
      <c r="E595" s="383"/>
      <c r="F595" s="383"/>
      <c r="G595" s="383"/>
      <c r="H595" s="383"/>
      <c r="I595" s="383"/>
      <c r="J595" s="383"/>
      <c r="K595" s="383"/>
      <c r="L595" s="383"/>
      <c r="M595" s="383"/>
      <c r="N595" s="383"/>
      <c r="O595" s="383"/>
      <c r="P595" s="383"/>
      <c r="Q595" s="383"/>
      <c r="R595" s="383"/>
      <c r="S595" s="383"/>
      <c r="T595" s="383"/>
      <c r="U595" s="383"/>
      <c r="V595" s="383"/>
      <c r="W595" s="383"/>
      <c r="X595" s="383"/>
      <c r="Y595" s="383"/>
      <c r="Z595" s="383"/>
      <c r="AA595" s="383"/>
      <c r="AB595" s="383"/>
    </row>
    <row r="596" ht="16.5" customHeight="1">
      <c r="A596" s="465"/>
      <c r="B596" s="465"/>
      <c r="C596" s="383"/>
      <c r="D596" s="383"/>
      <c r="E596" s="383"/>
      <c r="F596" s="383"/>
      <c r="G596" s="383"/>
      <c r="H596" s="383"/>
      <c r="I596" s="383"/>
      <c r="J596" s="383"/>
      <c r="K596" s="383"/>
      <c r="L596" s="383"/>
      <c r="M596" s="383"/>
      <c r="N596" s="383"/>
      <c r="O596" s="383"/>
      <c r="P596" s="383"/>
      <c r="Q596" s="383"/>
      <c r="R596" s="383"/>
      <c r="S596" s="383"/>
      <c r="T596" s="383"/>
      <c r="U596" s="383"/>
      <c r="V596" s="383"/>
      <c r="W596" s="383"/>
      <c r="X596" s="383"/>
      <c r="Y596" s="383"/>
      <c r="Z596" s="383"/>
      <c r="AA596" s="383"/>
      <c r="AB596" s="383"/>
    </row>
    <row r="597" ht="16.5" customHeight="1">
      <c r="A597" s="465"/>
      <c r="B597" s="465"/>
      <c r="C597" s="383"/>
      <c r="D597" s="383"/>
      <c r="E597" s="383"/>
      <c r="F597" s="383"/>
      <c r="G597" s="383"/>
      <c r="H597" s="383"/>
      <c r="I597" s="383"/>
      <c r="J597" s="383"/>
      <c r="K597" s="383"/>
      <c r="L597" s="383"/>
      <c r="M597" s="383"/>
      <c r="N597" s="383"/>
      <c r="O597" s="383"/>
      <c r="P597" s="383"/>
      <c r="Q597" s="383"/>
      <c r="R597" s="383"/>
      <c r="S597" s="383"/>
      <c r="T597" s="383"/>
      <c r="U597" s="383"/>
      <c r="V597" s="383"/>
      <c r="W597" s="383"/>
      <c r="X597" s="383"/>
      <c r="Y597" s="383"/>
      <c r="Z597" s="383"/>
      <c r="AA597" s="383"/>
      <c r="AB597" s="383"/>
    </row>
    <row r="598" ht="16.5" customHeight="1">
      <c r="A598" s="465"/>
      <c r="B598" s="465"/>
      <c r="C598" s="383"/>
      <c r="D598" s="383"/>
      <c r="E598" s="383"/>
      <c r="F598" s="383"/>
      <c r="G598" s="383"/>
      <c r="H598" s="383"/>
      <c r="I598" s="383"/>
      <c r="J598" s="383"/>
      <c r="K598" s="383"/>
      <c r="L598" s="383"/>
      <c r="M598" s="383"/>
      <c r="N598" s="383"/>
      <c r="O598" s="383"/>
      <c r="P598" s="383"/>
      <c r="Q598" s="383"/>
      <c r="R598" s="383"/>
      <c r="S598" s="383"/>
      <c r="T598" s="383"/>
      <c r="U598" s="383"/>
      <c r="V598" s="383"/>
      <c r="W598" s="383"/>
      <c r="X598" s="383"/>
      <c r="Y598" s="383"/>
      <c r="Z598" s="383"/>
      <c r="AA598" s="383"/>
      <c r="AB598" s="383"/>
    </row>
    <row r="599" ht="16.5" customHeight="1">
      <c r="A599" s="465"/>
      <c r="B599" s="465"/>
      <c r="C599" s="383"/>
      <c r="D599" s="383"/>
      <c r="E599" s="383"/>
      <c r="F599" s="383"/>
      <c r="G599" s="383"/>
      <c r="H599" s="383"/>
      <c r="I599" s="383"/>
      <c r="J599" s="383"/>
      <c r="K599" s="383"/>
      <c r="L599" s="383"/>
      <c r="M599" s="383"/>
      <c r="N599" s="383"/>
      <c r="O599" s="383"/>
      <c r="P599" s="383"/>
      <c r="Q599" s="383"/>
      <c r="R599" s="383"/>
      <c r="S599" s="383"/>
      <c r="T599" s="383"/>
      <c r="U599" s="383"/>
      <c r="V599" s="383"/>
      <c r="W599" s="383"/>
      <c r="X599" s="383"/>
      <c r="Y599" s="383"/>
      <c r="Z599" s="383"/>
      <c r="AA599" s="383"/>
      <c r="AB599" s="383"/>
    </row>
    <row r="600" ht="16.5" customHeight="1">
      <c r="A600" s="465"/>
      <c r="B600" s="465"/>
      <c r="C600" s="383"/>
      <c r="D600" s="383"/>
      <c r="E600" s="383"/>
      <c r="F600" s="383"/>
      <c r="G600" s="383"/>
      <c r="H600" s="383"/>
      <c r="I600" s="383"/>
      <c r="J600" s="383"/>
      <c r="K600" s="383"/>
      <c r="L600" s="383"/>
      <c r="M600" s="383"/>
      <c r="N600" s="383"/>
      <c r="O600" s="383"/>
      <c r="P600" s="383"/>
      <c r="Q600" s="383"/>
      <c r="R600" s="383"/>
      <c r="S600" s="383"/>
      <c r="T600" s="383"/>
      <c r="U600" s="383"/>
      <c r="V600" s="383"/>
      <c r="W600" s="383"/>
      <c r="X600" s="383"/>
      <c r="Y600" s="383"/>
      <c r="Z600" s="383"/>
      <c r="AA600" s="383"/>
      <c r="AB600" s="383"/>
    </row>
    <row r="601" ht="16.5" customHeight="1">
      <c r="A601" s="465"/>
      <c r="B601" s="465"/>
      <c r="C601" s="383"/>
      <c r="D601" s="383"/>
      <c r="E601" s="383"/>
      <c r="F601" s="383"/>
      <c r="G601" s="383"/>
      <c r="H601" s="383"/>
      <c r="I601" s="383"/>
      <c r="J601" s="383"/>
      <c r="K601" s="383"/>
      <c r="L601" s="383"/>
      <c r="M601" s="383"/>
      <c r="N601" s="383"/>
      <c r="O601" s="383"/>
      <c r="P601" s="383"/>
      <c r="Q601" s="383"/>
      <c r="R601" s="383"/>
      <c r="S601" s="383"/>
      <c r="T601" s="383"/>
      <c r="U601" s="383"/>
      <c r="V601" s="383"/>
      <c r="W601" s="383"/>
      <c r="X601" s="383"/>
      <c r="Y601" s="383"/>
      <c r="Z601" s="383"/>
      <c r="AA601" s="383"/>
      <c r="AB601" s="383"/>
    </row>
    <row r="602" ht="16.5" customHeight="1">
      <c r="A602" s="465"/>
      <c r="B602" s="465"/>
      <c r="C602" s="383"/>
      <c r="D602" s="383"/>
      <c r="E602" s="383"/>
      <c r="F602" s="383"/>
      <c r="G602" s="383"/>
      <c r="H602" s="383"/>
      <c r="I602" s="383"/>
      <c r="J602" s="383"/>
      <c r="K602" s="383"/>
      <c r="L602" s="383"/>
      <c r="M602" s="383"/>
      <c r="N602" s="383"/>
      <c r="O602" s="383"/>
      <c r="P602" s="383"/>
      <c r="Q602" s="383"/>
      <c r="R602" s="383"/>
      <c r="S602" s="383"/>
      <c r="T602" s="383"/>
      <c r="U602" s="383"/>
      <c r="V602" s="383"/>
      <c r="W602" s="383"/>
      <c r="X602" s="383"/>
      <c r="Y602" s="383"/>
      <c r="Z602" s="383"/>
      <c r="AA602" s="383"/>
      <c r="AB602" s="383"/>
    </row>
    <row r="603" ht="16.5" customHeight="1">
      <c r="A603" s="465"/>
      <c r="B603" s="465"/>
      <c r="C603" s="383"/>
      <c r="D603" s="383"/>
      <c r="E603" s="383"/>
      <c r="F603" s="383"/>
      <c r="G603" s="383"/>
      <c r="H603" s="383"/>
      <c r="I603" s="383"/>
      <c r="J603" s="383"/>
      <c r="K603" s="383"/>
      <c r="L603" s="383"/>
      <c r="M603" s="383"/>
      <c r="N603" s="383"/>
      <c r="O603" s="383"/>
      <c r="P603" s="383"/>
      <c r="Q603" s="383"/>
      <c r="R603" s="383"/>
      <c r="S603" s="383"/>
      <c r="T603" s="383"/>
      <c r="U603" s="383"/>
      <c r="V603" s="383"/>
      <c r="W603" s="383"/>
      <c r="X603" s="383"/>
      <c r="Y603" s="383"/>
      <c r="Z603" s="383"/>
      <c r="AA603" s="383"/>
      <c r="AB603" s="383"/>
    </row>
    <row r="604" ht="16.5" customHeight="1">
      <c r="A604" s="465"/>
      <c r="B604" s="465"/>
      <c r="C604" s="383"/>
      <c r="D604" s="383"/>
      <c r="E604" s="383"/>
      <c r="F604" s="383"/>
      <c r="G604" s="383"/>
      <c r="H604" s="383"/>
      <c r="I604" s="383"/>
      <c r="J604" s="383"/>
      <c r="K604" s="383"/>
      <c r="L604" s="383"/>
      <c r="M604" s="383"/>
      <c r="N604" s="383"/>
      <c r="O604" s="383"/>
      <c r="P604" s="383"/>
      <c r="Q604" s="383"/>
      <c r="R604" s="383"/>
      <c r="S604" s="383"/>
      <c r="T604" s="383"/>
      <c r="U604" s="383"/>
      <c r="V604" s="383"/>
      <c r="W604" s="383"/>
      <c r="X604" s="383"/>
      <c r="Y604" s="383"/>
      <c r="Z604" s="383"/>
      <c r="AA604" s="383"/>
      <c r="AB604" s="383"/>
    </row>
    <row r="605" ht="16.5" customHeight="1">
      <c r="A605" s="465"/>
      <c r="B605" s="465"/>
      <c r="C605" s="383"/>
      <c r="D605" s="383"/>
      <c r="E605" s="383"/>
      <c r="F605" s="383"/>
      <c r="G605" s="383"/>
      <c r="H605" s="383"/>
      <c r="I605" s="383"/>
      <c r="J605" s="383"/>
      <c r="K605" s="383"/>
      <c r="L605" s="383"/>
      <c r="M605" s="383"/>
      <c r="N605" s="383"/>
      <c r="O605" s="383"/>
      <c r="P605" s="383"/>
      <c r="Q605" s="383"/>
      <c r="R605" s="383"/>
      <c r="S605" s="383"/>
      <c r="T605" s="383"/>
      <c r="U605" s="383"/>
      <c r="V605" s="383"/>
      <c r="W605" s="383"/>
      <c r="X605" s="383"/>
      <c r="Y605" s="383"/>
      <c r="Z605" s="383"/>
      <c r="AA605" s="383"/>
      <c r="AB605" s="383"/>
    </row>
    <row r="606" ht="16.5" customHeight="1">
      <c r="A606" s="465"/>
      <c r="B606" s="465"/>
      <c r="C606" s="383"/>
      <c r="D606" s="383"/>
      <c r="E606" s="383"/>
      <c r="F606" s="383"/>
      <c r="G606" s="383"/>
      <c r="H606" s="383"/>
      <c r="I606" s="383"/>
      <c r="J606" s="383"/>
      <c r="K606" s="383"/>
      <c r="L606" s="383"/>
      <c r="M606" s="383"/>
      <c r="N606" s="383"/>
      <c r="O606" s="383"/>
      <c r="P606" s="383"/>
      <c r="Q606" s="383"/>
      <c r="R606" s="383"/>
      <c r="S606" s="383"/>
      <c r="T606" s="383"/>
      <c r="U606" s="383"/>
      <c r="V606" s="383"/>
      <c r="W606" s="383"/>
      <c r="X606" s="383"/>
      <c r="Y606" s="383"/>
      <c r="Z606" s="383"/>
      <c r="AA606" s="383"/>
      <c r="AB606" s="383"/>
    </row>
    <row r="607" ht="16.5" customHeight="1">
      <c r="A607" s="465"/>
      <c r="B607" s="465"/>
      <c r="C607" s="383"/>
      <c r="D607" s="383"/>
      <c r="E607" s="383"/>
      <c r="F607" s="383"/>
      <c r="G607" s="383"/>
      <c r="H607" s="383"/>
      <c r="I607" s="383"/>
      <c r="J607" s="383"/>
      <c r="K607" s="383"/>
      <c r="L607" s="383"/>
      <c r="M607" s="383"/>
      <c r="N607" s="383"/>
      <c r="O607" s="383"/>
      <c r="P607" s="383"/>
      <c r="Q607" s="383"/>
      <c r="R607" s="383"/>
      <c r="S607" s="383"/>
      <c r="T607" s="383"/>
      <c r="U607" s="383"/>
      <c r="V607" s="383"/>
      <c r="W607" s="383"/>
      <c r="X607" s="383"/>
      <c r="Y607" s="383"/>
      <c r="Z607" s="383"/>
      <c r="AA607" s="383"/>
      <c r="AB607" s="383"/>
    </row>
    <row r="608" ht="16.5" customHeight="1">
      <c r="A608" s="465"/>
      <c r="B608" s="465"/>
      <c r="C608" s="383"/>
      <c r="D608" s="383"/>
      <c r="E608" s="383"/>
      <c r="F608" s="383"/>
      <c r="G608" s="383"/>
      <c r="H608" s="383"/>
      <c r="I608" s="383"/>
      <c r="J608" s="383"/>
      <c r="K608" s="383"/>
      <c r="L608" s="383"/>
      <c r="M608" s="383"/>
      <c r="N608" s="383"/>
      <c r="O608" s="383"/>
      <c r="P608" s="383"/>
      <c r="Q608" s="383"/>
      <c r="R608" s="383"/>
      <c r="S608" s="383"/>
      <c r="T608" s="383"/>
      <c r="U608" s="383"/>
      <c r="V608" s="383"/>
      <c r="W608" s="383"/>
      <c r="X608" s="383"/>
      <c r="Y608" s="383"/>
      <c r="Z608" s="383"/>
      <c r="AA608" s="383"/>
      <c r="AB608" s="383"/>
    </row>
    <row r="609" ht="16.5" customHeight="1">
      <c r="A609" s="465"/>
      <c r="B609" s="465"/>
      <c r="C609" s="383"/>
      <c r="D609" s="383"/>
      <c r="E609" s="383"/>
      <c r="F609" s="383"/>
      <c r="G609" s="383"/>
      <c r="H609" s="383"/>
      <c r="I609" s="383"/>
      <c r="J609" s="383"/>
      <c r="K609" s="383"/>
      <c r="L609" s="383"/>
      <c r="M609" s="383"/>
      <c r="N609" s="383"/>
      <c r="O609" s="383"/>
      <c r="P609" s="383"/>
      <c r="Q609" s="383"/>
      <c r="R609" s="383"/>
      <c r="S609" s="383"/>
      <c r="T609" s="383"/>
      <c r="U609" s="383"/>
      <c r="V609" s="383"/>
      <c r="W609" s="383"/>
      <c r="X609" s="383"/>
      <c r="Y609" s="383"/>
      <c r="Z609" s="383"/>
      <c r="AA609" s="383"/>
      <c r="AB609" s="383"/>
    </row>
    <row r="610" ht="16.5" customHeight="1">
      <c r="A610" s="465"/>
      <c r="B610" s="465"/>
      <c r="C610" s="383"/>
      <c r="D610" s="383"/>
      <c r="E610" s="383"/>
      <c r="F610" s="383"/>
      <c r="G610" s="383"/>
      <c r="H610" s="383"/>
      <c r="I610" s="383"/>
      <c r="J610" s="383"/>
      <c r="K610" s="383"/>
      <c r="L610" s="383"/>
      <c r="M610" s="383"/>
      <c r="N610" s="383"/>
      <c r="O610" s="383"/>
      <c r="P610" s="383"/>
      <c r="Q610" s="383"/>
      <c r="R610" s="383"/>
      <c r="S610" s="383"/>
      <c r="T610" s="383"/>
      <c r="U610" s="383"/>
      <c r="V610" s="383"/>
      <c r="W610" s="383"/>
      <c r="X610" s="383"/>
      <c r="Y610" s="383"/>
      <c r="Z610" s="383"/>
      <c r="AA610" s="383"/>
      <c r="AB610" s="383"/>
    </row>
    <row r="611" ht="16.5" customHeight="1">
      <c r="A611" s="465"/>
      <c r="B611" s="465"/>
      <c r="C611" s="383"/>
      <c r="D611" s="383"/>
      <c r="E611" s="383"/>
      <c r="F611" s="383"/>
      <c r="G611" s="383"/>
      <c r="H611" s="383"/>
      <c r="I611" s="383"/>
      <c r="J611" s="383"/>
      <c r="K611" s="383"/>
      <c r="L611" s="383"/>
      <c r="M611" s="383"/>
      <c r="N611" s="383"/>
      <c r="O611" s="383"/>
      <c r="P611" s="383"/>
      <c r="Q611" s="383"/>
      <c r="R611" s="383"/>
      <c r="S611" s="383"/>
      <c r="T611" s="383"/>
      <c r="U611" s="383"/>
      <c r="V611" s="383"/>
      <c r="W611" s="383"/>
      <c r="X611" s="383"/>
      <c r="Y611" s="383"/>
      <c r="Z611" s="383"/>
      <c r="AA611" s="383"/>
      <c r="AB611" s="383"/>
    </row>
    <row r="612" ht="16.5" customHeight="1">
      <c r="A612" s="465"/>
      <c r="B612" s="465"/>
      <c r="C612" s="383"/>
      <c r="D612" s="383"/>
      <c r="E612" s="383"/>
      <c r="F612" s="383"/>
      <c r="G612" s="383"/>
      <c r="H612" s="383"/>
      <c r="I612" s="383"/>
      <c r="J612" s="383"/>
      <c r="K612" s="383"/>
      <c r="L612" s="383"/>
      <c r="M612" s="383"/>
      <c r="N612" s="383"/>
      <c r="O612" s="383"/>
      <c r="P612" s="383"/>
      <c r="Q612" s="383"/>
      <c r="R612" s="383"/>
      <c r="S612" s="383"/>
      <c r="T612" s="383"/>
      <c r="U612" s="383"/>
      <c r="V612" s="383"/>
      <c r="W612" s="383"/>
      <c r="X612" s="383"/>
      <c r="Y612" s="383"/>
      <c r="Z612" s="383"/>
      <c r="AA612" s="383"/>
      <c r="AB612" s="383"/>
    </row>
    <row r="613" ht="16.5" customHeight="1">
      <c r="A613" s="465"/>
      <c r="B613" s="465"/>
      <c r="C613" s="383"/>
      <c r="D613" s="383"/>
      <c r="E613" s="383"/>
      <c r="F613" s="383"/>
      <c r="G613" s="383"/>
      <c r="H613" s="383"/>
      <c r="I613" s="383"/>
      <c r="J613" s="383"/>
      <c r="K613" s="383"/>
      <c r="L613" s="383"/>
      <c r="M613" s="383"/>
      <c r="N613" s="383"/>
      <c r="O613" s="383"/>
      <c r="P613" s="383"/>
      <c r="Q613" s="383"/>
      <c r="R613" s="383"/>
      <c r="S613" s="383"/>
      <c r="T613" s="383"/>
      <c r="U613" s="383"/>
      <c r="V613" s="383"/>
      <c r="W613" s="383"/>
      <c r="X613" s="383"/>
      <c r="Y613" s="383"/>
      <c r="Z613" s="383"/>
      <c r="AA613" s="383"/>
      <c r="AB613" s="383"/>
    </row>
    <row r="614" ht="16.5" customHeight="1">
      <c r="A614" s="465"/>
      <c r="B614" s="465"/>
      <c r="C614" s="383"/>
      <c r="D614" s="383"/>
      <c r="E614" s="383"/>
      <c r="F614" s="383"/>
      <c r="G614" s="383"/>
      <c r="H614" s="383"/>
      <c r="I614" s="383"/>
      <c r="J614" s="383"/>
      <c r="K614" s="383"/>
      <c r="L614" s="383"/>
      <c r="M614" s="383"/>
      <c r="N614" s="383"/>
      <c r="O614" s="383"/>
      <c r="P614" s="383"/>
      <c r="Q614" s="383"/>
      <c r="R614" s="383"/>
      <c r="S614" s="383"/>
      <c r="T614" s="383"/>
      <c r="U614" s="383"/>
      <c r="V614" s="383"/>
      <c r="W614" s="383"/>
      <c r="X614" s="383"/>
      <c r="Y614" s="383"/>
      <c r="Z614" s="383"/>
      <c r="AA614" s="383"/>
      <c r="AB614" s="383"/>
    </row>
    <row r="615" ht="16.5" customHeight="1">
      <c r="A615" s="465"/>
      <c r="B615" s="465"/>
      <c r="C615" s="383"/>
      <c r="D615" s="383"/>
      <c r="E615" s="383"/>
      <c r="F615" s="383"/>
      <c r="G615" s="383"/>
      <c r="H615" s="383"/>
      <c r="I615" s="383"/>
      <c r="J615" s="383"/>
      <c r="K615" s="383"/>
      <c r="L615" s="383"/>
      <c r="M615" s="383"/>
      <c r="N615" s="383"/>
      <c r="O615" s="383"/>
      <c r="P615" s="383"/>
      <c r="Q615" s="383"/>
      <c r="R615" s="383"/>
      <c r="S615" s="383"/>
      <c r="T615" s="383"/>
      <c r="U615" s="383"/>
      <c r="V615" s="383"/>
      <c r="W615" s="383"/>
      <c r="X615" s="383"/>
      <c r="Y615" s="383"/>
      <c r="Z615" s="383"/>
      <c r="AA615" s="383"/>
      <c r="AB615" s="383"/>
    </row>
    <row r="616" ht="16.5" customHeight="1">
      <c r="A616" s="465"/>
      <c r="B616" s="465"/>
      <c r="C616" s="383"/>
      <c r="D616" s="383"/>
      <c r="E616" s="383"/>
      <c r="F616" s="383"/>
      <c r="G616" s="383"/>
      <c r="H616" s="383"/>
      <c r="I616" s="383"/>
      <c r="J616" s="383"/>
      <c r="K616" s="383"/>
      <c r="L616" s="383"/>
      <c r="M616" s="383"/>
      <c r="N616" s="383"/>
      <c r="O616" s="383"/>
      <c r="P616" s="383"/>
      <c r="Q616" s="383"/>
      <c r="R616" s="383"/>
      <c r="S616" s="383"/>
      <c r="T616" s="383"/>
      <c r="U616" s="383"/>
      <c r="V616" s="383"/>
      <c r="W616" s="383"/>
      <c r="X616" s="383"/>
      <c r="Y616" s="383"/>
      <c r="Z616" s="383"/>
      <c r="AA616" s="383"/>
      <c r="AB616" s="383"/>
    </row>
    <row r="617" ht="16.5" customHeight="1">
      <c r="A617" s="465"/>
      <c r="B617" s="465"/>
      <c r="C617" s="383"/>
      <c r="D617" s="383"/>
      <c r="E617" s="383"/>
      <c r="F617" s="383"/>
      <c r="G617" s="383"/>
      <c r="H617" s="383"/>
      <c r="I617" s="383"/>
      <c r="J617" s="383"/>
      <c r="K617" s="383"/>
      <c r="L617" s="383"/>
      <c r="M617" s="383"/>
      <c r="N617" s="383"/>
      <c r="O617" s="383"/>
      <c r="P617" s="383"/>
      <c r="Q617" s="383"/>
      <c r="R617" s="383"/>
      <c r="S617" s="383"/>
      <c r="T617" s="383"/>
      <c r="U617" s="383"/>
      <c r="V617" s="383"/>
      <c r="W617" s="383"/>
      <c r="X617" s="383"/>
      <c r="Y617" s="383"/>
      <c r="Z617" s="383"/>
      <c r="AA617" s="383"/>
      <c r="AB617" s="383"/>
    </row>
    <row r="618" ht="16.5" customHeight="1">
      <c r="A618" s="465"/>
      <c r="B618" s="465"/>
      <c r="C618" s="383"/>
      <c r="D618" s="383"/>
      <c r="E618" s="383"/>
      <c r="F618" s="383"/>
      <c r="G618" s="383"/>
      <c r="H618" s="383"/>
      <c r="I618" s="383"/>
      <c r="J618" s="383"/>
      <c r="K618" s="383"/>
      <c r="L618" s="383"/>
      <c r="M618" s="383"/>
      <c r="N618" s="383"/>
      <c r="O618" s="383"/>
      <c r="P618" s="383"/>
      <c r="Q618" s="383"/>
      <c r="R618" s="383"/>
      <c r="S618" s="383"/>
      <c r="T618" s="383"/>
      <c r="U618" s="383"/>
      <c r="V618" s="383"/>
      <c r="W618" s="383"/>
      <c r="X618" s="383"/>
      <c r="Y618" s="383"/>
      <c r="Z618" s="383"/>
      <c r="AA618" s="383"/>
      <c r="AB618" s="383"/>
    </row>
    <row r="619" ht="16.5" customHeight="1">
      <c r="A619" s="465"/>
      <c r="B619" s="465"/>
      <c r="C619" s="383"/>
      <c r="D619" s="383"/>
      <c r="E619" s="383"/>
      <c r="F619" s="383"/>
      <c r="G619" s="383"/>
      <c r="H619" s="383"/>
      <c r="I619" s="383"/>
      <c r="J619" s="383"/>
      <c r="K619" s="383"/>
      <c r="L619" s="383"/>
      <c r="M619" s="383"/>
      <c r="N619" s="383"/>
      <c r="O619" s="383"/>
      <c r="P619" s="383"/>
      <c r="Q619" s="383"/>
      <c r="R619" s="383"/>
      <c r="S619" s="383"/>
      <c r="T619" s="383"/>
      <c r="U619" s="383"/>
      <c r="V619" s="383"/>
      <c r="W619" s="383"/>
      <c r="X619" s="383"/>
      <c r="Y619" s="383"/>
      <c r="Z619" s="383"/>
      <c r="AA619" s="383"/>
      <c r="AB619" s="383"/>
    </row>
    <row r="620" ht="16.5" customHeight="1">
      <c r="A620" s="465"/>
      <c r="B620" s="465"/>
      <c r="C620" s="383"/>
      <c r="D620" s="383"/>
      <c r="E620" s="383"/>
      <c r="F620" s="383"/>
      <c r="G620" s="383"/>
      <c r="H620" s="383"/>
      <c r="I620" s="383"/>
      <c r="J620" s="383"/>
      <c r="K620" s="383"/>
      <c r="L620" s="383"/>
      <c r="M620" s="383"/>
      <c r="N620" s="383"/>
      <c r="O620" s="383"/>
      <c r="P620" s="383"/>
      <c r="Q620" s="383"/>
      <c r="R620" s="383"/>
      <c r="S620" s="383"/>
      <c r="T620" s="383"/>
      <c r="U620" s="383"/>
      <c r="V620" s="383"/>
      <c r="W620" s="383"/>
      <c r="X620" s="383"/>
      <c r="Y620" s="383"/>
      <c r="Z620" s="383"/>
      <c r="AA620" s="383"/>
      <c r="AB620" s="383"/>
    </row>
    <row r="621" ht="16.5" customHeight="1">
      <c r="A621" s="465"/>
      <c r="B621" s="465"/>
      <c r="C621" s="383"/>
      <c r="D621" s="383"/>
      <c r="E621" s="383"/>
      <c r="F621" s="383"/>
      <c r="G621" s="383"/>
      <c r="H621" s="383"/>
      <c r="I621" s="383"/>
      <c r="J621" s="383"/>
      <c r="K621" s="383"/>
      <c r="L621" s="383"/>
      <c r="M621" s="383"/>
      <c r="N621" s="383"/>
      <c r="O621" s="383"/>
      <c r="P621" s="383"/>
      <c r="Q621" s="383"/>
      <c r="R621" s="383"/>
      <c r="S621" s="383"/>
      <c r="T621" s="383"/>
      <c r="U621" s="383"/>
      <c r="V621" s="383"/>
      <c r="W621" s="383"/>
      <c r="X621" s="383"/>
      <c r="Y621" s="383"/>
      <c r="Z621" s="383"/>
      <c r="AA621" s="383"/>
      <c r="AB621" s="383"/>
    </row>
    <row r="622" ht="16.5" customHeight="1">
      <c r="A622" s="465"/>
      <c r="B622" s="465"/>
      <c r="C622" s="383"/>
      <c r="D622" s="383"/>
      <c r="E622" s="383"/>
      <c r="F622" s="383"/>
      <c r="G622" s="383"/>
      <c r="H622" s="383"/>
      <c r="I622" s="383"/>
      <c r="J622" s="383"/>
      <c r="K622" s="383"/>
      <c r="L622" s="383"/>
      <c r="M622" s="383"/>
      <c r="N622" s="383"/>
      <c r="O622" s="383"/>
      <c r="P622" s="383"/>
      <c r="Q622" s="383"/>
      <c r="R622" s="383"/>
      <c r="S622" s="383"/>
      <c r="T622" s="383"/>
      <c r="U622" s="383"/>
      <c r="V622" s="383"/>
      <c r="W622" s="383"/>
      <c r="X622" s="383"/>
      <c r="Y622" s="383"/>
      <c r="Z622" s="383"/>
      <c r="AA622" s="383"/>
      <c r="AB622" s="383"/>
    </row>
    <row r="623" ht="16.5" customHeight="1">
      <c r="A623" s="465"/>
      <c r="B623" s="465"/>
      <c r="C623" s="383"/>
      <c r="D623" s="383"/>
      <c r="E623" s="383"/>
      <c r="F623" s="383"/>
      <c r="G623" s="383"/>
      <c r="H623" s="383"/>
      <c r="I623" s="383"/>
      <c r="J623" s="383"/>
      <c r="K623" s="383"/>
      <c r="L623" s="383"/>
      <c r="M623" s="383"/>
      <c r="N623" s="383"/>
      <c r="O623" s="383"/>
      <c r="P623" s="383"/>
      <c r="Q623" s="383"/>
      <c r="R623" s="383"/>
      <c r="S623" s="383"/>
      <c r="T623" s="383"/>
      <c r="U623" s="383"/>
      <c r="V623" s="383"/>
      <c r="W623" s="383"/>
      <c r="X623" s="383"/>
      <c r="Y623" s="383"/>
      <c r="Z623" s="383"/>
      <c r="AA623" s="383"/>
      <c r="AB623" s="383"/>
    </row>
    <row r="624" ht="16.5" customHeight="1">
      <c r="A624" s="465"/>
      <c r="B624" s="465"/>
      <c r="C624" s="383"/>
      <c r="D624" s="383"/>
      <c r="E624" s="383"/>
      <c r="F624" s="383"/>
      <c r="G624" s="383"/>
      <c r="H624" s="383"/>
      <c r="I624" s="383"/>
      <c r="J624" s="383"/>
      <c r="K624" s="383"/>
      <c r="L624" s="383"/>
      <c r="M624" s="383"/>
      <c r="N624" s="383"/>
      <c r="O624" s="383"/>
      <c r="P624" s="383"/>
      <c r="Q624" s="383"/>
      <c r="R624" s="383"/>
      <c r="S624" s="383"/>
      <c r="T624" s="383"/>
      <c r="U624" s="383"/>
      <c r="V624" s="383"/>
      <c r="W624" s="383"/>
      <c r="X624" s="383"/>
      <c r="Y624" s="383"/>
      <c r="Z624" s="383"/>
      <c r="AA624" s="383"/>
      <c r="AB624" s="383"/>
    </row>
    <row r="625" ht="16.5" customHeight="1">
      <c r="A625" s="465"/>
      <c r="B625" s="465"/>
      <c r="C625" s="383"/>
      <c r="D625" s="383"/>
      <c r="E625" s="383"/>
      <c r="F625" s="383"/>
      <c r="G625" s="383"/>
      <c r="H625" s="383"/>
      <c r="I625" s="383"/>
      <c r="J625" s="383"/>
      <c r="K625" s="383"/>
      <c r="L625" s="383"/>
      <c r="M625" s="383"/>
      <c r="N625" s="383"/>
      <c r="O625" s="383"/>
      <c r="P625" s="383"/>
      <c r="Q625" s="383"/>
      <c r="R625" s="383"/>
      <c r="S625" s="383"/>
      <c r="T625" s="383"/>
      <c r="U625" s="383"/>
      <c r="V625" s="383"/>
      <c r="W625" s="383"/>
      <c r="X625" s="383"/>
      <c r="Y625" s="383"/>
      <c r="Z625" s="383"/>
      <c r="AA625" s="383"/>
      <c r="AB625" s="383"/>
    </row>
    <row r="626" ht="16.5" customHeight="1">
      <c r="A626" s="465"/>
      <c r="B626" s="465"/>
      <c r="C626" s="383"/>
      <c r="D626" s="383"/>
      <c r="E626" s="383"/>
      <c r="F626" s="383"/>
      <c r="G626" s="383"/>
      <c r="H626" s="383"/>
      <c r="I626" s="383"/>
      <c r="J626" s="383"/>
      <c r="K626" s="383"/>
      <c r="L626" s="383"/>
      <c r="M626" s="383"/>
      <c r="N626" s="383"/>
      <c r="O626" s="383"/>
      <c r="P626" s="383"/>
      <c r="Q626" s="383"/>
      <c r="R626" s="383"/>
      <c r="S626" s="383"/>
      <c r="T626" s="383"/>
      <c r="U626" s="383"/>
      <c r="V626" s="383"/>
      <c r="W626" s="383"/>
      <c r="X626" s="383"/>
      <c r="Y626" s="383"/>
      <c r="Z626" s="383"/>
      <c r="AA626" s="383"/>
      <c r="AB626" s="383"/>
    </row>
    <row r="627" ht="16.5" customHeight="1">
      <c r="A627" s="465"/>
      <c r="B627" s="465"/>
      <c r="C627" s="383"/>
      <c r="D627" s="383"/>
      <c r="E627" s="383"/>
      <c r="F627" s="383"/>
      <c r="G627" s="383"/>
      <c r="H627" s="383"/>
      <c r="I627" s="383"/>
      <c r="J627" s="383"/>
      <c r="K627" s="383"/>
      <c r="L627" s="383"/>
      <c r="M627" s="383"/>
      <c r="N627" s="383"/>
      <c r="O627" s="383"/>
      <c r="P627" s="383"/>
      <c r="Q627" s="383"/>
      <c r="R627" s="383"/>
      <c r="S627" s="383"/>
      <c r="T627" s="383"/>
      <c r="U627" s="383"/>
      <c r="V627" s="383"/>
      <c r="W627" s="383"/>
      <c r="X627" s="383"/>
      <c r="Y627" s="383"/>
      <c r="Z627" s="383"/>
      <c r="AA627" s="383"/>
      <c r="AB627" s="383"/>
    </row>
    <row r="628" ht="16.5" customHeight="1">
      <c r="A628" s="465"/>
      <c r="B628" s="465"/>
      <c r="C628" s="383"/>
      <c r="D628" s="383"/>
      <c r="E628" s="383"/>
      <c r="F628" s="383"/>
      <c r="G628" s="383"/>
      <c r="H628" s="383"/>
      <c r="I628" s="383"/>
      <c r="J628" s="383"/>
      <c r="K628" s="383"/>
      <c r="L628" s="383"/>
      <c r="M628" s="383"/>
      <c r="N628" s="383"/>
      <c r="O628" s="383"/>
      <c r="P628" s="383"/>
      <c r="Q628" s="383"/>
      <c r="R628" s="383"/>
      <c r="S628" s="383"/>
      <c r="T628" s="383"/>
      <c r="U628" s="383"/>
      <c r="V628" s="383"/>
      <c r="W628" s="383"/>
      <c r="X628" s="383"/>
      <c r="Y628" s="383"/>
      <c r="Z628" s="383"/>
      <c r="AA628" s="383"/>
      <c r="AB628" s="383"/>
    </row>
    <row r="629" ht="16.5" customHeight="1">
      <c r="A629" s="465"/>
      <c r="B629" s="465"/>
      <c r="C629" s="383"/>
      <c r="D629" s="383"/>
      <c r="E629" s="383"/>
      <c r="F629" s="383"/>
      <c r="G629" s="383"/>
      <c r="H629" s="383"/>
      <c r="I629" s="383"/>
      <c r="J629" s="383"/>
      <c r="K629" s="383"/>
      <c r="L629" s="383"/>
      <c r="M629" s="383"/>
      <c r="N629" s="383"/>
      <c r="O629" s="383"/>
      <c r="P629" s="383"/>
      <c r="Q629" s="383"/>
      <c r="R629" s="383"/>
      <c r="S629" s="383"/>
      <c r="T629" s="383"/>
      <c r="U629" s="383"/>
      <c r="V629" s="383"/>
      <c r="W629" s="383"/>
      <c r="X629" s="383"/>
      <c r="Y629" s="383"/>
      <c r="Z629" s="383"/>
      <c r="AA629" s="383"/>
      <c r="AB629" s="383"/>
    </row>
    <row r="630" ht="16.5" customHeight="1">
      <c r="A630" s="465"/>
      <c r="B630" s="465"/>
      <c r="C630" s="383"/>
      <c r="D630" s="383"/>
      <c r="E630" s="383"/>
      <c r="F630" s="383"/>
      <c r="G630" s="383"/>
      <c r="H630" s="383"/>
      <c r="I630" s="383"/>
      <c r="J630" s="383"/>
      <c r="K630" s="383"/>
      <c r="L630" s="383"/>
      <c r="M630" s="383"/>
      <c r="N630" s="383"/>
      <c r="O630" s="383"/>
      <c r="P630" s="383"/>
      <c r="Q630" s="383"/>
      <c r="R630" s="383"/>
      <c r="S630" s="383"/>
      <c r="T630" s="383"/>
      <c r="U630" s="383"/>
      <c r="V630" s="383"/>
      <c r="W630" s="383"/>
      <c r="X630" s="383"/>
      <c r="Y630" s="383"/>
      <c r="Z630" s="383"/>
      <c r="AA630" s="383"/>
      <c r="AB630" s="383"/>
    </row>
    <row r="631" ht="16.5" customHeight="1">
      <c r="A631" s="465"/>
      <c r="B631" s="465"/>
      <c r="C631" s="383"/>
      <c r="D631" s="383"/>
      <c r="E631" s="383"/>
      <c r="F631" s="383"/>
      <c r="G631" s="383"/>
      <c r="H631" s="383"/>
      <c r="I631" s="383"/>
      <c r="J631" s="383"/>
      <c r="K631" s="383"/>
      <c r="L631" s="383"/>
      <c r="M631" s="383"/>
      <c r="N631" s="383"/>
      <c r="O631" s="383"/>
      <c r="P631" s="383"/>
      <c r="Q631" s="383"/>
      <c r="R631" s="383"/>
      <c r="S631" s="383"/>
      <c r="T631" s="383"/>
      <c r="U631" s="383"/>
      <c r="V631" s="383"/>
      <c r="W631" s="383"/>
      <c r="X631" s="383"/>
      <c r="Y631" s="383"/>
      <c r="Z631" s="383"/>
      <c r="AA631" s="383"/>
      <c r="AB631" s="383"/>
    </row>
    <row r="632" ht="16.5" customHeight="1">
      <c r="A632" s="465"/>
      <c r="B632" s="465"/>
      <c r="C632" s="383"/>
      <c r="D632" s="383"/>
      <c r="E632" s="383"/>
      <c r="F632" s="383"/>
      <c r="G632" s="383"/>
      <c r="H632" s="383"/>
      <c r="I632" s="383"/>
      <c r="J632" s="383"/>
      <c r="K632" s="383"/>
      <c r="L632" s="383"/>
      <c r="M632" s="383"/>
      <c r="N632" s="383"/>
      <c r="O632" s="383"/>
      <c r="P632" s="383"/>
      <c r="Q632" s="383"/>
      <c r="R632" s="383"/>
      <c r="S632" s="383"/>
      <c r="T632" s="383"/>
      <c r="U632" s="383"/>
      <c r="V632" s="383"/>
      <c r="W632" s="383"/>
      <c r="X632" s="383"/>
      <c r="Y632" s="383"/>
      <c r="Z632" s="383"/>
      <c r="AA632" s="383"/>
      <c r="AB632" s="383"/>
    </row>
    <row r="633" ht="16.5" customHeight="1">
      <c r="A633" s="465"/>
      <c r="B633" s="465"/>
      <c r="C633" s="383"/>
      <c r="D633" s="383"/>
      <c r="E633" s="383"/>
      <c r="F633" s="383"/>
      <c r="G633" s="383"/>
      <c r="H633" s="383"/>
      <c r="I633" s="383"/>
      <c r="J633" s="383"/>
      <c r="K633" s="383"/>
      <c r="L633" s="383"/>
      <c r="M633" s="383"/>
      <c r="N633" s="383"/>
      <c r="O633" s="383"/>
      <c r="P633" s="383"/>
      <c r="Q633" s="383"/>
      <c r="R633" s="383"/>
      <c r="S633" s="383"/>
      <c r="T633" s="383"/>
      <c r="U633" s="383"/>
      <c r="V633" s="383"/>
      <c r="W633" s="383"/>
      <c r="X633" s="383"/>
      <c r="Y633" s="383"/>
      <c r="Z633" s="383"/>
      <c r="AA633" s="383"/>
      <c r="AB633" s="383"/>
    </row>
    <row r="634" ht="16.5" customHeight="1">
      <c r="A634" s="465"/>
      <c r="B634" s="465"/>
      <c r="C634" s="383"/>
      <c r="D634" s="383"/>
      <c r="E634" s="383"/>
      <c r="F634" s="383"/>
      <c r="G634" s="383"/>
      <c r="H634" s="383"/>
      <c r="I634" s="383"/>
      <c r="J634" s="383"/>
      <c r="K634" s="383"/>
      <c r="L634" s="383"/>
      <c r="M634" s="383"/>
      <c r="N634" s="383"/>
      <c r="O634" s="383"/>
      <c r="P634" s="383"/>
      <c r="Q634" s="383"/>
      <c r="R634" s="383"/>
      <c r="S634" s="383"/>
      <c r="T634" s="383"/>
      <c r="U634" s="383"/>
      <c r="V634" s="383"/>
      <c r="W634" s="383"/>
      <c r="X634" s="383"/>
      <c r="Y634" s="383"/>
      <c r="Z634" s="383"/>
      <c r="AA634" s="383"/>
      <c r="AB634" s="383"/>
    </row>
    <row r="635" ht="16.5" customHeight="1">
      <c r="A635" s="465"/>
      <c r="B635" s="465"/>
      <c r="C635" s="383"/>
      <c r="D635" s="383"/>
      <c r="E635" s="383"/>
      <c r="F635" s="383"/>
      <c r="G635" s="383"/>
      <c r="H635" s="383"/>
      <c r="I635" s="383"/>
      <c r="J635" s="383"/>
      <c r="K635" s="383"/>
      <c r="L635" s="383"/>
      <c r="M635" s="383"/>
      <c r="N635" s="383"/>
      <c r="O635" s="383"/>
      <c r="P635" s="383"/>
      <c r="Q635" s="383"/>
      <c r="R635" s="383"/>
      <c r="S635" s="383"/>
      <c r="T635" s="383"/>
      <c r="U635" s="383"/>
      <c r="V635" s="383"/>
      <c r="W635" s="383"/>
      <c r="X635" s="383"/>
      <c r="Y635" s="383"/>
      <c r="Z635" s="383"/>
      <c r="AA635" s="383"/>
      <c r="AB635" s="383"/>
    </row>
    <row r="636" ht="16.5" customHeight="1">
      <c r="A636" s="465"/>
      <c r="B636" s="465"/>
      <c r="C636" s="383"/>
      <c r="D636" s="383"/>
      <c r="E636" s="383"/>
      <c r="F636" s="383"/>
      <c r="G636" s="383"/>
      <c r="H636" s="383"/>
      <c r="I636" s="383"/>
      <c r="J636" s="383"/>
      <c r="K636" s="383"/>
      <c r="L636" s="383"/>
      <c r="M636" s="383"/>
      <c r="N636" s="383"/>
      <c r="O636" s="383"/>
      <c r="P636" s="383"/>
      <c r="Q636" s="383"/>
      <c r="R636" s="383"/>
      <c r="S636" s="383"/>
      <c r="T636" s="383"/>
      <c r="U636" s="383"/>
      <c r="V636" s="383"/>
      <c r="W636" s="383"/>
      <c r="X636" s="383"/>
      <c r="Y636" s="383"/>
      <c r="Z636" s="383"/>
      <c r="AA636" s="383"/>
      <c r="AB636" s="383"/>
    </row>
    <row r="637" ht="16.5" customHeight="1">
      <c r="A637" s="465"/>
      <c r="B637" s="465"/>
      <c r="C637" s="383"/>
      <c r="D637" s="383"/>
      <c r="E637" s="383"/>
      <c r="F637" s="383"/>
      <c r="G637" s="383"/>
      <c r="H637" s="383"/>
      <c r="I637" s="383"/>
      <c r="J637" s="383"/>
      <c r="K637" s="383"/>
      <c r="L637" s="383"/>
      <c r="M637" s="383"/>
      <c r="N637" s="383"/>
      <c r="O637" s="383"/>
      <c r="P637" s="383"/>
      <c r="Q637" s="383"/>
      <c r="R637" s="383"/>
      <c r="S637" s="383"/>
      <c r="T637" s="383"/>
      <c r="U637" s="383"/>
      <c r="V637" s="383"/>
      <c r="W637" s="383"/>
      <c r="X637" s="383"/>
      <c r="Y637" s="383"/>
      <c r="Z637" s="383"/>
      <c r="AA637" s="383"/>
      <c r="AB637" s="383"/>
    </row>
    <row r="638" ht="16.5" customHeight="1">
      <c r="A638" s="465"/>
      <c r="B638" s="465"/>
      <c r="C638" s="383"/>
      <c r="D638" s="383"/>
      <c r="E638" s="383"/>
      <c r="F638" s="383"/>
      <c r="G638" s="383"/>
      <c r="H638" s="383"/>
      <c r="I638" s="383"/>
      <c r="J638" s="383"/>
      <c r="K638" s="383"/>
      <c r="L638" s="383"/>
      <c r="M638" s="383"/>
      <c r="N638" s="383"/>
      <c r="O638" s="383"/>
      <c r="P638" s="383"/>
      <c r="Q638" s="383"/>
      <c r="R638" s="383"/>
      <c r="S638" s="383"/>
      <c r="T638" s="383"/>
      <c r="U638" s="383"/>
      <c r="V638" s="383"/>
      <c r="W638" s="383"/>
      <c r="X638" s="383"/>
      <c r="Y638" s="383"/>
      <c r="Z638" s="383"/>
      <c r="AA638" s="383"/>
      <c r="AB638" s="383"/>
    </row>
    <row r="639" ht="16.5" customHeight="1">
      <c r="A639" s="465"/>
      <c r="B639" s="465"/>
      <c r="C639" s="383"/>
      <c r="D639" s="383"/>
      <c r="E639" s="383"/>
      <c r="F639" s="383"/>
      <c r="G639" s="383"/>
      <c r="H639" s="383"/>
      <c r="I639" s="383"/>
      <c r="J639" s="383"/>
      <c r="K639" s="383"/>
      <c r="L639" s="383"/>
      <c r="M639" s="383"/>
      <c r="N639" s="383"/>
      <c r="O639" s="383"/>
      <c r="P639" s="383"/>
      <c r="Q639" s="383"/>
      <c r="R639" s="383"/>
      <c r="S639" s="383"/>
      <c r="T639" s="383"/>
      <c r="U639" s="383"/>
      <c r="V639" s="383"/>
      <c r="W639" s="383"/>
      <c r="X639" s="383"/>
      <c r="Y639" s="383"/>
      <c r="Z639" s="383"/>
      <c r="AA639" s="383"/>
      <c r="AB639" s="383"/>
    </row>
    <row r="640" ht="16.5" customHeight="1">
      <c r="A640" s="465"/>
      <c r="B640" s="465"/>
      <c r="C640" s="383"/>
      <c r="D640" s="383"/>
      <c r="E640" s="383"/>
      <c r="F640" s="383"/>
      <c r="G640" s="383"/>
      <c r="H640" s="383"/>
      <c r="I640" s="383"/>
      <c r="J640" s="383"/>
      <c r="K640" s="383"/>
      <c r="L640" s="383"/>
      <c r="M640" s="383"/>
      <c r="N640" s="383"/>
      <c r="O640" s="383"/>
      <c r="P640" s="383"/>
      <c r="Q640" s="383"/>
      <c r="R640" s="383"/>
      <c r="S640" s="383"/>
      <c r="T640" s="383"/>
      <c r="U640" s="383"/>
      <c r="V640" s="383"/>
      <c r="W640" s="383"/>
      <c r="X640" s="383"/>
      <c r="Y640" s="383"/>
      <c r="Z640" s="383"/>
      <c r="AA640" s="383"/>
      <c r="AB640" s="383"/>
    </row>
    <row r="641" ht="16.5" customHeight="1">
      <c r="A641" s="465"/>
      <c r="B641" s="465"/>
      <c r="C641" s="383"/>
      <c r="D641" s="383"/>
      <c r="E641" s="383"/>
      <c r="F641" s="383"/>
      <c r="G641" s="383"/>
      <c r="H641" s="383"/>
      <c r="I641" s="383"/>
      <c r="J641" s="383"/>
      <c r="K641" s="383"/>
      <c r="L641" s="383"/>
      <c r="M641" s="383"/>
      <c r="N641" s="383"/>
      <c r="O641" s="383"/>
      <c r="P641" s="383"/>
      <c r="Q641" s="383"/>
      <c r="R641" s="383"/>
      <c r="S641" s="383"/>
      <c r="T641" s="383"/>
      <c r="U641" s="383"/>
      <c r="V641" s="383"/>
      <c r="W641" s="383"/>
      <c r="X641" s="383"/>
      <c r="Y641" s="383"/>
      <c r="Z641" s="383"/>
      <c r="AA641" s="383"/>
      <c r="AB641" s="383"/>
    </row>
    <row r="642" ht="16.5" customHeight="1">
      <c r="A642" s="465"/>
      <c r="B642" s="465"/>
      <c r="C642" s="383"/>
      <c r="D642" s="383"/>
      <c r="E642" s="383"/>
      <c r="F642" s="383"/>
      <c r="G642" s="383"/>
      <c r="H642" s="383"/>
      <c r="I642" s="383"/>
      <c r="J642" s="383"/>
      <c r="K642" s="383"/>
      <c r="L642" s="383"/>
      <c r="M642" s="383"/>
      <c r="N642" s="383"/>
      <c r="O642" s="383"/>
      <c r="P642" s="383"/>
      <c r="Q642" s="383"/>
      <c r="R642" s="383"/>
      <c r="S642" s="383"/>
      <c r="T642" s="383"/>
      <c r="U642" s="383"/>
      <c r="V642" s="383"/>
      <c r="W642" s="383"/>
      <c r="X642" s="383"/>
      <c r="Y642" s="383"/>
      <c r="Z642" s="383"/>
      <c r="AA642" s="383"/>
      <c r="AB642" s="383"/>
    </row>
    <row r="643" ht="16.5" customHeight="1">
      <c r="A643" s="465"/>
      <c r="B643" s="465"/>
      <c r="C643" s="383"/>
      <c r="D643" s="383"/>
      <c r="E643" s="383"/>
      <c r="F643" s="383"/>
      <c r="G643" s="383"/>
      <c r="H643" s="383"/>
      <c r="I643" s="383"/>
      <c r="J643" s="383"/>
      <c r="K643" s="383"/>
      <c r="L643" s="383"/>
      <c r="M643" s="383"/>
      <c r="N643" s="383"/>
      <c r="O643" s="383"/>
      <c r="P643" s="383"/>
      <c r="Q643" s="383"/>
      <c r="R643" s="383"/>
      <c r="S643" s="383"/>
      <c r="T643" s="383"/>
      <c r="U643" s="383"/>
      <c r="V643" s="383"/>
      <c r="W643" s="383"/>
      <c r="X643" s="383"/>
      <c r="Y643" s="383"/>
      <c r="Z643" s="383"/>
      <c r="AA643" s="383"/>
      <c r="AB643" s="383"/>
    </row>
    <row r="644" ht="16.5" customHeight="1">
      <c r="A644" s="465"/>
      <c r="B644" s="465"/>
      <c r="C644" s="383"/>
      <c r="D644" s="383"/>
      <c r="E644" s="383"/>
      <c r="F644" s="383"/>
      <c r="G644" s="383"/>
      <c r="H644" s="383"/>
      <c r="I644" s="383"/>
      <c r="J644" s="383"/>
      <c r="K644" s="383"/>
      <c r="L644" s="383"/>
      <c r="M644" s="383"/>
      <c r="N644" s="383"/>
      <c r="O644" s="383"/>
      <c r="P644" s="383"/>
      <c r="Q644" s="383"/>
      <c r="R644" s="383"/>
      <c r="S644" s="383"/>
      <c r="T644" s="383"/>
      <c r="U644" s="383"/>
      <c r="V644" s="383"/>
      <c r="W644" s="383"/>
      <c r="X644" s="383"/>
      <c r="Y644" s="383"/>
      <c r="Z644" s="383"/>
      <c r="AA644" s="383"/>
      <c r="AB644" s="383"/>
    </row>
    <row r="645" ht="16.5" customHeight="1">
      <c r="A645" s="465"/>
      <c r="B645" s="465"/>
      <c r="C645" s="383"/>
      <c r="D645" s="383"/>
      <c r="E645" s="383"/>
      <c r="F645" s="383"/>
      <c r="G645" s="383"/>
      <c r="H645" s="383"/>
      <c r="I645" s="383"/>
      <c r="J645" s="383"/>
      <c r="K645" s="383"/>
      <c r="L645" s="383"/>
      <c r="M645" s="383"/>
      <c r="N645" s="383"/>
      <c r="O645" s="383"/>
      <c r="P645" s="383"/>
      <c r="Q645" s="383"/>
      <c r="R645" s="383"/>
      <c r="S645" s="383"/>
      <c r="T645" s="383"/>
      <c r="U645" s="383"/>
      <c r="V645" s="383"/>
      <c r="W645" s="383"/>
      <c r="X645" s="383"/>
      <c r="Y645" s="383"/>
      <c r="Z645" s="383"/>
      <c r="AA645" s="383"/>
      <c r="AB645" s="383"/>
    </row>
    <row r="646" ht="16.5" customHeight="1">
      <c r="A646" s="465"/>
      <c r="B646" s="465"/>
      <c r="C646" s="383"/>
      <c r="D646" s="383"/>
      <c r="E646" s="383"/>
      <c r="F646" s="383"/>
      <c r="G646" s="383"/>
      <c r="H646" s="383"/>
      <c r="I646" s="383"/>
      <c r="J646" s="383"/>
      <c r="K646" s="383"/>
      <c r="L646" s="383"/>
      <c r="M646" s="383"/>
      <c r="N646" s="383"/>
      <c r="O646" s="383"/>
      <c r="P646" s="383"/>
      <c r="Q646" s="383"/>
      <c r="R646" s="383"/>
      <c r="S646" s="383"/>
      <c r="T646" s="383"/>
      <c r="U646" s="383"/>
      <c r="V646" s="383"/>
      <c r="W646" s="383"/>
      <c r="X646" s="383"/>
      <c r="Y646" s="383"/>
      <c r="Z646" s="383"/>
      <c r="AA646" s="383"/>
      <c r="AB646" s="383"/>
    </row>
    <row r="647" ht="16.5" customHeight="1">
      <c r="A647" s="465"/>
      <c r="B647" s="465"/>
      <c r="C647" s="383"/>
      <c r="D647" s="383"/>
      <c r="E647" s="383"/>
      <c r="F647" s="383"/>
      <c r="G647" s="383"/>
      <c r="H647" s="383"/>
      <c r="I647" s="383"/>
      <c r="J647" s="383"/>
      <c r="K647" s="383"/>
      <c r="L647" s="383"/>
      <c r="M647" s="383"/>
      <c r="N647" s="383"/>
      <c r="O647" s="383"/>
      <c r="P647" s="383"/>
      <c r="Q647" s="383"/>
      <c r="R647" s="383"/>
      <c r="S647" s="383"/>
      <c r="T647" s="383"/>
      <c r="U647" s="383"/>
      <c r="V647" s="383"/>
      <c r="W647" s="383"/>
      <c r="X647" s="383"/>
      <c r="Y647" s="383"/>
      <c r="Z647" s="383"/>
      <c r="AA647" s="383"/>
      <c r="AB647" s="383"/>
    </row>
    <row r="648" ht="16.5" customHeight="1">
      <c r="A648" s="465"/>
      <c r="B648" s="465"/>
      <c r="C648" s="383"/>
      <c r="D648" s="383"/>
      <c r="E648" s="383"/>
      <c r="F648" s="383"/>
      <c r="G648" s="383"/>
      <c r="H648" s="383"/>
      <c r="I648" s="383"/>
      <c r="J648" s="383"/>
      <c r="K648" s="383"/>
      <c r="L648" s="383"/>
      <c r="M648" s="383"/>
      <c r="N648" s="383"/>
      <c r="O648" s="383"/>
      <c r="P648" s="383"/>
      <c r="Q648" s="383"/>
      <c r="R648" s="383"/>
      <c r="S648" s="383"/>
      <c r="T648" s="383"/>
      <c r="U648" s="383"/>
      <c r="V648" s="383"/>
      <c r="W648" s="383"/>
      <c r="X648" s="383"/>
      <c r="Y648" s="383"/>
      <c r="Z648" s="383"/>
      <c r="AA648" s="383"/>
      <c r="AB648" s="383"/>
    </row>
    <row r="649" ht="16.5" customHeight="1">
      <c r="A649" s="465"/>
      <c r="B649" s="465"/>
      <c r="C649" s="383"/>
      <c r="D649" s="383"/>
      <c r="E649" s="383"/>
      <c r="F649" s="383"/>
      <c r="G649" s="383"/>
      <c r="H649" s="383"/>
      <c r="I649" s="383"/>
      <c r="J649" s="383"/>
      <c r="K649" s="383"/>
      <c r="L649" s="383"/>
      <c r="M649" s="383"/>
      <c r="N649" s="383"/>
      <c r="O649" s="383"/>
      <c r="P649" s="383"/>
      <c r="Q649" s="383"/>
      <c r="R649" s="383"/>
      <c r="S649" s="383"/>
      <c r="T649" s="383"/>
      <c r="U649" s="383"/>
      <c r="V649" s="383"/>
      <c r="W649" s="383"/>
      <c r="X649" s="383"/>
      <c r="Y649" s="383"/>
      <c r="Z649" s="383"/>
      <c r="AA649" s="383"/>
      <c r="AB649" s="383"/>
    </row>
    <row r="650" ht="16.5" customHeight="1">
      <c r="A650" s="465"/>
      <c r="B650" s="465"/>
      <c r="C650" s="383"/>
      <c r="D650" s="383"/>
      <c r="E650" s="383"/>
      <c r="F650" s="383"/>
      <c r="G650" s="383"/>
      <c r="H650" s="383"/>
      <c r="I650" s="383"/>
      <c r="J650" s="383"/>
      <c r="K650" s="383"/>
      <c r="L650" s="383"/>
      <c r="M650" s="383"/>
      <c r="N650" s="383"/>
      <c r="O650" s="383"/>
      <c r="P650" s="383"/>
      <c r="Q650" s="383"/>
      <c r="R650" s="383"/>
      <c r="S650" s="383"/>
      <c r="T650" s="383"/>
      <c r="U650" s="383"/>
      <c r="V650" s="383"/>
      <c r="W650" s="383"/>
      <c r="X650" s="383"/>
      <c r="Y650" s="383"/>
      <c r="Z650" s="383"/>
      <c r="AA650" s="383"/>
      <c r="AB650" s="383"/>
    </row>
    <row r="651" ht="16.5" customHeight="1">
      <c r="A651" s="465"/>
      <c r="B651" s="465"/>
      <c r="C651" s="383"/>
      <c r="D651" s="383"/>
      <c r="E651" s="383"/>
      <c r="F651" s="383"/>
      <c r="G651" s="383"/>
      <c r="H651" s="383"/>
      <c r="I651" s="383"/>
      <c r="J651" s="383"/>
      <c r="K651" s="383"/>
      <c r="L651" s="383"/>
      <c r="M651" s="383"/>
      <c r="N651" s="383"/>
      <c r="O651" s="383"/>
      <c r="P651" s="383"/>
      <c r="Q651" s="383"/>
      <c r="R651" s="383"/>
      <c r="S651" s="383"/>
      <c r="T651" s="383"/>
      <c r="U651" s="383"/>
      <c r="V651" s="383"/>
      <c r="W651" s="383"/>
      <c r="X651" s="383"/>
      <c r="Y651" s="383"/>
      <c r="Z651" s="383"/>
      <c r="AA651" s="383"/>
      <c r="AB651" s="383"/>
    </row>
    <row r="652" ht="16.5" customHeight="1">
      <c r="A652" s="465"/>
      <c r="B652" s="465"/>
      <c r="C652" s="383"/>
      <c r="D652" s="383"/>
      <c r="E652" s="383"/>
      <c r="F652" s="383"/>
      <c r="G652" s="383"/>
      <c r="H652" s="383"/>
      <c r="I652" s="383"/>
      <c r="J652" s="383"/>
      <c r="K652" s="383"/>
      <c r="L652" s="383"/>
      <c r="M652" s="383"/>
      <c r="N652" s="383"/>
      <c r="O652" s="383"/>
      <c r="P652" s="383"/>
      <c r="Q652" s="383"/>
      <c r="R652" s="383"/>
      <c r="S652" s="383"/>
      <c r="T652" s="383"/>
      <c r="U652" s="383"/>
      <c r="V652" s="383"/>
      <c r="W652" s="383"/>
      <c r="X652" s="383"/>
      <c r="Y652" s="383"/>
      <c r="Z652" s="383"/>
      <c r="AA652" s="383"/>
      <c r="AB652" s="383"/>
    </row>
    <row r="653" ht="16.5" customHeight="1">
      <c r="A653" s="465"/>
      <c r="B653" s="465"/>
      <c r="C653" s="383"/>
      <c r="D653" s="383"/>
      <c r="E653" s="383"/>
      <c r="F653" s="383"/>
      <c r="G653" s="383"/>
      <c r="H653" s="383"/>
      <c r="I653" s="383"/>
      <c r="J653" s="383"/>
      <c r="K653" s="383"/>
      <c r="L653" s="383"/>
      <c r="M653" s="383"/>
      <c r="N653" s="383"/>
      <c r="O653" s="383"/>
      <c r="P653" s="383"/>
      <c r="Q653" s="383"/>
      <c r="R653" s="383"/>
      <c r="S653" s="383"/>
      <c r="T653" s="383"/>
      <c r="U653" s="383"/>
      <c r="V653" s="383"/>
      <c r="W653" s="383"/>
      <c r="X653" s="383"/>
      <c r="Y653" s="383"/>
      <c r="Z653" s="383"/>
      <c r="AA653" s="383"/>
      <c r="AB653" s="383"/>
    </row>
    <row r="654" ht="16.5" customHeight="1">
      <c r="A654" s="465"/>
      <c r="B654" s="465"/>
      <c r="C654" s="383"/>
      <c r="D654" s="383"/>
      <c r="E654" s="383"/>
      <c r="F654" s="383"/>
      <c r="G654" s="383"/>
      <c r="H654" s="383"/>
      <c r="I654" s="383"/>
      <c r="J654" s="383"/>
      <c r="K654" s="383"/>
      <c r="L654" s="383"/>
      <c r="M654" s="383"/>
      <c r="N654" s="383"/>
      <c r="O654" s="383"/>
      <c r="P654" s="383"/>
      <c r="Q654" s="383"/>
      <c r="R654" s="383"/>
      <c r="S654" s="383"/>
      <c r="T654" s="383"/>
      <c r="U654" s="383"/>
      <c r="V654" s="383"/>
      <c r="W654" s="383"/>
      <c r="X654" s="383"/>
      <c r="Y654" s="383"/>
      <c r="Z654" s="383"/>
      <c r="AA654" s="383"/>
      <c r="AB654" s="383"/>
    </row>
    <row r="655" ht="16.5" customHeight="1">
      <c r="A655" s="465"/>
      <c r="B655" s="465"/>
      <c r="C655" s="383"/>
      <c r="D655" s="383"/>
      <c r="E655" s="383"/>
      <c r="F655" s="383"/>
      <c r="G655" s="383"/>
      <c r="H655" s="383"/>
      <c r="I655" s="383"/>
      <c r="J655" s="383"/>
      <c r="K655" s="383"/>
      <c r="L655" s="383"/>
      <c r="M655" s="383"/>
      <c r="N655" s="383"/>
      <c r="O655" s="383"/>
      <c r="P655" s="383"/>
      <c r="Q655" s="383"/>
      <c r="R655" s="383"/>
      <c r="S655" s="383"/>
      <c r="T655" s="383"/>
      <c r="U655" s="383"/>
      <c r="V655" s="383"/>
      <c r="W655" s="383"/>
      <c r="X655" s="383"/>
      <c r="Y655" s="383"/>
      <c r="Z655" s="383"/>
      <c r="AA655" s="383"/>
      <c r="AB655" s="383"/>
    </row>
    <row r="656" ht="16.5" customHeight="1">
      <c r="A656" s="465"/>
      <c r="B656" s="465"/>
      <c r="C656" s="383"/>
      <c r="D656" s="383"/>
      <c r="E656" s="383"/>
      <c r="F656" s="383"/>
      <c r="G656" s="383"/>
      <c r="H656" s="383"/>
      <c r="I656" s="383"/>
      <c r="J656" s="383"/>
      <c r="K656" s="383"/>
      <c r="L656" s="383"/>
      <c r="M656" s="383"/>
      <c r="N656" s="383"/>
      <c r="O656" s="383"/>
      <c r="P656" s="383"/>
      <c r="Q656" s="383"/>
      <c r="R656" s="383"/>
      <c r="S656" s="383"/>
      <c r="T656" s="383"/>
      <c r="U656" s="383"/>
      <c r="V656" s="383"/>
      <c r="W656" s="383"/>
      <c r="X656" s="383"/>
      <c r="Y656" s="383"/>
      <c r="Z656" s="383"/>
      <c r="AA656" s="383"/>
      <c r="AB656" s="383"/>
    </row>
    <row r="657" ht="16.5" customHeight="1">
      <c r="A657" s="465"/>
      <c r="B657" s="465"/>
      <c r="C657" s="383"/>
      <c r="D657" s="383"/>
      <c r="E657" s="383"/>
      <c r="F657" s="383"/>
      <c r="G657" s="383"/>
      <c r="H657" s="383"/>
      <c r="I657" s="383"/>
      <c r="J657" s="383"/>
      <c r="K657" s="383"/>
      <c r="L657" s="383"/>
      <c r="M657" s="383"/>
      <c r="N657" s="383"/>
      <c r="O657" s="383"/>
      <c r="P657" s="383"/>
      <c r="Q657" s="383"/>
      <c r="R657" s="383"/>
      <c r="S657" s="383"/>
      <c r="T657" s="383"/>
      <c r="U657" s="383"/>
      <c r="V657" s="383"/>
      <c r="W657" s="383"/>
      <c r="X657" s="383"/>
      <c r="Y657" s="383"/>
      <c r="Z657" s="383"/>
      <c r="AA657" s="383"/>
      <c r="AB657" s="383"/>
    </row>
    <row r="658" ht="16.5" customHeight="1">
      <c r="A658" s="465"/>
      <c r="B658" s="465"/>
      <c r="C658" s="383"/>
      <c r="D658" s="383"/>
      <c r="E658" s="383"/>
      <c r="F658" s="383"/>
      <c r="G658" s="383"/>
      <c r="H658" s="383"/>
      <c r="I658" s="383"/>
      <c r="J658" s="383"/>
      <c r="K658" s="383"/>
      <c r="L658" s="383"/>
      <c r="M658" s="383"/>
      <c r="N658" s="383"/>
      <c r="O658" s="383"/>
      <c r="P658" s="383"/>
      <c r="Q658" s="383"/>
      <c r="R658" s="383"/>
      <c r="S658" s="383"/>
      <c r="T658" s="383"/>
      <c r="U658" s="383"/>
      <c r="V658" s="383"/>
      <c r="W658" s="383"/>
      <c r="X658" s="383"/>
      <c r="Y658" s="383"/>
      <c r="Z658" s="383"/>
      <c r="AA658" s="383"/>
      <c r="AB658" s="383"/>
    </row>
    <row r="659" ht="16.5" customHeight="1">
      <c r="A659" s="465"/>
      <c r="B659" s="465"/>
      <c r="C659" s="383"/>
      <c r="D659" s="383"/>
      <c r="E659" s="383"/>
      <c r="F659" s="383"/>
      <c r="G659" s="383"/>
      <c r="H659" s="383"/>
      <c r="I659" s="383"/>
      <c r="J659" s="383"/>
      <c r="K659" s="383"/>
      <c r="L659" s="383"/>
      <c r="M659" s="383"/>
      <c r="N659" s="383"/>
      <c r="O659" s="383"/>
      <c r="P659" s="383"/>
      <c r="Q659" s="383"/>
      <c r="R659" s="383"/>
      <c r="S659" s="383"/>
      <c r="T659" s="383"/>
      <c r="U659" s="383"/>
      <c r="V659" s="383"/>
      <c r="W659" s="383"/>
      <c r="X659" s="383"/>
      <c r="Y659" s="383"/>
      <c r="Z659" s="383"/>
      <c r="AA659" s="383"/>
      <c r="AB659" s="383"/>
    </row>
    <row r="660" ht="16.5" customHeight="1">
      <c r="A660" s="465"/>
      <c r="B660" s="465"/>
      <c r="C660" s="383"/>
      <c r="D660" s="383"/>
      <c r="E660" s="383"/>
      <c r="F660" s="383"/>
      <c r="G660" s="383"/>
      <c r="H660" s="383"/>
      <c r="I660" s="383"/>
      <c r="J660" s="383"/>
      <c r="K660" s="383"/>
      <c r="L660" s="383"/>
      <c r="M660" s="383"/>
      <c r="N660" s="383"/>
      <c r="O660" s="383"/>
      <c r="P660" s="383"/>
      <c r="Q660" s="383"/>
      <c r="R660" s="383"/>
      <c r="S660" s="383"/>
      <c r="T660" s="383"/>
      <c r="U660" s="383"/>
      <c r="V660" s="383"/>
      <c r="W660" s="383"/>
      <c r="X660" s="383"/>
      <c r="Y660" s="383"/>
      <c r="Z660" s="383"/>
      <c r="AA660" s="383"/>
      <c r="AB660" s="383"/>
    </row>
    <row r="661" ht="16.5" customHeight="1">
      <c r="A661" s="465"/>
      <c r="B661" s="465"/>
      <c r="C661" s="383"/>
      <c r="D661" s="383"/>
      <c r="E661" s="383"/>
      <c r="F661" s="383"/>
      <c r="G661" s="383"/>
      <c r="H661" s="383"/>
      <c r="I661" s="383"/>
      <c r="J661" s="383"/>
      <c r="K661" s="383"/>
      <c r="L661" s="383"/>
      <c r="M661" s="383"/>
      <c r="N661" s="383"/>
      <c r="O661" s="383"/>
      <c r="P661" s="383"/>
      <c r="Q661" s="383"/>
      <c r="R661" s="383"/>
      <c r="S661" s="383"/>
      <c r="T661" s="383"/>
      <c r="U661" s="383"/>
      <c r="V661" s="383"/>
      <c r="W661" s="383"/>
      <c r="X661" s="383"/>
      <c r="Y661" s="383"/>
      <c r="Z661" s="383"/>
      <c r="AA661" s="383"/>
      <c r="AB661" s="383"/>
    </row>
    <row r="662" ht="16.5" customHeight="1">
      <c r="A662" s="465"/>
      <c r="B662" s="465"/>
      <c r="C662" s="383"/>
      <c r="D662" s="383"/>
      <c r="E662" s="383"/>
      <c r="F662" s="383"/>
      <c r="G662" s="383"/>
      <c r="H662" s="383"/>
      <c r="I662" s="383"/>
      <c r="J662" s="383"/>
      <c r="K662" s="383"/>
      <c r="L662" s="383"/>
      <c r="M662" s="383"/>
      <c r="N662" s="383"/>
      <c r="O662" s="383"/>
      <c r="P662" s="383"/>
      <c r="Q662" s="383"/>
      <c r="R662" s="383"/>
      <c r="S662" s="383"/>
      <c r="T662" s="383"/>
      <c r="U662" s="383"/>
      <c r="V662" s="383"/>
      <c r="W662" s="383"/>
      <c r="X662" s="383"/>
      <c r="Y662" s="383"/>
      <c r="Z662" s="383"/>
      <c r="AA662" s="383"/>
      <c r="AB662" s="383"/>
    </row>
    <row r="663" ht="16.5" customHeight="1">
      <c r="A663" s="465"/>
      <c r="B663" s="465"/>
      <c r="C663" s="383"/>
      <c r="D663" s="383"/>
      <c r="E663" s="383"/>
      <c r="F663" s="383"/>
      <c r="G663" s="383"/>
      <c r="H663" s="383"/>
      <c r="I663" s="383"/>
      <c r="J663" s="383"/>
      <c r="K663" s="383"/>
      <c r="L663" s="383"/>
      <c r="M663" s="383"/>
      <c r="N663" s="383"/>
      <c r="O663" s="383"/>
      <c r="P663" s="383"/>
      <c r="Q663" s="383"/>
      <c r="R663" s="383"/>
      <c r="S663" s="383"/>
      <c r="T663" s="383"/>
      <c r="U663" s="383"/>
      <c r="V663" s="383"/>
      <c r="W663" s="383"/>
      <c r="X663" s="383"/>
      <c r="Y663" s="383"/>
      <c r="Z663" s="383"/>
      <c r="AA663" s="383"/>
      <c r="AB663" s="383"/>
    </row>
    <row r="664" ht="16.5" customHeight="1">
      <c r="A664" s="465"/>
      <c r="B664" s="465"/>
      <c r="C664" s="383"/>
      <c r="D664" s="383"/>
      <c r="E664" s="383"/>
      <c r="F664" s="383"/>
      <c r="G664" s="383"/>
      <c r="H664" s="383"/>
      <c r="I664" s="383"/>
      <c r="J664" s="383"/>
      <c r="K664" s="383"/>
      <c r="L664" s="383"/>
      <c r="M664" s="383"/>
      <c r="N664" s="383"/>
      <c r="O664" s="383"/>
      <c r="P664" s="383"/>
      <c r="Q664" s="383"/>
      <c r="R664" s="383"/>
      <c r="S664" s="383"/>
      <c r="T664" s="383"/>
      <c r="U664" s="383"/>
      <c r="V664" s="383"/>
      <c r="W664" s="383"/>
      <c r="X664" s="383"/>
      <c r="Y664" s="383"/>
      <c r="Z664" s="383"/>
      <c r="AA664" s="383"/>
      <c r="AB664" s="383"/>
    </row>
    <row r="665" ht="16.5" customHeight="1">
      <c r="A665" s="465"/>
      <c r="B665" s="465"/>
      <c r="C665" s="383"/>
      <c r="D665" s="383"/>
      <c r="E665" s="383"/>
      <c r="F665" s="383"/>
      <c r="G665" s="383"/>
      <c r="H665" s="383"/>
      <c r="I665" s="383"/>
      <c r="J665" s="383"/>
      <c r="K665" s="383"/>
      <c r="L665" s="383"/>
      <c r="M665" s="383"/>
      <c r="N665" s="383"/>
      <c r="O665" s="383"/>
      <c r="P665" s="383"/>
      <c r="Q665" s="383"/>
      <c r="R665" s="383"/>
      <c r="S665" s="383"/>
      <c r="T665" s="383"/>
      <c r="U665" s="383"/>
      <c r="V665" s="383"/>
      <c r="W665" s="383"/>
      <c r="X665" s="383"/>
      <c r="Y665" s="383"/>
      <c r="Z665" s="383"/>
      <c r="AA665" s="383"/>
      <c r="AB665" s="383"/>
    </row>
    <row r="666" ht="16.5" customHeight="1">
      <c r="A666" s="465"/>
      <c r="B666" s="465"/>
      <c r="C666" s="383"/>
      <c r="D666" s="383"/>
      <c r="E666" s="383"/>
      <c r="F666" s="383"/>
      <c r="G666" s="383"/>
      <c r="H666" s="383"/>
      <c r="I666" s="383"/>
      <c r="J666" s="383"/>
      <c r="K666" s="383"/>
      <c r="L666" s="383"/>
      <c r="M666" s="383"/>
      <c r="N666" s="383"/>
      <c r="O666" s="383"/>
      <c r="P666" s="383"/>
      <c r="Q666" s="383"/>
      <c r="R666" s="383"/>
      <c r="S666" s="383"/>
      <c r="T666" s="383"/>
      <c r="U666" s="383"/>
      <c r="V666" s="383"/>
      <c r="W666" s="383"/>
      <c r="X666" s="383"/>
      <c r="Y666" s="383"/>
      <c r="Z666" s="383"/>
      <c r="AA666" s="383"/>
      <c r="AB666" s="383"/>
    </row>
    <row r="667" ht="16.5" customHeight="1">
      <c r="A667" s="465"/>
      <c r="B667" s="465"/>
      <c r="C667" s="383"/>
      <c r="D667" s="383"/>
      <c r="E667" s="383"/>
      <c r="F667" s="383"/>
      <c r="G667" s="383"/>
      <c r="H667" s="383"/>
      <c r="I667" s="383"/>
      <c r="J667" s="383"/>
      <c r="K667" s="383"/>
      <c r="L667" s="383"/>
      <c r="M667" s="383"/>
      <c r="N667" s="383"/>
      <c r="O667" s="383"/>
      <c r="P667" s="383"/>
      <c r="Q667" s="383"/>
      <c r="R667" s="383"/>
      <c r="S667" s="383"/>
      <c r="T667" s="383"/>
      <c r="U667" s="383"/>
      <c r="V667" s="383"/>
      <c r="W667" s="383"/>
      <c r="X667" s="383"/>
      <c r="Y667" s="383"/>
      <c r="Z667" s="383"/>
      <c r="AA667" s="383"/>
      <c r="AB667" s="383"/>
    </row>
    <row r="668" ht="16.5" customHeight="1">
      <c r="A668" s="465"/>
      <c r="B668" s="465"/>
      <c r="C668" s="383"/>
      <c r="D668" s="383"/>
      <c r="E668" s="383"/>
      <c r="F668" s="383"/>
      <c r="G668" s="383"/>
      <c r="H668" s="383"/>
      <c r="I668" s="383"/>
      <c r="J668" s="383"/>
      <c r="K668" s="383"/>
      <c r="L668" s="383"/>
      <c r="M668" s="383"/>
      <c r="N668" s="383"/>
      <c r="O668" s="383"/>
      <c r="P668" s="383"/>
      <c r="Q668" s="383"/>
      <c r="R668" s="383"/>
      <c r="S668" s="383"/>
      <c r="T668" s="383"/>
      <c r="U668" s="383"/>
      <c r="V668" s="383"/>
      <c r="W668" s="383"/>
      <c r="X668" s="383"/>
      <c r="Y668" s="383"/>
      <c r="Z668" s="383"/>
      <c r="AA668" s="383"/>
      <c r="AB668" s="383"/>
    </row>
    <row r="669" ht="16.5" customHeight="1">
      <c r="A669" s="465"/>
      <c r="B669" s="465"/>
      <c r="C669" s="383"/>
      <c r="D669" s="383"/>
      <c r="E669" s="383"/>
      <c r="F669" s="383"/>
      <c r="G669" s="383"/>
      <c r="H669" s="383"/>
      <c r="I669" s="383"/>
      <c r="J669" s="383"/>
      <c r="K669" s="383"/>
      <c r="L669" s="383"/>
      <c r="M669" s="383"/>
      <c r="N669" s="383"/>
      <c r="O669" s="383"/>
      <c r="P669" s="383"/>
      <c r="Q669" s="383"/>
      <c r="R669" s="383"/>
      <c r="S669" s="383"/>
      <c r="T669" s="383"/>
      <c r="U669" s="383"/>
      <c r="V669" s="383"/>
      <c r="W669" s="383"/>
      <c r="X669" s="383"/>
      <c r="Y669" s="383"/>
      <c r="Z669" s="383"/>
      <c r="AA669" s="383"/>
      <c r="AB669" s="383"/>
    </row>
    <row r="670" ht="16.5" customHeight="1">
      <c r="A670" s="465"/>
      <c r="B670" s="465"/>
      <c r="C670" s="383"/>
      <c r="D670" s="383"/>
      <c r="E670" s="383"/>
      <c r="F670" s="383"/>
      <c r="G670" s="383"/>
      <c r="H670" s="383"/>
      <c r="I670" s="383"/>
      <c r="J670" s="383"/>
      <c r="K670" s="383"/>
      <c r="L670" s="383"/>
      <c r="M670" s="383"/>
      <c r="N670" s="383"/>
      <c r="O670" s="383"/>
      <c r="P670" s="383"/>
      <c r="Q670" s="383"/>
      <c r="R670" s="383"/>
      <c r="S670" s="383"/>
      <c r="T670" s="383"/>
      <c r="U670" s="383"/>
      <c r="V670" s="383"/>
      <c r="W670" s="383"/>
      <c r="X670" s="383"/>
      <c r="Y670" s="383"/>
      <c r="Z670" s="383"/>
      <c r="AA670" s="383"/>
      <c r="AB670" s="383"/>
    </row>
    <row r="671" ht="16.5" customHeight="1">
      <c r="A671" s="465"/>
      <c r="B671" s="465"/>
      <c r="C671" s="383"/>
      <c r="D671" s="383"/>
      <c r="E671" s="383"/>
      <c r="F671" s="383"/>
      <c r="G671" s="383"/>
      <c r="H671" s="383"/>
      <c r="I671" s="383"/>
      <c r="J671" s="383"/>
      <c r="K671" s="383"/>
      <c r="L671" s="383"/>
      <c r="M671" s="383"/>
      <c r="N671" s="383"/>
      <c r="O671" s="383"/>
      <c r="P671" s="383"/>
      <c r="Q671" s="383"/>
      <c r="R671" s="383"/>
      <c r="S671" s="383"/>
      <c r="T671" s="383"/>
      <c r="U671" s="383"/>
      <c r="V671" s="383"/>
      <c r="W671" s="383"/>
      <c r="X671" s="383"/>
      <c r="Y671" s="383"/>
      <c r="Z671" s="383"/>
      <c r="AA671" s="383"/>
      <c r="AB671" s="383"/>
    </row>
    <row r="672" ht="16.5" customHeight="1">
      <c r="A672" s="465"/>
      <c r="B672" s="465"/>
      <c r="C672" s="383"/>
      <c r="D672" s="383"/>
      <c r="E672" s="383"/>
      <c r="F672" s="383"/>
      <c r="G672" s="383"/>
      <c r="H672" s="383"/>
      <c r="I672" s="383"/>
      <c r="J672" s="383"/>
      <c r="K672" s="383"/>
      <c r="L672" s="383"/>
      <c r="M672" s="383"/>
      <c r="N672" s="383"/>
      <c r="O672" s="383"/>
      <c r="P672" s="383"/>
      <c r="Q672" s="383"/>
      <c r="R672" s="383"/>
      <c r="S672" s="383"/>
      <c r="T672" s="383"/>
      <c r="U672" s="383"/>
      <c r="V672" s="383"/>
      <c r="W672" s="383"/>
      <c r="X672" s="383"/>
      <c r="Y672" s="383"/>
      <c r="Z672" s="383"/>
      <c r="AA672" s="383"/>
      <c r="AB672" s="383"/>
    </row>
    <row r="673" ht="16.5" customHeight="1">
      <c r="A673" s="465"/>
      <c r="B673" s="465"/>
      <c r="C673" s="383"/>
      <c r="D673" s="383"/>
      <c r="E673" s="383"/>
      <c r="F673" s="383"/>
      <c r="G673" s="383"/>
      <c r="H673" s="383"/>
      <c r="I673" s="383"/>
      <c r="J673" s="383"/>
      <c r="K673" s="383"/>
      <c r="L673" s="383"/>
      <c r="M673" s="383"/>
      <c r="N673" s="383"/>
      <c r="O673" s="383"/>
      <c r="P673" s="383"/>
      <c r="Q673" s="383"/>
      <c r="R673" s="383"/>
      <c r="S673" s="383"/>
      <c r="T673" s="383"/>
      <c r="U673" s="383"/>
      <c r="V673" s="383"/>
      <c r="W673" s="383"/>
      <c r="X673" s="383"/>
      <c r="Y673" s="383"/>
      <c r="Z673" s="383"/>
      <c r="AA673" s="383"/>
      <c r="AB673" s="383"/>
    </row>
    <row r="674" ht="16.5" customHeight="1">
      <c r="A674" s="465"/>
      <c r="B674" s="465"/>
      <c r="C674" s="383"/>
      <c r="D674" s="383"/>
      <c r="E674" s="383"/>
      <c r="F674" s="383"/>
      <c r="G674" s="383"/>
      <c r="H674" s="383"/>
      <c r="I674" s="383"/>
      <c r="J674" s="383"/>
      <c r="K674" s="383"/>
      <c r="L674" s="383"/>
      <c r="M674" s="383"/>
      <c r="N674" s="383"/>
      <c r="O674" s="383"/>
      <c r="P674" s="383"/>
      <c r="Q674" s="383"/>
      <c r="R674" s="383"/>
      <c r="S674" s="383"/>
      <c r="T674" s="383"/>
      <c r="U674" s="383"/>
      <c r="V674" s="383"/>
      <c r="W674" s="383"/>
      <c r="X674" s="383"/>
      <c r="Y674" s="383"/>
      <c r="Z674" s="383"/>
      <c r="AA674" s="383"/>
      <c r="AB674" s="383"/>
    </row>
    <row r="675" ht="16.5" customHeight="1">
      <c r="A675" s="465"/>
      <c r="B675" s="465"/>
      <c r="C675" s="383"/>
      <c r="D675" s="383"/>
      <c r="E675" s="383"/>
      <c r="F675" s="383"/>
      <c r="G675" s="383"/>
      <c r="H675" s="383"/>
      <c r="I675" s="383"/>
      <c r="J675" s="383"/>
      <c r="K675" s="383"/>
      <c r="L675" s="383"/>
      <c r="M675" s="383"/>
      <c r="N675" s="383"/>
      <c r="O675" s="383"/>
      <c r="P675" s="383"/>
      <c r="Q675" s="383"/>
      <c r="R675" s="383"/>
      <c r="S675" s="383"/>
      <c r="T675" s="383"/>
      <c r="U675" s="383"/>
      <c r="V675" s="383"/>
      <c r="W675" s="383"/>
      <c r="X675" s="383"/>
      <c r="Y675" s="383"/>
      <c r="Z675" s="383"/>
      <c r="AA675" s="383"/>
      <c r="AB675" s="383"/>
    </row>
    <row r="676" ht="16.5" customHeight="1">
      <c r="A676" s="465"/>
      <c r="B676" s="465"/>
      <c r="C676" s="383"/>
      <c r="D676" s="383"/>
      <c r="E676" s="383"/>
      <c r="F676" s="383"/>
      <c r="G676" s="383"/>
      <c r="H676" s="383"/>
      <c r="I676" s="383"/>
      <c r="J676" s="383"/>
      <c r="K676" s="383"/>
      <c r="L676" s="383"/>
      <c r="M676" s="383"/>
      <c r="N676" s="383"/>
      <c r="O676" s="383"/>
      <c r="P676" s="383"/>
      <c r="Q676" s="383"/>
      <c r="R676" s="383"/>
      <c r="S676" s="383"/>
      <c r="T676" s="383"/>
      <c r="U676" s="383"/>
      <c r="V676" s="383"/>
      <c r="W676" s="383"/>
      <c r="X676" s="383"/>
      <c r="Y676" s="383"/>
      <c r="Z676" s="383"/>
      <c r="AA676" s="383"/>
      <c r="AB676" s="383"/>
    </row>
    <row r="677" ht="16.5" customHeight="1">
      <c r="A677" s="465"/>
      <c r="B677" s="465"/>
      <c r="C677" s="383"/>
      <c r="D677" s="383"/>
      <c r="E677" s="383"/>
      <c r="F677" s="383"/>
      <c r="G677" s="383"/>
      <c r="H677" s="383"/>
      <c r="I677" s="383"/>
      <c r="J677" s="383"/>
      <c r="K677" s="383"/>
      <c r="L677" s="383"/>
      <c r="M677" s="383"/>
      <c r="N677" s="383"/>
      <c r="O677" s="383"/>
      <c r="P677" s="383"/>
      <c r="Q677" s="383"/>
      <c r="R677" s="383"/>
      <c r="S677" s="383"/>
      <c r="T677" s="383"/>
      <c r="U677" s="383"/>
      <c r="V677" s="383"/>
      <c r="W677" s="383"/>
      <c r="X677" s="383"/>
      <c r="Y677" s="383"/>
      <c r="Z677" s="383"/>
      <c r="AA677" s="383"/>
      <c r="AB677" s="383"/>
    </row>
    <row r="678" ht="16.5" customHeight="1">
      <c r="A678" s="465"/>
      <c r="B678" s="465"/>
      <c r="C678" s="383"/>
      <c r="D678" s="383"/>
      <c r="E678" s="383"/>
      <c r="F678" s="383"/>
      <c r="G678" s="383"/>
      <c r="H678" s="383"/>
      <c r="I678" s="383"/>
      <c r="J678" s="383"/>
      <c r="K678" s="383"/>
      <c r="L678" s="383"/>
      <c r="M678" s="383"/>
      <c r="N678" s="383"/>
      <c r="O678" s="383"/>
      <c r="P678" s="383"/>
      <c r="Q678" s="383"/>
      <c r="R678" s="383"/>
      <c r="S678" s="383"/>
      <c r="T678" s="383"/>
      <c r="U678" s="383"/>
      <c r="V678" s="383"/>
      <c r="W678" s="383"/>
      <c r="X678" s="383"/>
      <c r="Y678" s="383"/>
      <c r="Z678" s="383"/>
      <c r="AA678" s="383"/>
      <c r="AB678" s="383"/>
    </row>
    <row r="679" ht="16.5" customHeight="1">
      <c r="A679" s="465"/>
      <c r="B679" s="465"/>
      <c r="C679" s="383"/>
      <c r="D679" s="383"/>
      <c r="E679" s="383"/>
      <c r="F679" s="383"/>
      <c r="G679" s="383"/>
      <c r="H679" s="383"/>
      <c r="I679" s="383"/>
      <c r="J679" s="383"/>
      <c r="K679" s="383"/>
      <c r="L679" s="383"/>
      <c r="M679" s="383"/>
      <c r="N679" s="383"/>
      <c r="O679" s="383"/>
      <c r="P679" s="383"/>
      <c r="Q679" s="383"/>
      <c r="R679" s="383"/>
      <c r="S679" s="383"/>
      <c r="T679" s="383"/>
      <c r="U679" s="383"/>
      <c r="V679" s="383"/>
      <c r="W679" s="383"/>
      <c r="X679" s="383"/>
      <c r="Y679" s="383"/>
      <c r="Z679" s="383"/>
      <c r="AA679" s="383"/>
      <c r="AB679" s="383"/>
    </row>
    <row r="680" ht="16.5" customHeight="1">
      <c r="A680" s="465"/>
      <c r="B680" s="465"/>
      <c r="C680" s="383"/>
      <c r="D680" s="383"/>
      <c r="E680" s="383"/>
      <c r="F680" s="383"/>
      <c r="G680" s="383"/>
      <c r="H680" s="383"/>
      <c r="I680" s="383"/>
      <c r="J680" s="383"/>
      <c r="K680" s="383"/>
      <c r="L680" s="383"/>
      <c r="M680" s="383"/>
      <c r="N680" s="383"/>
      <c r="O680" s="383"/>
      <c r="P680" s="383"/>
      <c r="Q680" s="383"/>
      <c r="R680" s="383"/>
      <c r="S680" s="383"/>
      <c r="T680" s="383"/>
      <c r="U680" s="383"/>
      <c r="V680" s="383"/>
      <c r="W680" s="383"/>
      <c r="X680" s="383"/>
      <c r="Y680" s="383"/>
      <c r="Z680" s="383"/>
      <c r="AA680" s="383"/>
      <c r="AB680" s="383"/>
    </row>
    <row r="681" ht="16.5" customHeight="1">
      <c r="A681" s="465"/>
      <c r="B681" s="465"/>
      <c r="C681" s="383"/>
      <c r="D681" s="383"/>
      <c r="E681" s="383"/>
      <c r="F681" s="383"/>
      <c r="G681" s="383"/>
      <c r="H681" s="383"/>
      <c r="I681" s="383"/>
      <c r="J681" s="383"/>
      <c r="K681" s="383"/>
      <c r="L681" s="383"/>
      <c r="M681" s="383"/>
      <c r="N681" s="383"/>
      <c r="O681" s="383"/>
      <c r="P681" s="383"/>
      <c r="Q681" s="383"/>
      <c r="R681" s="383"/>
      <c r="S681" s="383"/>
      <c r="T681" s="383"/>
      <c r="U681" s="383"/>
      <c r="V681" s="383"/>
      <c r="W681" s="383"/>
      <c r="X681" s="383"/>
      <c r="Y681" s="383"/>
      <c r="Z681" s="383"/>
      <c r="AA681" s="383"/>
      <c r="AB681" s="383"/>
    </row>
    <row r="682" ht="16.5" customHeight="1">
      <c r="A682" s="465"/>
      <c r="B682" s="465"/>
      <c r="C682" s="383"/>
      <c r="D682" s="383"/>
      <c r="E682" s="383"/>
      <c r="F682" s="383"/>
      <c r="G682" s="383"/>
      <c r="H682" s="383"/>
      <c r="I682" s="383"/>
      <c r="J682" s="383"/>
      <c r="K682" s="383"/>
      <c r="L682" s="383"/>
      <c r="M682" s="383"/>
      <c r="N682" s="383"/>
      <c r="O682" s="383"/>
      <c r="P682" s="383"/>
      <c r="Q682" s="383"/>
      <c r="R682" s="383"/>
      <c r="S682" s="383"/>
      <c r="T682" s="383"/>
      <c r="U682" s="383"/>
      <c r="V682" s="383"/>
      <c r="W682" s="383"/>
      <c r="X682" s="383"/>
      <c r="Y682" s="383"/>
      <c r="Z682" s="383"/>
      <c r="AA682" s="383"/>
      <c r="AB682" s="383"/>
    </row>
    <row r="683" ht="16.5" customHeight="1">
      <c r="A683" s="465"/>
      <c r="B683" s="465"/>
      <c r="C683" s="383"/>
      <c r="D683" s="383"/>
      <c r="E683" s="383"/>
      <c r="F683" s="383"/>
      <c r="G683" s="383"/>
      <c r="H683" s="383"/>
      <c r="I683" s="383"/>
      <c r="J683" s="383"/>
      <c r="K683" s="383"/>
      <c r="L683" s="383"/>
      <c r="M683" s="383"/>
      <c r="N683" s="383"/>
      <c r="O683" s="383"/>
      <c r="P683" s="383"/>
      <c r="Q683" s="383"/>
      <c r="R683" s="383"/>
      <c r="S683" s="383"/>
      <c r="T683" s="383"/>
      <c r="U683" s="383"/>
      <c r="V683" s="383"/>
      <c r="W683" s="383"/>
      <c r="X683" s="383"/>
      <c r="Y683" s="383"/>
      <c r="Z683" s="383"/>
      <c r="AA683" s="383"/>
      <c r="AB683" s="383"/>
    </row>
    <row r="684" ht="16.5" customHeight="1">
      <c r="A684" s="465"/>
      <c r="B684" s="465"/>
      <c r="C684" s="383"/>
      <c r="D684" s="383"/>
      <c r="E684" s="383"/>
      <c r="F684" s="383"/>
      <c r="G684" s="383"/>
      <c r="H684" s="383"/>
      <c r="I684" s="383"/>
      <c r="J684" s="383"/>
      <c r="K684" s="383"/>
      <c r="L684" s="383"/>
      <c r="M684" s="383"/>
      <c r="N684" s="383"/>
      <c r="O684" s="383"/>
      <c r="P684" s="383"/>
      <c r="Q684" s="383"/>
      <c r="R684" s="383"/>
      <c r="S684" s="383"/>
      <c r="T684" s="383"/>
      <c r="U684" s="383"/>
      <c r="V684" s="383"/>
      <c r="W684" s="383"/>
      <c r="X684" s="383"/>
      <c r="Y684" s="383"/>
      <c r="Z684" s="383"/>
      <c r="AA684" s="383"/>
      <c r="AB684" s="383"/>
    </row>
    <row r="685" ht="16.5" customHeight="1">
      <c r="A685" s="465"/>
      <c r="B685" s="465"/>
      <c r="C685" s="383"/>
      <c r="D685" s="383"/>
      <c r="E685" s="383"/>
      <c r="F685" s="383"/>
      <c r="G685" s="383"/>
      <c r="H685" s="383"/>
      <c r="I685" s="383"/>
      <c r="J685" s="383"/>
      <c r="K685" s="383"/>
      <c r="L685" s="383"/>
      <c r="M685" s="383"/>
      <c r="N685" s="383"/>
      <c r="O685" s="383"/>
      <c r="P685" s="383"/>
      <c r="Q685" s="383"/>
      <c r="R685" s="383"/>
      <c r="S685" s="383"/>
      <c r="T685" s="383"/>
      <c r="U685" s="383"/>
      <c r="V685" s="383"/>
      <c r="W685" s="383"/>
      <c r="X685" s="383"/>
      <c r="Y685" s="383"/>
      <c r="Z685" s="383"/>
      <c r="AA685" s="383"/>
      <c r="AB685" s="383"/>
    </row>
    <row r="686" ht="16.5" customHeight="1">
      <c r="A686" s="465"/>
      <c r="B686" s="465"/>
      <c r="C686" s="383"/>
      <c r="D686" s="383"/>
      <c r="E686" s="383"/>
      <c r="F686" s="383"/>
      <c r="G686" s="383"/>
      <c r="H686" s="383"/>
      <c r="I686" s="383"/>
      <c r="J686" s="383"/>
      <c r="K686" s="383"/>
      <c r="L686" s="383"/>
      <c r="M686" s="383"/>
      <c r="N686" s="383"/>
      <c r="O686" s="383"/>
      <c r="P686" s="383"/>
      <c r="Q686" s="383"/>
      <c r="R686" s="383"/>
      <c r="S686" s="383"/>
      <c r="T686" s="383"/>
      <c r="U686" s="383"/>
      <c r="V686" s="383"/>
      <c r="W686" s="383"/>
      <c r="X686" s="383"/>
      <c r="Y686" s="383"/>
      <c r="Z686" s="383"/>
      <c r="AA686" s="383"/>
      <c r="AB686" s="383"/>
    </row>
    <row r="687" ht="16.5" customHeight="1">
      <c r="A687" s="465"/>
      <c r="B687" s="465"/>
      <c r="C687" s="383"/>
      <c r="D687" s="383"/>
      <c r="E687" s="383"/>
      <c r="F687" s="383"/>
      <c r="G687" s="383"/>
      <c r="H687" s="383"/>
      <c r="I687" s="383"/>
      <c r="J687" s="383"/>
      <c r="K687" s="383"/>
      <c r="L687" s="383"/>
      <c r="M687" s="383"/>
      <c r="N687" s="383"/>
      <c r="O687" s="383"/>
      <c r="P687" s="383"/>
      <c r="Q687" s="383"/>
      <c r="R687" s="383"/>
      <c r="S687" s="383"/>
      <c r="T687" s="383"/>
      <c r="U687" s="383"/>
      <c r="V687" s="383"/>
      <c r="W687" s="383"/>
      <c r="X687" s="383"/>
      <c r="Y687" s="383"/>
      <c r="Z687" s="383"/>
      <c r="AA687" s="383"/>
      <c r="AB687" s="383"/>
    </row>
    <row r="688" ht="16.5" customHeight="1">
      <c r="A688" s="465"/>
      <c r="B688" s="465"/>
      <c r="C688" s="383"/>
      <c r="D688" s="383"/>
      <c r="E688" s="383"/>
      <c r="F688" s="383"/>
      <c r="G688" s="383"/>
      <c r="H688" s="383"/>
      <c r="I688" s="383"/>
      <c r="J688" s="383"/>
      <c r="K688" s="383"/>
      <c r="L688" s="383"/>
      <c r="M688" s="383"/>
      <c r="N688" s="383"/>
      <c r="O688" s="383"/>
      <c r="P688" s="383"/>
      <c r="Q688" s="383"/>
      <c r="R688" s="383"/>
      <c r="S688" s="383"/>
      <c r="T688" s="383"/>
      <c r="U688" s="383"/>
      <c r="V688" s="383"/>
      <c r="W688" s="383"/>
      <c r="X688" s="383"/>
      <c r="Y688" s="383"/>
      <c r="Z688" s="383"/>
      <c r="AA688" s="383"/>
      <c r="AB688" s="383"/>
    </row>
    <row r="689" ht="16.5" customHeight="1">
      <c r="A689" s="465"/>
      <c r="B689" s="465"/>
      <c r="C689" s="383"/>
      <c r="D689" s="383"/>
      <c r="E689" s="383"/>
      <c r="F689" s="383"/>
      <c r="G689" s="383"/>
      <c r="H689" s="383"/>
      <c r="I689" s="383"/>
      <c r="J689" s="383"/>
      <c r="K689" s="383"/>
      <c r="L689" s="383"/>
      <c r="M689" s="383"/>
      <c r="N689" s="383"/>
      <c r="O689" s="383"/>
      <c r="P689" s="383"/>
      <c r="Q689" s="383"/>
      <c r="R689" s="383"/>
      <c r="S689" s="383"/>
      <c r="T689" s="383"/>
      <c r="U689" s="383"/>
      <c r="V689" s="383"/>
      <c r="W689" s="383"/>
      <c r="X689" s="383"/>
      <c r="Y689" s="383"/>
      <c r="Z689" s="383"/>
      <c r="AA689" s="383"/>
      <c r="AB689" s="383"/>
    </row>
    <row r="690" ht="16.5" customHeight="1">
      <c r="A690" s="465"/>
      <c r="B690" s="465"/>
      <c r="C690" s="383"/>
      <c r="D690" s="383"/>
      <c r="E690" s="383"/>
      <c r="F690" s="383"/>
      <c r="G690" s="383"/>
      <c r="H690" s="383"/>
      <c r="I690" s="383"/>
      <c r="J690" s="383"/>
      <c r="K690" s="383"/>
      <c r="L690" s="383"/>
      <c r="M690" s="383"/>
      <c r="N690" s="383"/>
      <c r="O690" s="383"/>
      <c r="P690" s="383"/>
      <c r="Q690" s="383"/>
      <c r="R690" s="383"/>
      <c r="S690" s="383"/>
      <c r="T690" s="383"/>
      <c r="U690" s="383"/>
      <c r="V690" s="383"/>
      <c r="W690" s="383"/>
      <c r="X690" s="383"/>
      <c r="Y690" s="383"/>
      <c r="Z690" s="383"/>
      <c r="AA690" s="383"/>
      <c r="AB690" s="383"/>
    </row>
    <row r="691" ht="16.5" customHeight="1">
      <c r="A691" s="465"/>
      <c r="B691" s="465"/>
      <c r="C691" s="383"/>
      <c r="D691" s="383"/>
      <c r="E691" s="383"/>
      <c r="F691" s="383"/>
      <c r="G691" s="383"/>
      <c r="H691" s="383"/>
      <c r="I691" s="383"/>
      <c r="J691" s="383"/>
      <c r="K691" s="383"/>
      <c r="L691" s="383"/>
      <c r="M691" s="383"/>
      <c r="N691" s="383"/>
      <c r="O691" s="383"/>
      <c r="P691" s="383"/>
      <c r="Q691" s="383"/>
      <c r="R691" s="383"/>
      <c r="S691" s="383"/>
      <c r="T691" s="383"/>
      <c r="U691" s="383"/>
      <c r="V691" s="383"/>
      <c r="W691" s="383"/>
      <c r="X691" s="383"/>
      <c r="Y691" s="383"/>
      <c r="Z691" s="383"/>
      <c r="AA691" s="383"/>
      <c r="AB691" s="383"/>
    </row>
    <row r="692" ht="16.5" customHeight="1">
      <c r="A692" s="465"/>
      <c r="B692" s="465"/>
      <c r="C692" s="383"/>
      <c r="D692" s="383"/>
      <c r="E692" s="383"/>
      <c r="F692" s="383"/>
      <c r="G692" s="383"/>
      <c r="H692" s="383"/>
      <c r="I692" s="383"/>
      <c r="J692" s="383"/>
      <c r="K692" s="383"/>
      <c r="L692" s="383"/>
      <c r="M692" s="383"/>
      <c r="N692" s="383"/>
      <c r="O692" s="383"/>
      <c r="P692" s="383"/>
      <c r="Q692" s="383"/>
      <c r="R692" s="383"/>
      <c r="S692" s="383"/>
      <c r="T692" s="383"/>
      <c r="U692" s="383"/>
      <c r="V692" s="383"/>
      <c r="W692" s="383"/>
      <c r="X692" s="383"/>
      <c r="Y692" s="383"/>
      <c r="Z692" s="383"/>
      <c r="AA692" s="383"/>
      <c r="AB692" s="383"/>
    </row>
    <row r="693" ht="16.5" customHeight="1">
      <c r="A693" s="465"/>
      <c r="B693" s="465"/>
      <c r="C693" s="383"/>
      <c r="D693" s="383"/>
      <c r="E693" s="383"/>
      <c r="F693" s="383"/>
      <c r="G693" s="383"/>
      <c r="H693" s="383"/>
      <c r="I693" s="383"/>
      <c r="J693" s="383"/>
      <c r="K693" s="383"/>
      <c r="L693" s="383"/>
      <c r="M693" s="383"/>
      <c r="N693" s="383"/>
      <c r="O693" s="383"/>
      <c r="P693" s="383"/>
      <c r="Q693" s="383"/>
      <c r="R693" s="383"/>
      <c r="S693" s="383"/>
      <c r="T693" s="383"/>
      <c r="U693" s="383"/>
      <c r="V693" s="383"/>
      <c r="W693" s="383"/>
      <c r="X693" s="383"/>
      <c r="Y693" s="383"/>
      <c r="Z693" s="383"/>
      <c r="AA693" s="383"/>
      <c r="AB693" s="383"/>
    </row>
    <row r="694" ht="16.5" customHeight="1">
      <c r="A694" s="465"/>
      <c r="B694" s="465"/>
      <c r="C694" s="383"/>
      <c r="D694" s="383"/>
      <c r="E694" s="383"/>
      <c r="F694" s="383"/>
      <c r="G694" s="383"/>
      <c r="H694" s="383"/>
      <c r="I694" s="383"/>
      <c r="J694" s="383"/>
      <c r="K694" s="383"/>
      <c r="L694" s="383"/>
      <c r="M694" s="383"/>
      <c r="N694" s="383"/>
      <c r="O694" s="383"/>
      <c r="P694" s="383"/>
      <c r="Q694" s="383"/>
      <c r="R694" s="383"/>
      <c r="S694" s="383"/>
      <c r="T694" s="383"/>
      <c r="U694" s="383"/>
      <c r="V694" s="383"/>
      <c r="W694" s="383"/>
      <c r="X694" s="383"/>
      <c r="Y694" s="383"/>
      <c r="Z694" s="383"/>
      <c r="AA694" s="383"/>
      <c r="AB694" s="383"/>
    </row>
    <row r="695" ht="16.5" customHeight="1">
      <c r="A695" s="465"/>
      <c r="B695" s="465"/>
      <c r="C695" s="383"/>
      <c r="D695" s="383"/>
      <c r="E695" s="383"/>
      <c r="F695" s="383"/>
      <c r="G695" s="383"/>
      <c r="H695" s="383"/>
      <c r="I695" s="383"/>
      <c r="J695" s="383"/>
      <c r="K695" s="383"/>
      <c r="L695" s="383"/>
      <c r="M695" s="383"/>
      <c r="N695" s="383"/>
      <c r="O695" s="383"/>
      <c r="P695" s="383"/>
      <c r="Q695" s="383"/>
      <c r="R695" s="383"/>
      <c r="S695" s="383"/>
      <c r="T695" s="383"/>
      <c r="U695" s="383"/>
      <c r="V695" s="383"/>
      <c r="W695" s="383"/>
      <c r="X695" s="383"/>
      <c r="Y695" s="383"/>
      <c r="Z695" s="383"/>
      <c r="AA695" s="383"/>
      <c r="AB695" s="383"/>
    </row>
    <row r="696" ht="16.5" customHeight="1">
      <c r="A696" s="465"/>
      <c r="B696" s="465"/>
      <c r="C696" s="383"/>
      <c r="D696" s="383"/>
      <c r="E696" s="383"/>
      <c r="F696" s="383"/>
      <c r="G696" s="383"/>
      <c r="H696" s="383"/>
      <c r="I696" s="383"/>
      <c r="J696" s="383"/>
      <c r="K696" s="383"/>
      <c r="L696" s="383"/>
      <c r="M696" s="383"/>
      <c r="N696" s="383"/>
      <c r="O696" s="383"/>
      <c r="P696" s="383"/>
      <c r="Q696" s="383"/>
      <c r="R696" s="383"/>
      <c r="S696" s="383"/>
      <c r="T696" s="383"/>
      <c r="U696" s="383"/>
      <c r="V696" s="383"/>
      <c r="W696" s="383"/>
      <c r="X696" s="383"/>
      <c r="Y696" s="383"/>
      <c r="Z696" s="383"/>
      <c r="AA696" s="383"/>
      <c r="AB696" s="383"/>
    </row>
    <row r="697" ht="16.5" customHeight="1">
      <c r="A697" s="465"/>
      <c r="B697" s="465"/>
      <c r="C697" s="383"/>
      <c r="D697" s="383"/>
      <c r="E697" s="383"/>
      <c r="F697" s="383"/>
      <c r="G697" s="383"/>
      <c r="H697" s="383"/>
      <c r="I697" s="383"/>
      <c r="J697" s="383"/>
      <c r="K697" s="383"/>
      <c r="L697" s="383"/>
      <c r="M697" s="383"/>
      <c r="N697" s="383"/>
      <c r="O697" s="383"/>
      <c r="P697" s="383"/>
      <c r="Q697" s="383"/>
      <c r="R697" s="383"/>
      <c r="S697" s="383"/>
      <c r="T697" s="383"/>
      <c r="U697" s="383"/>
      <c r="V697" s="383"/>
      <c r="W697" s="383"/>
      <c r="X697" s="383"/>
      <c r="Y697" s="383"/>
      <c r="Z697" s="383"/>
      <c r="AA697" s="383"/>
      <c r="AB697" s="383"/>
    </row>
    <row r="698" ht="16.5" customHeight="1">
      <c r="A698" s="465"/>
      <c r="B698" s="465"/>
      <c r="C698" s="383"/>
      <c r="D698" s="383"/>
      <c r="E698" s="383"/>
      <c r="F698" s="383"/>
      <c r="G698" s="383"/>
      <c r="H698" s="383"/>
      <c r="I698" s="383"/>
      <c r="J698" s="383"/>
      <c r="K698" s="383"/>
      <c r="L698" s="383"/>
      <c r="M698" s="383"/>
      <c r="N698" s="383"/>
      <c r="O698" s="383"/>
      <c r="P698" s="383"/>
      <c r="Q698" s="383"/>
      <c r="R698" s="383"/>
      <c r="S698" s="383"/>
      <c r="T698" s="383"/>
      <c r="U698" s="383"/>
      <c r="V698" s="383"/>
      <c r="W698" s="383"/>
      <c r="X698" s="383"/>
      <c r="Y698" s="383"/>
      <c r="Z698" s="383"/>
      <c r="AA698" s="383"/>
      <c r="AB698" s="383"/>
    </row>
    <row r="699" ht="16.5" customHeight="1">
      <c r="A699" s="465"/>
      <c r="B699" s="465"/>
      <c r="C699" s="383"/>
      <c r="D699" s="383"/>
      <c r="E699" s="383"/>
      <c r="F699" s="383"/>
      <c r="G699" s="383"/>
      <c r="H699" s="383"/>
      <c r="I699" s="383"/>
      <c r="J699" s="383"/>
      <c r="K699" s="383"/>
      <c r="L699" s="383"/>
      <c r="M699" s="383"/>
      <c r="N699" s="383"/>
      <c r="O699" s="383"/>
      <c r="P699" s="383"/>
      <c r="Q699" s="383"/>
      <c r="R699" s="383"/>
      <c r="S699" s="383"/>
      <c r="T699" s="383"/>
      <c r="U699" s="383"/>
      <c r="V699" s="383"/>
      <c r="W699" s="383"/>
      <c r="X699" s="383"/>
      <c r="Y699" s="383"/>
      <c r="Z699" s="383"/>
      <c r="AA699" s="383"/>
      <c r="AB699" s="383"/>
    </row>
    <row r="700" ht="16.5" customHeight="1">
      <c r="A700" s="465"/>
      <c r="B700" s="465"/>
      <c r="C700" s="383"/>
      <c r="D700" s="383"/>
      <c r="E700" s="383"/>
      <c r="F700" s="383"/>
      <c r="G700" s="383"/>
      <c r="H700" s="383"/>
      <c r="I700" s="383"/>
      <c r="J700" s="383"/>
      <c r="K700" s="383"/>
      <c r="L700" s="383"/>
      <c r="M700" s="383"/>
      <c r="N700" s="383"/>
      <c r="O700" s="383"/>
      <c r="P700" s="383"/>
      <c r="Q700" s="383"/>
      <c r="R700" s="383"/>
      <c r="S700" s="383"/>
      <c r="T700" s="383"/>
      <c r="U700" s="383"/>
      <c r="V700" s="383"/>
      <c r="W700" s="383"/>
      <c r="X700" s="383"/>
      <c r="Y700" s="383"/>
      <c r="Z700" s="383"/>
      <c r="AA700" s="383"/>
      <c r="AB700" s="383"/>
    </row>
    <row r="701" ht="16.5" customHeight="1">
      <c r="A701" s="465"/>
      <c r="B701" s="465"/>
      <c r="C701" s="383"/>
      <c r="D701" s="383"/>
      <c r="E701" s="383"/>
      <c r="F701" s="383"/>
      <c r="G701" s="383"/>
      <c r="H701" s="383"/>
      <c r="I701" s="383"/>
      <c r="J701" s="383"/>
      <c r="K701" s="383"/>
      <c r="L701" s="383"/>
      <c r="M701" s="383"/>
      <c r="N701" s="383"/>
      <c r="O701" s="383"/>
      <c r="P701" s="383"/>
      <c r="Q701" s="383"/>
      <c r="R701" s="383"/>
      <c r="S701" s="383"/>
      <c r="T701" s="383"/>
      <c r="U701" s="383"/>
      <c r="V701" s="383"/>
      <c r="W701" s="383"/>
      <c r="X701" s="383"/>
      <c r="Y701" s="383"/>
      <c r="Z701" s="383"/>
      <c r="AA701" s="383"/>
      <c r="AB701" s="383"/>
    </row>
    <row r="702" ht="16.5" customHeight="1">
      <c r="A702" s="465"/>
      <c r="B702" s="465"/>
      <c r="C702" s="383"/>
      <c r="D702" s="383"/>
      <c r="E702" s="383"/>
      <c r="F702" s="383"/>
      <c r="G702" s="383"/>
      <c r="H702" s="383"/>
      <c r="I702" s="383"/>
      <c r="J702" s="383"/>
      <c r="K702" s="383"/>
      <c r="L702" s="383"/>
      <c r="M702" s="383"/>
      <c r="N702" s="383"/>
      <c r="O702" s="383"/>
      <c r="P702" s="383"/>
      <c r="Q702" s="383"/>
      <c r="R702" s="383"/>
      <c r="S702" s="383"/>
      <c r="T702" s="383"/>
      <c r="U702" s="383"/>
      <c r="V702" s="383"/>
      <c r="W702" s="383"/>
      <c r="X702" s="383"/>
      <c r="Y702" s="383"/>
      <c r="Z702" s="383"/>
      <c r="AA702" s="383"/>
      <c r="AB702" s="383"/>
    </row>
    <row r="703" ht="16.5" customHeight="1">
      <c r="A703" s="465"/>
      <c r="B703" s="465"/>
      <c r="C703" s="383"/>
      <c r="D703" s="383"/>
      <c r="E703" s="383"/>
      <c r="F703" s="383"/>
      <c r="G703" s="383"/>
      <c r="H703" s="383"/>
      <c r="I703" s="383"/>
      <c r="J703" s="383"/>
      <c r="K703" s="383"/>
      <c r="L703" s="383"/>
      <c r="M703" s="383"/>
      <c r="N703" s="383"/>
      <c r="O703" s="383"/>
      <c r="P703" s="383"/>
      <c r="Q703" s="383"/>
      <c r="R703" s="383"/>
      <c r="S703" s="383"/>
      <c r="T703" s="383"/>
      <c r="U703" s="383"/>
      <c r="V703" s="383"/>
      <c r="W703" s="383"/>
      <c r="X703" s="383"/>
      <c r="Y703" s="383"/>
      <c r="Z703" s="383"/>
      <c r="AA703" s="383"/>
      <c r="AB703" s="383"/>
    </row>
    <row r="704" ht="16.5" customHeight="1">
      <c r="A704" s="465"/>
      <c r="B704" s="465"/>
      <c r="C704" s="383"/>
      <c r="D704" s="383"/>
      <c r="E704" s="383"/>
      <c r="F704" s="383"/>
      <c r="G704" s="383"/>
      <c r="H704" s="383"/>
      <c r="I704" s="383"/>
      <c r="J704" s="383"/>
      <c r="K704" s="383"/>
      <c r="L704" s="383"/>
      <c r="M704" s="383"/>
      <c r="N704" s="383"/>
      <c r="O704" s="383"/>
      <c r="P704" s="383"/>
      <c r="Q704" s="383"/>
      <c r="R704" s="383"/>
      <c r="S704" s="383"/>
      <c r="T704" s="383"/>
      <c r="U704" s="383"/>
      <c r="V704" s="383"/>
      <c r="W704" s="383"/>
      <c r="X704" s="383"/>
      <c r="Y704" s="383"/>
      <c r="Z704" s="383"/>
      <c r="AA704" s="383"/>
      <c r="AB704" s="383"/>
    </row>
    <row r="705" ht="16.5" customHeight="1">
      <c r="A705" s="465"/>
      <c r="B705" s="465"/>
      <c r="C705" s="383"/>
      <c r="D705" s="383"/>
      <c r="E705" s="383"/>
      <c r="F705" s="383"/>
      <c r="G705" s="383"/>
      <c r="H705" s="383"/>
      <c r="I705" s="383"/>
      <c r="J705" s="383"/>
      <c r="K705" s="383"/>
      <c r="L705" s="383"/>
      <c r="M705" s="383"/>
      <c r="N705" s="383"/>
      <c r="O705" s="383"/>
      <c r="P705" s="383"/>
      <c r="Q705" s="383"/>
      <c r="R705" s="383"/>
      <c r="S705" s="383"/>
      <c r="T705" s="383"/>
      <c r="U705" s="383"/>
      <c r="V705" s="383"/>
      <c r="W705" s="383"/>
      <c r="X705" s="383"/>
      <c r="Y705" s="383"/>
      <c r="Z705" s="383"/>
      <c r="AA705" s="383"/>
      <c r="AB705" s="383"/>
    </row>
    <row r="706" ht="16.5" customHeight="1">
      <c r="A706" s="465"/>
      <c r="B706" s="465"/>
      <c r="C706" s="383"/>
      <c r="D706" s="383"/>
      <c r="E706" s="383"/>
      <c r="F706" s="383"/>
      <c r="G706" s="383"/>
      <c r="H706" s="383"/>
      <c r="I706" s="383"/>
      <c r="J706" s="383"/>
      <c r="K706" s="383"/>
      <c r="L706" s="383"/>
      <c r="M706" s="383"/>
      <c r="N706" s="383"/>
      <c r="O706" s="383"/>
      <c r="P706" s="383"/>
      <c r="Q706" s="383"/>
      <c r="R706" s="383"/>
      <c r="S706" s="383"/>
      <c r="T706" s="383"/>
      <c r="U706" s="383"/>
      <c r="V706" s="383"/>
      <c r="W706" s="383"/>
      <c r="X706" s="383"/>
      <c r="Y706" s="383"/>
      <c r="Z706" s="383"/>
      <c r="AA706" s="383"/>
      <c r="AB706" s="383"/>
    </row>
    <row r="707" ht="16.5" customHeight="1">
      <c r="A707" s="465"/>
      <c r="B707" s="465"/>
      <c r="C707" s="383"/>
      <c r="D707" s="383"/>
      <c r="E707" s="383"/>
      <c r="F707" s="383"/>
      <c r="G707" s="383"/>
      <c r="H707" s="383"/>
      <c r="I707" s="383"/>
      <c r="J707" s="383"/>
      <c r="K707" s="383"/>
      <c r="L707" s="383"/>
      <c r="M707" s="383"/>
      <c r="N707" s="383"/>
      <c r="O707" s="383"/>
      <c r="P707" s="383"/>
      <c r="Q707" s="383"/>
      <c r="R707" s="383"/>
      <c r="S707" s="383"/>
      <c r="T707" s="383"/>
      <c r="U707" s="383"/>
      <c r="V707" s="383"/>
      <c r="W707" s="383"/>
      <c r="X707" s="383"/>
      <c r="Y707" s="383"/>
      <c r="Z707" s="383"/>
      <c r="AA707" s="383"/>
      <c r="AB707" s="383"/>
    </row>
    <row r="708" ht="16.5" customHeight="1">
      <c r="A708" s="465"/>
      <c r="B708" s="465"/>
      <c r="C708" s="383"/>
      <c r="D708" s="383"/>
      <c r="E708" s="383"/>
      <c r="F708" s="383"/>
      <c r="G708" s="383"/>
      <c r="H708" s="383"/>
      <c r="I708" s="383"/>
      <c r="J708" s="383"/>
      <c r="K708" s="383"/>
      <c r="L708" s="383"/>
      <c r="M708" s="383"/>
      <c r="N708" s="383"/>
      <c r="O708" s="383"/>
      <c r="P708" s="383"/>
      <c r="Q708" s="383"/>
      <c r="R708" s="383"/>
      <c r="S708" s="383"/>
      <c r="T708" s="383"/>
      <c r="U708" s="383"/>
      <c r="V708" s="383"/>
      <c r="W708" s="383"/>
      <c r="X708" s="383"/>
      <c r="Y708" s="383"/>
      <c r="Z708" s="383"/>
      <c r="AA708" s="383"/>
      <c r="AB708" s="383"/>
    </row>
    <row r="709" ht="16.5" customHeight="1">
      <c r="A709" s="465"/>
      <c r="B709" s="465"/>
      <c r="C709" s="383"/>
      <c r="D709" s="383"/>
      <c r="E709" s="383"/>
      <c r="F709" s="383"/>
      <c r="G709" s="383"/>
      <c r="H709" s="383"/>
      <c r="I709" s="383"/>
      <c r="J709" s="383"/>
      <c r="K709" s="383"/>
      <c r="L709" s="383"/>
      <c r="M709" s="383"/>
      <c r="N709" s="383"/>
      <c r="O709" s="383"/>
      <c r="P709" s="383"/>
      <c r="Q709" s="383"/>
      <c r="R709" s="383"/>
      <c r="S709" s="383"/>
      <c r="T709" s="383"/>
      <c r="U709" s="383"/>
      <c r="V709" s="383"/>
      <c r="W709" s="383"/>
      <c r="X709" s="383"/>
      <c r="Y709" s="383"/>
      <c r="Z709" s="383"/>
      <c r="AA709" s="383"/>
      <c r="AB709" s="383"/>
    </row>
    <row r="710" ht="16.5" customHeight="1">
      <c r="A710" s="465"/>
      <c r="B710" s="465"/>
      <c r="C710" s="383"/>
      <c r="D710" s="383"/>
      <c r="E710" s="383"/>
      <c r="F710" s="383"/>
      <c r="G710" s="383"/>
      <c r="H710" s="383"/>
      <c r="I710" s="383"/>
      <c r="J710" s="383"/>
      <c r="K710" s="383"/>
      <c r="L710" s="383"/>
      <c r="M710" s="383"/>
      <c r="N710" s="383"/>
      <c r="O710" s="383"/>
      <c r="P710" s="383"/>
      <c r="Q710" s="383"/>
      <c r="R710" s="383"/>
      <c r="S710" s="383"/>
      <c r="T710" s="383"/>
      <c r="U710" s="383"/>
      <c r="V710" s="383"/>
      <c r="W710" s="383"/>
      <c r="X710" s="383"/>
      <c r="Y710" s="383"/>
      <c r="Z710" s="383"/>
      <c r="AA710" s="383"/>
      <c r="AB710" s="383"/>
    </row>
    <row r="711" ht="16.5" customHeight="1">
      <c r="A711" s="465"/>
      <c r="B711" s="465"/>
      <c r="C711" s="383"/>
      <c r="D711" s="383"/>
      <c r="E711" s="383"/>
      <c r="F711" s="383"/>
      <c r="G711" s="383"/>
      <c r="H711" s="383"/>
      <c r="I711" s="383"/>
      <c r="J711" s="383"/>
      <c r="K711" s="383"/>
      <c r="L711" s="383"/>
      <c r="M711" s="383"/>
      <c r="N711" s="383"/>
      <c r="O711" s="383"/>
      <c r="P711" s="383"/>
      <c r="Q711" s="383"/>
      <c r="R711" s="383"/>
      <c r="S711" s="383"/>
      <c r="T711" s="383"/>
      <c r="U711" s="383"/>
      <c r="V711" s="383"/>
      <c r="W711" s="383"/>
      <c r="X711" s="383"/>
      <c r="Y711" s="383"/>
      <c r="Z711" s="383"/>
      <c r="AA711" s="383"/>
      <c r="AB711" s="383"/>
    </row>
    <row r="712" ht="16.5" customHeight="1">
      <c r="A712" s="465"/>
      <c r="B712" s="465"/>
      <c r="C712" s="383"/>
      <c r="D712" s="383"/>
      <c r="E712" s="383"/>
      <c r="F712" s="383"/>
      <c r="G712" s="383"/>
      <c r="H712" s="383"/>
      <c r="I712" s="383"/>
      <c r="J712" s="383"/>
      <c r="K712" s="383"/>
      <c r="L712" s="383"/>
      <c r="M712" s="383"/>
      <c r="N712" s="383"/>
      <c r="O712" s="383"/>
      <c r="P712" s="383"/>
      <c r="Q712" s="383"/>
      <c r="R712" s="383"/>
      <c r="S712" s="383"/>
      <c r="T712" s="383"/>
      <c r="U712" s="383"/>
      <c r="V712" s="383"/>
      <c r="W712" s="383"/>
      <c r="X712" s="383"/>
      <c r="Y712" s="383"/>
      <c r="Z712" s="383"/>
      <c r="AA712" s="383"/>
      <c r="AB712" s="383"/>
    </row>
    <row r="713" ht="16.5" customHeight="1">
      <c r="A713" s="465"/>
      <c r="B713" s="465"/>
      <c r="C713" s="383"/>
      <c r="D713" s="383"/>
      <c r="E713" s="383"/>
      <c r="F713" s="383"/>
      <c r="G713" s="383"/>
      <c r="H713" s="383"/>
      <c r="I713" s="383"/>
      <c r="J713" s="383"/>
      <c r="K713" s="383"/>
      <c r="L713" s="383"/>
      <c r="M713" s="383"/>
      <c r="N713" s="383"/>
      <c r="O713" s="383"/>
      <c r="P713" s="383"/>
      <c r="Q713" s="383"/>
      <c r="R713" s="383"/>
      <c r="S713" s="383"/>
      <c r="T713" s="383"/>
      <c r="U713" s="383"/>
      <c r="V713" s="383"/>
      <c r="W713" s="383"/>
      <c r="X713" s="383"/>
      <c r="Y713" s="383"/>
      <c r="Z713" s="383"/>
      <c r="AA713" s="383"/>
      <c r="AB713" s="383"/>
    </row>
    <row r="714" ht="16.5" customHeight="1">
      <c r="A714" s="465"/>
      <c r="B714" s="465"/>
      <c r="C714" s="383"/>
      <c r="D714" s="383"/>
      <c r="E714" s="383"/>
      <c r="F714" s="383"/>
      <c r="G714" s="383"/>
      <c r="H714" s="383"/>
      <c r="I714" s="383"/>
      <c r="J714" s="383"/>
      <c r="K714" s="383"/>
      <c r="L714" s="383"/>
      <c r="M714" s="383"/>
      <c r="N714" s="383"/>
      <c r="O714" s="383"/>
      <c r="P714" s="383"/>
      <c r="Q714" s="383"/>
      <c r="R714" s="383"/>
      <c r="S714" s="383"/>
      <c r="T714" s="383"/>
      <c r="U714" s="383"/>
      <c r="V714" s="383"/>
      <c r="W714" s="383"/>
      <c r="X714" s="383"/>
      <c r="Y714" s="383"/>
      <c r="Z714" s="383"/>
      <c r="AA714" s="383"/>
      <c r="AB714" s="383"/>
    </row>
    <row r="715" ht="16.5" customHeight="1">
      <c r="A715" s="465"/>
      <c r="B715" s="465"/>
      <c r="C715" s="383"/>
      <c r="D715" s="383"/>
      <c r="E715" s="383"/>
      <c r="F715" s="383"/>
      <c r="G715" s="383"/>
      <c r="H715" s="383"/>
      <c r="I715" s="383"/>
      <c r="J715" s="383"/>
      <c r="K715" s="383"/>
      <c r="L715" s="383"/>
      <c r="M715" s="383"/>
      <c r="N715" s="383"/>
      <c r="O715" s="383"/>
      <c r="P715" s="383"/>
      <c r="Q715" s="383"/>
      <c r="R715" s="383"/>
      <c r="S715" s="383"/>
      <c r="T715" s="383"/>
      <c r="U715" s="383"/>
      <c r="V715" s="383"/>
      <c r="W715" s="383"/>
      <c r="X715" s="383"/>
      <c r="Y715" s="383"/>
      <c r="Z715" s="383"/>
      <c r="AA715" s="383"/>
      <c r="AB715" s="383"/>
    </row>
    <row r="716" ht="16.5" customHeight="1">
      <c r="A716" s="465"/>
      <c r="B716" s="465"/>
      <c r="C716" s="383"/>
      <c r="D716" s="383"/>
      <c r="E716" s="383"/>
      <c r="F716" s="383"/>
      <c r="G716" s="383"/>
      <c r="H716" s="383"/>
      <c r="I716" s="383"/>
      <c r="J716" s="383"/>
      <c r="K716" s="383"/>
      <c r="L716" s="383"/>
      <c r="M716" s="383"/>
      <c r="N716" s="383"/>
      <c r="O716" s="383"/>
      <c r="P716" s="383"/>
      <c r="Q716" s="383"/>
      <c r="R716" s="383"/>
      <c r="S716" s="383"/>
      <c r="T716" s="383"/>
      <c r="U716" s="383"/>
      <c r="V716" s="383"/>
      <c r="W716" s="383"/>
      <c r="X716" s="383"/>
      <c r="Y716" s="383"/>
      <c r="Z716" s="383"/>
      <c r="AA716" s="383"/>
      <c r="AB716" s="383"/>
    </row>
    <row r="717" ht="16.5" customHeight="1">
      <c r="A717" s="465"/>
      <c r="B717" s="465"/>
      <c r="C717" s="383"/>
      <c r="D717" s="383"/>
      <c r="E717" s="383"/>
      <c r="F717" s="383"/>
      <c r="G717" s="383"/>
      <c r="H717" s="383"/>
      <c r="I717" s="383"/>
      <c r="J717" s="383"/>
      <c r="K717" s="383"/>
      <c r="L717" s="383"/>
      <c r="M717" s="383"/>
      <c r="N717" s="383"/>
      <c r="O717" s="383"/>
      <c r="P717" s="383"/>
      <c r="Q717" s="383"/>
      <c r="R717" s="383"/>
      <c r="S717" s="383"/>
      <c r="T717" s="383"/>
      <c r="U717" s="383"/>
      <c r="V717" s="383"/>
      <c r="W717" s="383"/>
      <c r="X717" s="383"/>
      <c r="Y717" s="383"/>
      <c r="Z717" s="383"/>
      <c r="AA717" s="383"/>
      <c r="AB717" s="383"/>
    </row>
    <row r="718" ht="16.5" customHeight="1">
      <c r="A718" s="465"/>
      <c r="B718" s="465"/>
      <c r="C718" s="383"/>
      <c r="D718" s="383"/>
      <c r="E718" s="383"/>
      <c r="F718" s="383"/>
      <c r="G718" s="383"/>
      <c r="H718" s="383"/>
      <c r="I718" s="383"/>
      <c r="J718" s="383"/>
      <c r="K718" s="383"/>
      <c r="L718" s="383"/>
      <c r="M718" s="383"/>
      <c r="N718" s="383"/>
      <c r="O718" s="383"/>
      <c r="P718" s="383"/>
      <c r="Q718" s="383"/>
      <c r="R718" s="383"/>
      <c r="S718" s="383"/>
      <c r="T718" s="383"/>
      <c r="U718" s="383"/>
      <c r="V718" s="383"/>
      <c r="W718" s="383"/>
      <c r="X718" s="383"/>
      <c r="Y718" s="383"/>
      <c r="Z718" s="383"/>
      <c r="AA718" s="383"/>
      <c r="AB718" s="383"/>
    </row>
    <row r="719" ht="16.5" customHeight="1">
      <c r="A719" s="465"/>
      <c r="B719" s="465"/>
      <c r="C719" s="383"/>
      <c r="D719" s="383"/>
      <c r="E719" s="383"/>
      <c r="F719" s="383"/>
      <c r="G719" s="383"/>
      <c r="H719" s="383"/>
      <c r="I719" s="383"/>
      <c r="J719" s="383"/>
      <c r="K719" s="383"/>
      <c r="L719" s="383"/>
      <c r="M719" s="383"/>
      <c r="N719" s="383"/>
      <c r="O719" s="383"/>
      <c r="P719" s="383"/>
      <c r="Q719" s="383"/>
      <c r="R719" s="383"/>
      <c r="S719" s="383"/>
      <c r="T719" s="383"/>
      <c r="U719" s="383"/>
      <c r="V719" s="383"/>
      <c r="W719" s="383"/>
      <c r="X719" s="383"/>
      <c r="Y719" s="383"/>
      <c r="Z719" s="383"/>
      <c r="AA719" s="383"/>
      <c r="AB719" s="383"/>
    </row>
    <row r="720" ht="16.5" customHeight="1">
      <c r="A720" s="465"/>
      <c r="B720" s="465"/>
      <c r="C720" s="383"/>
      <c r="D720" s="383"/>
      <c r="E720" s="383"/>
      <c r="F720" s="383"/>
      <c r="G720" s="383"/>
      <c r="H720" s="383"/>
      <c r="I720" s="383"/>
      <c r="J720" s="383"/>
      <c r="K720" s="383"/>
      <c r="L720" s="383"/>
      <c r="M720" s="383"/>
      <c r="N720" s="383"/>
      <c r="O720" s="383"/>
      <c r="P720" s="383"/>
      <c r="Q720" s="383"/>
      <c r="R720" s="383"/>
      <c r="S720" s="383"/>
      <c r="T720" s="383"/>
      <c r="U720" s="383"/>
      <c r="V720" s="383"/>
      <c r="W720" s="383"/>
      <c r="X720" s="383"/>
      <c r="Y720" s="383"/>
      <c r="Z720" s="383"/>
      <c r="AA720" s="383"/>
      <c r="AB720" s="383"/>
    </row>
    <row r="721" ht="16.5" customHeight="1">
      <c r="A721" s="465"/>
      <c r="B721" s="465"/>
      <c r="C721" s="383"/>
      <c r="D721" s="383"/>
      <c r="E721" s="383"/>
      <c r="F721" s="383"/>
      <c r="G721" s="383"/>
      <c r="H721" s="383"/>
      <c r="I721" s="383"/>
      <c r="J721" s="383"/>
      <c r="K721" s="383"/>
      <c r="L721" s="383"/>
      <c r="M721" s="383"/>
      <c r="N721" s="383"/>
      <c r="O721" s="383"/>
      <c r="P721" s="383"/>
      <c r="Q721" s="383"/>
      <c r="R721" s="383"/>
      <c r="S721" s="383"/>
      <c r="T721" s="383"/>
      <c r="U721" s="383"/>
      <c r="V721" s="383"/>
      <c r="W721" s="383"/>
      <c r="X721" s="383"/>
      <c r="Y721" s="383"/>
      <c r="Z721" s="383"/>
      <c r="AA721" s="383"/>
      <c r="AB721" s="383"/>
    </row>
    <row r="722" ht="16.5" customHeight="1">
      <c r="A722" s="465"/>
      <c r="B722" s="465"/>
      <c r="C722" s="383"/>
      <c r="D722" s="383"/>
      <c r="E722" s="383"/>
      <c r="F722" s="383"/>
      <c r="G722" s="383"/>
      <c r="H722" s="383"/>
      <c r="I722" s="383"/>
      <c r="J722" s="383"/>
      <c r="K722" s="383"/>
      <c r="L722" s="383"/>
      <c r="M722" s="383"/>
      <c r="N722" s="383"/>
      <c r="O722" s="383"/>
      <c r="P722" s="383"/>
      <c r="Q722" s="383"/>
      <c r="R722" s="383"/>
      <c r="S722" s="383"/>
      <c r="T722" s="383"/>
      <c r="U722" s="383"/>
      <c r="V722" s="383"/>
      <c r="W722" s="383"/>
      <c r="X722" s="383"/>
      <c r="Y722" s="383"/>
      <c r="Z722" s="383"/>
      <c r="AA722" s="383"/>
      <c r="AB722" s="383"/>
    </row>
    <row r="723" ht="16.5" customHeight="1">
      <c r="A723" s="465"/>
      <c r="B723" s="465"/>
      <c r="C723" s="383"/>
      <c r="D723" s="383"/>
      <c r="E723" s="383"/>
      <c r="F723" s="383"/>
      <c r="G723" s="383"/>
      <c r="H723" s="383"/>
      <c r="I723" s="383"/>
      <c r="J723" s="383"/>
      <c r="K723" s="383"/>
      <c r="L723" s="383"/>
      <c r="M723" s="383"/>
      <c r="N723" s="383"/>
      <c r="O723" s="383"/>
      <c r="P723" s="383"/>
      <c r="Q723" s="383"/>
      <c r="R723" s="383"/>
      <c r="S723" s="383"/>
      <c r="T723" s="383"/>
      <c r="U723" s="383"/>
      <c r="V723" s="383"/>
      <c r="W723" s="383"/>
      <c r="X723" s="383"/>
      <c r="Y723" s="383"/>
      <c r="Z723" s="383"/>
      <c r="AA723" s="383"/>
      <c r="AB723" s="383"/>
    </row>
    <row r="724" ht="16.5" customHeight="1">
      <c r="A724" s="465"/>
      <c r="B724" s="465"/>
      <c r="C724" s="383"/>
      <c r="D724" s="383"/>
      <c r="E724" s="383"/>
      <c r="F724" s="383"/>
      <c r="G724" s="383"/>
      <c r="H724" s="383"/>
      <c r="I724" s="383"/>
      <c r="J724" s="383"/>
      <c r="K724" s="383"/>
      <c r="L724" s="383"/>
      <c r="M724" s="383"/>
      <c r="N724" s="383"/>
      <c r="O724" s="383"/>
      <c r="P724" s="383"/>
      <c r="Q724" s="383"/>
      <c r="R724" s="383"/>
      <c r="S724" s="383"/>
      <c r="T724" s="383"/>
      <c r="U724" s="383"/>
      <c r="V724" s="383"/>
      <c r="W724" s="383"/>
      <c r="X724" s="383"/>
      <c r="Y724" s="383"/>
      <c r="Z724" s="383"/>
      <c r="AA724" s="383"/>
      <c r="AB724" s="383"/>
    </row>
    <row r="725" ht="16.5" customHeight="1">
      <c r="A725" s="465"/>
      <c r="B725" s="465"/>
      <c r="C725" s="383"/>
      <c r="D725" s="383"/>
      <c r="E725" s="383"/>
      <c r="F725" s="383"/>
      <c r="G725" s="383"/>
      <c r="H725" s="383"/>
      <c r="I725" s="383"/>
      <c r="J725" s="383"/>
      <c r="K725" s="383"/>
      <c r="L725" s="383"/>
      <c r="M725" s="383"/>
      <c r="N725" s="383"/>
      <c r="O725" s="383"/>
      <c r="P725" s="383"/>
      <c r="Q725" s="383"/>
      <c r="R725" s="383"/>
      <c r="S725" s="383"/>
      <c r="T725" s="383"/>
      <c r="U725" s="383"/>
      <c r="V725" s="383"/>
      <c r="W725" s="383"/>
      <c r="X725" s="383"/>
      <c r="Y725" s="383"/>
      <c r="Z725" s="383"/>
      <c r="AA725" s="383"/>
      <c r="AB725" s="383"/>
    </row>
    <row r="726" ht="16.5" customHeight="1">
      <c r="A726" s="465"/>
      <c r="B726" s="465"/>
      <c r="C726" s="383"/>
      <c r="D726" s="383"/>
      <c r="E726" s="383"/>
      <c r="F726" s="383"/>
      <c r="G726" s="383"/>
      <c r="H726" s="383"/>
      <c r="I726" s="383"/>
      <c r="J726" s="383"/>
      <c r="K726" s="383"/>
      <c r="L726" s="383"/>
      <c r="M726" s="383"/>
      <c r="N726" s="383"/>
      <c r="O726" s="383"/>
      <c r="P726" s="383"/>
      <c r="Q726" s="383"/>
      <c r="R726" s="383"/>
      <c r="S726" s="383"/>
      <c r="T726" s="383"/>
      <c r="U726" s="383"/>
      <c r="V726" s="383"/>
      <c r="W726" s="383"/>
      <c r="X726" s="383"/>
      <c r="Y726" s="383"/>
      <c r="Z726" s="383"/>
      <c r="AA726" s="383"/>
      <c r="AB726" s="383"/>
    </row>
    <row r="727" ht="16.5" customHeight="1">
      <c r="A727" s="465"/>
      <c r="B727" s="465"/>
      <c r="C727" s="383"/>
      <c r="D727" s="383"/>
      <c r="E727" s="383"/>
      <c r="F727" s="383"/>
      <c r="G727" s="383"/>
      <c r="H727" s="383"/>
      <c r="I727" s="383"/>
      <c r="J727" s="383"/>
      <c r="K727" s="383"/>
      <c r="L727" s="383"/>
      <c r="M727" s="383"/>
      <c r="N727" s="383"/>
      <c r="O727" s="383"/>
      <c r="P727" s="383"/>
      <c r="Q727" s="383"/>
      <c r="R727" s="383"/>
      <c r="S727" s="383"/>
      <c r="T727" s="383"/>
      <c r="U727" s="383"/>
      <c r="V727" s="383"/>
      <c r="W727" s="383"/>
      <c r="X727" s="383"/>
      <c r="Y727" s="383"/>
      <c r="Z727" s="383"/>
      <c r="AA727" s="383"/>
      <c r="AB727" s="383"/>
    </row>
    <row r="728" ht="16.5" customHeight="1">
      <c r="A728" s="465"/>
      <c r="B728" s="465"/>
      <c r="C728" s="383"/>
      <c r="D728" s="383"/>
      <c r="E728" s="383"/>
      <c r="F728" s="383"/>
      <c r="G728" s="383"/>
      <c r="H728" s="383"/>
      <c r="I728" s="383"/>
      <c r="J728" s="383"/>
      <c r="K728" s="383"/>
      <c r="L728" s="383"/>
      <c r="M728" s="383"/>
      <c r="N728" s="383"/>
      <c r="O728" s="383"/>
      <c r="P728" s="383"/>
      <c r="Q728" s="383"/>
      <c r="R728" s="383"/>
      <c r="S728" s="383"/>
      <c r="T728" s="383"/>
      <c r="U728" s="383"/>
      <c r="V728" s="383"/>
      <c r="W728" s="383"/>
      <c r="X728" s="383"/>
      <c r="Y728" s="383"/>
      <c r="Z728" s="383"/>
      <c r="AA728" s="383"/>
      <c r="AB728" s="383"/>
    </row>
    <row r="729" ht="16.5" customHeight="1">
      <c r="A729" s="465"/>
      <c r="B729" s="465"/>
      <c r="C729" s="383"/>
      <c r="D729" s="383"/>
      <c r="E729" s="383"/>
      <c r="F729" s="383"/>
      <c r="G729" s="383"/>
      <c r="H729" s="383"/>
      <c r="I729" s="383"/>
      <c r="J729" s="383"/>
      <c r="K729" s="383"/>
      <c r="L729" s="383"/>
      <c r="M729" s="383"/>
      <c r="N729" s="383"/>
      <c r="O729" s="383"/>
      <c r="P729" s="383"/>
      <c r="Q729" s="383"/>
      <c r="R729" s="383"/>
      <c r="S729" s="383"/>
      <c r="T729" s="383"/>
      <c r="U729" s="383"/>
      <c r="V729" s="383"/>
      <c r="W729" s="383"/>
      <c r="X729" s="383"/>
      <c r="Y729" s="383"/>
      <c r="Z729" s="383"/>
      <c r="AA729" s="383"/>
      <c r="AB729" s="383"/>
    </row>
    <row r="730" ht="16.5" customHeight="1">
      <c r="A730" s="465"/>
      <c r="B730" s="465"/>
      <c r="C730" s="383"/>
      <c r="D730" s="383"/>
      <c r="E730" s="383"/>
      <c r="F730" s="383"/>
      <c r="G730" s="383"/>
      <c r="H730" s="383"/>
      <c r="I730" s="383"/>
      <c r="J730" s="383"/>
      <c r="K730" s="383"/>
      <c r="L730" s="383"/>
      <c r="M730" s="383"/>
      <c r="N730" s="383"/>
      <c r="O730" s="383"/>
      <c r="P730" s="383"/>
      <c r="Q730" s="383"/>
      <c r="R730" s="383"/>
      <c r="S730" s="383"/>
      <c r="T730" s="383"/>
      <c r="U730" s="383"/>
      <c r="V730" s="383"/>
      <c r="W730" s="383"/>
      <c r="X730" s="383"/>
      <c r="Y730" s="383"/>
      <c r="Z730" s="383"/>
      <c r="AA730" s="383"/>
      <c r="AB730" s="383"/>
    </row>
    <row r="731" ht="16.5" customHeight="1">
      <c r="A731" s="465"/>
      <c r="B731" s="465"/>
      <c r="C731" s="383"/>
      <c r="D731" s="383"/>
      <c r="E731" s="383"/>
      <c r="F731" s="383"/>
      <c r="G731" s="383"/>
      <c r="H731" s="383"/>
      <c r="I731" s="383"/>
      <c r="J731" s="383"/>
      <c r="K731" s="383"/>
      <c r="L731" s="383"/>
      <c r="M731" s="383"/>
      <c r="N731" s="383"/>
      <c r="O731" s="383"/>
      <c r="P731" s="383"/>
      <c r="Q731" s="383"/>
      <c r="R731" s="383"/>
      <c r="S731" s="383"/>
      <c r="T731" s="383"/>
      <c r="U731" s="383"/>
      <c r="V731" s="383"/>
      <c r="W731" s="383"/>
      <c r="X731" s="383"/>
      <c r="Y731" s="383"/>
      <c r="Z731" s="383"/>
      <c r="AA731" s="383"/>
      <c r="AB731" s="383"/>
    </row>
    <row r="732" ht="16.5" customHeight="1">
      <c r="A732" s="465"/>
      <c r="B732" s="465"/>
      <c r="C732" s="383"/>
      <c r="D732" s="383"/>
      <c r="E732" s="383"/>
      <c r="F732" s="383"/>
      <c r="G732" s="383"/>
      <c r="H732" s="383"/>
      <c r="I732" s="383"/>
      <c r="J732" s="383"/>
      <c r="K732" s="383"/>
      <c r="L732" s="383"/>
      <c r="M732" s="383"/>
      <c r="N732" s="383"/>
      <c r="O732" s="383"/>
      <c r="P732" s="383"/>
      <c r="Q732" s="383"/>
      <c r="R732" s="383"/>
      <c r="S732" s="383"/>
      <c r="T732" s="383"/>
      <c r="U732" s="383"/>
      <c r="V732" s="383"/>
      <c r="W732" s="383"/>
      <c r="X732" s="383"/>
      <c r="Y732" s="383"/>
      <c r="Z732" s="383"/>
      <c r="AA732" s="383"/>
      <c r="AB732" s="383"/>
    </row>
    <row r="733" ht="16.5" customHeight="1">
      <c r="A733" s="465"/>
      <c r="B733" s="465"/>
      <c r="C733" s="383"/>
      <c r="D733" s="383"/>
      <c r="E733" s="383"/>
      <c r="F733" s="383"/>
      <c r="G733" s="383"/>
      <c r="H733" s="383"/>
      <c r="I733" s="383"/>
      <c r="J733" s="383"/>
      <c r="K733" s="383"/>
      <c r="L733" s="383"/>
      <c r="M733" s="383"/>
      <c r="N733" s="383"/>
      <c r="O733" s="383"/>
      <c r="P733" s="383"/>
      <c r="Q733" s="383"/>
      <c r="R733" s="383"/>
      <c r="S733" s="383"/>
      <c r="T733" s="383"/>
      <c r="U733" s="383"/>
      <c r="V733" s="383"/>
      <c r="W733" s="383"/>
      <c r="X733" s="383"/>
      <c r="Y733" s="383"/>
      <c r="Z733" s="383"/>
      <c r="AA733" s="383"/>
      <c r="AB733" s="383"/>
    </row>
    <row r="734" ht="16.5" customHeight="1">
      <c r="A734" s="465"/>
      <c r="B734" s="465"/>
      <c r="C734" s="383"/>
      <c r="D734" s="383"/>
      <c r="E734" s="383"/>
      <c r="F734" s="383"/>
      <c r="G734" s="383"/>
      <c r="H734" s="383"/>
      <c r="I734" s="383"/>
      <c r="J734" s="383"/>
      <c r="K734" s="383"/>
      <c r="L734" s="383"/>
      <c r="M734" s="383"/>
      <c r="N734" s="383"/>
      <c r="O734" s="383"/>
      <c r="P734" s="383"/>
      <c r="Q734" s="383"/>
      <c r="R734" s="383"/>
      <c r="S734" s="383"/>
      <c r="T734" s="383"/>
      <c r="U734" s="383"/>
      <c r="V734" s="383"/>
      <c r="W734" s="383"/>
      <c r="X734" s="383"/>
      <c r="Y734" s="383"/>
      <c r="Z734" s="383"/>
      <c r="AA734" s="383"/>
      <c r="AB734" s="383"/>
    </row>
    <row r="735" ht="16.5" customHeight="1">
      <c r="A735" s="465"/>
      <c r="B735" s="465"/>
      <c r="C735" s="383"/>
      <c r="D735" s="383"/>
      <c r="E735" s="383"/>
      <c r="F735" s="383"/>
      <c r="G735" s="383"/>
      <c r="H735" s="383"/>
      <c r="I735" s="383"/>
      <c r="J735" s="383"/>
      <c r="K735" s="383"/>
      <c r="L735" s="383"/>
      <c r="M735" s="383"/>
      <c r="N735" s="383"/>
      <c r="O735" s="383"/>
      <c r="P735" s="383"/>
      <c r="Q735" s="383"/>
      <c r="R735" s="383"/>
      <c r="S735" s="383"/>
      <c r="T735" s="383"/>
      <c r="U735" s="383"/>
      <c r="V735" s="383"/>
      <c r="W735" s="383"/>
      <c r="X735" s="383"/>
      <c r="Y735" s="383"/>
      <c r="Z735" s="383"/>
      <c r="AA735" s="383"/>
      <c r="AB735" s="383"/>
    </row>
    <row r="736" ht="16.5" customHeight="1">
      <c r="A736" s="465"/>
      <c r="B736" s="465"/>
      <c r="C736" s="383"/>
      <c r="D736" s="383"/>
      <c r="E736" s="383"/>
      <c r="F736" s="383"/>
      <c r="G736" s="383"/>
      <c r="H736" s="383"/>
      <c r="I736" s="383"/>
      <c r="J736" s="383"/>
      <c r="K736" s="383"/>
      <c r="L736" s="383"/>
      <c r="M736" s="383"/>
      <c r="N736" s="383"/>
      <c r="O736" s="383"/>
      <c r="P736" s="383"/>
      <c r="Q736" s="383"/>
      <c r="R736" s="383"/>
      <c r="S736" s="383"/>
      <c r="T736" s="383"/>
      <c r="U736" s="383"/>
      <c r="V736" s="383"/>
      <c r="W736" s="383"/>
      <c r="X736" s="383"/>
      <c r="Y736" s="383"/>
      <c r="Z736" s="383"/>
      <c r="AA736" s="383"/>
      <c r="AB736" s="383"/>
    </row>
    <row r="737" ht="16.5" customHeight="1">
      <c r="A737" s="465"/>
      <c r="B737" s="465"/>
      <c r="C737" s="383"/>
      <c r="D737" s="383"/>
      <c r="E737" s="383"/>
      <c r="F737" s="383"/>
      <c r="G737" s="383"/>
      <c r="H737" s="383"/>
      <c r="I737" s="383"/>
      <c r="J737" s="383"/>
      <c r="K737" s="383"/>
      <c r="L737" s="383"/>
      <c r="M737" s="383"/>
      <c r="N737" s="383"/>
      <c r="O737" s="383"/>
      <c r="P737" s="383"/>
      <c r="Q737" s="383"/>
      <c r="R737" s="383"/>
      <c r="S737" s="383"/>
      <c r="T737" s="383"/>
      <c r="U737" s="383"/>
      <c r="V737" s="383"/>
      <c r="W737" s="383"/>
      <c r="X737" s="383"/>
      <c r="Y737" s="383"/>
      <c r="Z737" s="383"/>
      <c r="AA737" s="383"/>
      <c r="AB737" s="383"/>
    </row>
    <row r="738" ht="16.5" customHeight="1">
      <c r="A738" s="465"/>
      <c r="B738" s="465"/>
      <c r="C738" s="383"/>
      <c r="D738" s="383"/>
      <c r="E738" s="383"/>
      <c r="F738" s="383"/>
      <c r="G738" s="383"/>
      <c r="H738" s="383"/>
      <c r="I738" s="383"/>
      <c r="J738" s="383"/>
      <c r="K738" s="383"/>
      <c r="L738" s="383"/>
      <c r="M738" s="383"/>
      <c r="N738" s="383"/>
      <c r="O738" s="383"/>
      <c r="P738" s="383"/>
      <c r="Q738" s="383"/>
      <c r="R738" s="383"/>
      <c r="S738" s="383"/>
      <c r="T738" s="383"/>
      <c r="U738" s="383"/>
      <c r="V738" s="383"/>
      <c r="W738" s="383"/>
      <c r="X738" s="383"/>
      <c r="Y738" s="383"/>
      <c r="Z738" s="383"/>
      <c r="AA738" s="383"/>
      <c r="AB738" s="383"/>
    </row>
    <row r="739" ht="16.5" customHeight="1">
      <c r="A739" s="465"/>
      <c r="B739" s="465"/>
      <c r="C739" s="383"/>
      <c r="D739" s="383"/>
      <c r="E739" s="383"/>
      <c r="F739" s="383"/>
      <c r="G739" s="383"/>
      <c r="H739" s="383"/>
      <c r="I739" s="383"/>
      <c r="J739" s="383"/>
      <c r="K739" s="383"/>
      <c r="L739" s="383"/>
      <c r="M739" s="383"/>
      <c r="N739" s="383"/>
      <c r="O739" s="383"/>
      <c r="P739" s="383"/>
      <c r="Q739" s="383"/>
      <c r="R739" s="383"/>
      <c r="S739" s="383"/>
      <c r="T739" s="383"/>
      <c r="U739" s="383"/>
      <c r="V739" s="383"/>
      <c r="W739" s="383"/>
      <c r="X739" s="383"/>
      <c r="Y739" s="383"/>
      <c r="Z739" s="383"/>
      <c r="AA739" s="383"/>
      <c r="AB739" s="383"/>
    </row>
    <row r="740" ht="16.5" customHeight="1">
      <c r="A740" s="465"/>
      <c r="B740" s="465"/>
      <c r="C740" s="383"/>
      <c r="D740" s="383"/>
      <c r="E740" s="383"/>
      <c r="F740" s="383"/>
      <c r="G740" s="383"/>
      <c r="H740" s="383"/>
      <c r="I740" s="383"/>
      <c r="J740" s="383"/>
      <c r="K740" s="383"/>
      <c r="L740" s="383"/>
      <c r="M740" s="383"/>
      <c r="N740" s="383"/>
      <c r="O740" s="383"/>
      <c r="P740" s="383"/>
      <c r="Q740" s="383"/>
      <c r="R740" s="383"/>
      <c r="S740" s="383"/>
      <c r="T740" s="383"/>
      <c r="U740" s="383"/>
      <c r="V740" s="383"/>
      <c r="W740" s="383"/>
      <c r="X740" s="383"/>
      <c r="Y740" s="383"/>
      <c r="Z740" s="383"/>
      <c r="AA740" s="383"/>
      <c r="AB740" s="383"/>
    </row>
    <row r="741" ht="16.5" customHeight="1">
      <c r="A741" s="465"/>
      <c r="B741" s="465"/>
      <c r="C741" s="383"/>
      <c r="D741" s="383"/>
      <c r="E741" s="383"/>
      <c r="F741" s="383"/>
      <c r="G741" s="383"/>
      <c r="H741" s="383"/>
      <c r="I741" s="383"/>
      <c r="J741" s="383"/>
      <c r="K741" s="383"/>
      <c r="L741" s="383"/>
      <c r="M741" s="383"/>
      <c r="N741" s="383"/>
      <c r="O741" s="383"/>
      <c r="P741" s="383"/>
      <c r="Q741" s="383"/>
      <c r="R741" s="383"/>
      <c r="S741" s="383"/>
      <c r="T741" s="383"/>
      <c r="U741" s="383"/>
      <c r="V741" s="383"/>
      <c r="W741" s="383"/>
      <c r="X741" s="383"/>
      <c r="Y741" s="383"/>
      <c r="Z741" s="383"/>
      <c r="AA741" s="383"/>
      <c r="AB741" s="383"/>
    </row>
    <row r="742" ht="16.5" customHeight="1">
      <c r="A742" s="465"/>
      <c r="B742" s="465"/>
      <c r="C742" s="383"/>
      <c r="D742" s="383"/>
      <c r="E742" s="383"/>
      <c r="F742" s="383"/>
      <c r="G742" s="383"/>
      <c r="H742" s="383"/>
      <c r="I742" s="383"/>
      <c r="J742" s="383"/>
      <c r="K742" s="383"/>
      <c r="L742" s="383"/>
      <c r="M742" s="383"/>
      <c r="N742" s="383"/>
      <c r="O742" s="383"/>
      <c r="P742" s="383"/>
      <c r="Q742" s="383"/>
      <c r="R742" s="383"/>
      <c r="S742" s="383"/>
      <c r="T742" s="383"/>
      <c r="U742" s="383"/>
      <c r="V742" s="383"/>
      <c r="W742" s="383"/>
      <c r="X742" s="383"/>
      <c r="Y742" s="383"/>
      <c r="Z742" s="383"/>
      <c r="AA742" s="383"/>
      <c r="AB742" s="383"/>
    </row>
    <row r="743" ht="16.5" customHeight="1">
      <c r="A743" s="465"/>
      <c r="B743" s="465"/>
      <c r="C743" s="383"/>
      <c r="D743" s="383"/>
      <c r="E743" s="383"/>
      <c r="F743" s="383"/>
      <c r="G743" s="383"/>
      <c r="H743" s="383"/>
      <c r="I743" s="383"/>
      <c r="J743" s="383"/>
      <c r="K743" s="383"/>
      <c r="L743" s="383"/>
      <c r="M743" s="383"/>
      <c r="N743" s="383"/>
      <c r="O743" s="383"/>
      <c r="P743" s="383"/>
      <c r="Q743" s="383"/>
      <c r="R743" s="383"/>
      <c r="S743" s="383"/>
      <c r="T743" s="383"/>
      <c r="U743" s="383"/>
      <c r="V743" s="383"/>
      <c r="W743" s="383"/>
      <c r="X743" s="383"/>
      <c r="Y743" s="383"/>
      <c r="Z743" s="383"/>
      <c r="AA743" s="383"/>
      <c r="AB743" s="383"/>
    </row>
    <row r="744" ht="16.5" customHeight="1">
      <c r="A744" s="465"/>
      <c r="B744" s="465"/>
      <c r="C744" s="383"/>
      <c r="D744" s="383"/>
      <c r="E744" s="383"/>
      <c r="F744" s="383"/>
      <c r="G744" s="383"/>
      <c r="H744" s="383"/>
      <c r="I744" s="383"/>
      <c r="J744" s="383"/>
      <c r="K744" s="383"/>
      <c r="L744" s="383"/>
      <c r="M744" s="383"/>
      <c r="N744" s="383"/>
      <c r="O744" s="383"/>
      <c r="P744" s="383"/>
      <c r="Q744" s="383"/>
      <c r="R744" s="383"/>
      <c r="S744" s="383"/>
      <c r="T744" s="383"/>
      <c r="U744" s="383"/>
      <c r="V744" s="383"/>
      <c r="W744" s="383"/>
      <c r="X744" s="383"/>
      <c r="Y744" s="383"/>
      <c r="Z744" s="383"/>
      <c r="AA744" s="383"/>
      <c r="AB744" s="383"/>
    </row>
    <row r="745" ht="16.5" customHeight="1">
      <c r="A745" s="465"/>
      <c r="B745" s="465"/>
      <c r="C745" s="383"/>
      <c r="D745" s="383"/>
      <c r="E745" s="383"/>
      <c r="F745" s="383"/>
      <c r="G745" s="383"/>
      <c r="H745" s="383"/>
      <c r="I745" s="383"/>
      <c r="J745" s="383"/>
      <c r="K745" s="383"/>
      <c r="L745" s="383"/>
      <c r="M745" s="383"/>
      <c r="N745" s="383"/>
      <c r="O745" s="383"/>
      <c r="P745" s="383"/>
      <c r="Q745" s="383"/>
      <c r="R745" s="383"/>
      <c r="S745" s="383"/>
      <c r="T745" s="383"/>
      <c r="U745" s="383"/>
      <c r="V745" s="383"/>
      <c r="W745" s="383"/>
      <c r="X745" s="383"/>
      <c r="Y745" s="383"/>
      <c r="Z745" s="383"/>
      <c r="AA745" s="383"/>
      <c r="AB745" s="383"/>
    </row>
    <row r="746" ht="16.5" customHeight="1">
      <c r="A746" s="465"/>
      <c r="B746" s="465"/>
      <c r="C746" s="383"/>
      <c r="D746" s="383"/>
      <c r="E746" s="383"/>
      <c r="F746" s="383"/>
      <c r="G746" s="383"/>
      <c r="H746" s="383"/>
      <c r="I746" s="383"/>
      <c r="J746" s="383"/>
      <c r="K746" s="383"/>
      <c r="L746" s="383"/>
      <c r="M746" s="383"/>
      <c r="N746" s="383"/>
      <c r="O746" s="383"/>
      <c r="P746" s="383"/>
      <c r="Q746" s="383"/>
      <c r="R746" s="383"/>
      <c r="S746" s="383"/>
      <c r="T746" s="383"/>
      <c r="U746" s="383"/>
      <c r="V746" s="383"/>
      <c r="W746" s="383"/>
      <c r="X746" s="383"/>
      <c r="Y746" s="383"/>
      <c r="Z746" s="383"/>
      <c r="AA746" s="383"/>
      <c r="AB746" s="383"/>
    </row>
    <row r="747" ht="16.5" customHeight="1">
      <c r="A747" s="465"/>
      <c r="B747" s="465"/>
      <c r="C747" s="383"/>
      <c r="D747" s="383"/>
      <c r="E747" s="383"/>
      <c r="F747" s="383"/>
      <c r="G747" s="383"/>
      <c r="H747" s="383"/>
      <c r="I747" s="383"/>
      <c r="J747" s="383"/>
      <c r="K747" s="383"/>
      <c r="L747" s="383"/>
      <c r="M747" s="383"/>
      <c r="N747" s="383"/>
      <c r="O747" s="383"/>
      <c r="P747" s="383"/>
      <c r="Q747" s="383"/>
      <c r="R747" s="383"/>
      <c r="S747" s="383"/>
      <c r="T747" s="383"/>
      <c r="U747" s="383"/>
      <c r="V747" s="383"/>
      <c r="W747" s="383"/>
      <c r="X747" s="383"/>
      <c r="Y747" s="383"/>
      <c r="Z747" s="383"/>
      <c r="AA747" s="383"/>
      <c r="AB747" s="383"/>
    </row>
    <row r="748" ht="16.5" customHeight="1">
      <c r="A748" s="465"/>
      <c r="B748" s="465"/>
      <c r="C748" s="383"/>
      <c r="D748" s="383"/>
      <c r="E748" s="383"/>
      <c r="F748" s="383"/>
      <c r="G748" s="383"/>
      <c r="H748" s="383"/>
      <c r="I748" s="383"/>
      <c r="J748" s="383"/>
      <c r="K748" s="383"/>
      <c r="L748" s="383"/>
      <c r="M748" s="383"/>
      <c r="N748" s="383"/>
      <c r="O748" s="383"/>
      <c r="P748" s="383"/>
      <c r="Q748" s="383"/>
      <c r="R748" s="383"/>
      <c r="S748" s="383"/>
      <c r="T748" s="383"/>
      <c r="U748" s="383"/>
      <c r="V748" s="383"/>
      <c r="W748" s="383"/>
      <c r="X748" s="383"/>
      <c r="Y748" s="383"/>
      <c r="Z748" s="383"/>
      <c r="AA748" s="383"/>
      <c r="AB748" s="383"/>
    </row>
    <row r="749" ht="16.5" customHeight="1">
      <c r="A749" s="465"/>
      <c r="B749" s="465"/>
      <c r="C749" s="383"/>
      <c r="D749" s="383"/>
      <c r="E749" s="383"/>
      <c r="F749" s="383"/>
      <c r="G749" s="383"/>
      <c r="H749" s="383"/>
      <c r="I749" s="383"/>
      <c r="J749" s="383"/>
      <c r="K749" s="383"/>
      <c r="L749" s="383"/>
      <c r="M749" s="383"/>
      <c r="N749" s="383"/>
      <c r="O749" s="383"/>
      <c r="P749" s="383"/>
      <c r="Q749" s="383"/>
      <c r="R749" s="383"/>
      <c r="S749" s="383"/>
      <c r="T749" s="383"/>
      <c r="U749" s="383"/>
      <c r="V749" s="383"/>
      <c r="W749" s="383"/>
      <c r="X749" s="383"/>
      <c r="Y749" s="383"/>
      <c r="Z749" s="383"/>
      <c r="AA749" s="383"/>
      <c r="AB749" s="383"/>
    </row>
    <row r="750" ht="16.5" customHeight="1">
      <c r="A750" s="465"/>
      <c r="B750" s="465"/>
      <c r="C750" s="383"/>
      <c r="D750" s="383"/>
      <c r="E750" s="383"/>
      <c r="F750" s="383"/>
      <c r="G750" s="383"/>
      <c r="H750" s="383"/>
      <c r="I750" s="383"/>
      <c r="J750" s="383"/>
      <c r="K750" s="383"/>
      <c r="L750" s="383"/>
      <c r="M750" s="383"/>
      <c r="N750" s="383"/>
      <c r="O750" s="383"/>
      <c r="P750" s="383"/>
      <c r="Q750" s="383"/>
      <c r="R750" s="383"/>
      <c r="S750" s="383"/>
      <c r="T750" s="383"/>
      <c r="U750" s="383"/>
      <c r="V750" s="383"/>
      <c r="W750" s="383"/>
      <c r="X750" s="383"/>
      <c r="Y750" s="383"/>
      <c r="Z750" s="383"/>
      <c r="AA750" s="383"/>
      <c r="AB750" s="383"/>
    </row>
    <row r="751" ht="16.5" customHeight="1">
      <c r="A751" s="465"/>
      <c r="B751" s="465"/>
      <c r="C751" s="383"/>
      <c r="D751" s="383"/>
      <c r="E751" s="383"/>
      <c r="F751" s="383"/>
      <c r="G751" s="383"/>
      <c r="H751" s="383"/>
      <c r="I751" s="383"/>
      <c r="J751" s="383"/>
      <c r="K751" s="383"/>
      <c r="L751" s="383"/>
      <c r="M751" s="383"/>
      <c r="N751" s="383"/>
      <c r="O751" s="383"/>
      <c r="P751" s="383"/>
      <c r="Q751" s="383"/>
      <c r="R751" s="383"/>
      <c r="S751" s="383"/>
      <c r="T751" s="383"/>
      <c r="U751" s="383"/>
      <c r="V751" s="383"/>
      <c r="W751" s="383"/>
      <c r="X751" s="383"/>
      <c r="Y751" s="383"/>
      <c r="Z751" s="383"/>
      <c r="AA751" s="383"/>
      <c r="AB751" s="383"/>
    </row>
    <row r="752" ht="16.5" customHeight="1">
      <c r="A752" s="465"/>
      <c r="B752" s="465"/>
      <c r="C752" s="383"/>
      <c r="D752" s="383"/>
      <c r="E752" s="383"/>
      <c r="F752" s="383"/>
      <c r="G752" s="383"/>
      <c r="H752" s="383"/>
      <c r="I752" s="383"/>
      <c r="J752" s="383"/>
      <c r="K752" s="383"/>
      <c r="L752" s="383"/>
      <c r="M752" s="383"/>
      <c r="N752" s="383"/>
      <c r="O752" s="383"/>
      <c r="P752" s="383"/>
      <c r="Q752" s="383"/>
      <c r="R752" s="383"/>
      <c r="S752" s="383"/>
      <c r="T752" s="383"/>
      <c r="U752" s="383"/>
      <c r="V752" s="383"/>
      <c r="W752" s="383"/>
      <c r="X752" s="383"/>
      <c r="Y752" s="383"/>
      <c r="Z752" s="383"/>
      <c r="AA752" s="383"/>
      <c r="AB752" s="383"/>
    </row>
    <row r="753" ht="16.5" customHeight="1">
      <c r="A753" s="465"/>
      <c r="B753" s="465"/>
      <c r="C753" s="383"/>
      <c r="D753" s="383"/>
      <c r="E753" s="383"/>
      <c r="F753" s="383"/>
      <c r="G753" s="383"/>
      <c r="H753" s="383"/>
      <c r="I753" s="383"/>
      <c r="J753" s="383"/>
      <c r="K753" s="383"/>
      <c r="L753" s="383"/>
      <c r="M753" s="383"/>
      <c r="N753" s="383"/>
      <c r="O753" s="383"/>
      <c r="P753" s="383"/>
      <c r="Q753" s="383"/>
      <c r="R753" s="383"/>
      <c r="S753" s="383"/>
      <c r="T753" s="383"/>
      <c r="U753" s="383"/>
      <c r="V753" s="383"/>
      <c r="W753" s="383"/>
      <c r="X753" s="383"/>
      <c r="Y753" s="383"/>
      <c r="Z753" s="383"/>
      <c r="AA753" s="383"/>
      <c r="AB753" s="383"/>
    </row>
    <row r="754" ht="16.5" customHeight="1">
      <c r="A754" s="465"/>
      <c r="B754" s="465"/>
      <c r="C754" s="383"/>
      <c r="D754" s="383"/>
      <c r="E754" s="383"/>
      <c r="F754" s="383"/>
      <c r="G754" s="383"/>
      <c r="H754" s="383"/>
      <c r="I754" s="383"/>
      <c r="J754" s="383"/>
      <c r="K754" s="383"/>
      <c r="L754" s="383"/>
      <c r="M754" s="383"/>
      <c r="N754" s="383"/>
      <c r="O754" s="383"/>
      <c r="P754" s="383"/>
      <c r="Q754" s="383"/>
      <c r="R754" s="383"/>
      <c r="S754" s="383"/>
      <c r="T754" s="383"/>
      <c r="U754" s="383"/>
      <c r="V754" s="383"/>
      <c r="W754" s="383"/>
      <c r="X754" s="383"/>
      <c r="Y754" s="383"/>
      <c r="Z754" s="383"/>
      <c r="AA754" s="383"/>
      <c r="AB754" s="383"/>
    </row>
    <row r="755" ht="16.5" customHeight="1">
      <c r="A755" s="465"/>
      <c r="B755" s="465"/>
      <c r="C755" s="383"/>
      <c r="D755" s="383"/>
      <c r="E755" s="383"/>
      <c r="F755" s="383"/>
      <c r="G755" s="383"/>
      <c r="H755" s="383"/>
      <c r="I755" s="383"/>
      <c r="J755" s="383"/>
      <c r="K755" s="383"/>
      <c r="L755" s="383"/>
      <c r="M755" s="383"/>
      <c r="N755" s="383"/>
      <c r="O755" s="383"/>
      <c r="P755" s="383"/>
      <c r="Q755" s="383"/>
      <c r="R755" s="383"/>
      <c r="S755" s="383"/>
      <c r="T755" s="383"/>
      <c r="U755" s="383"/>
      <c r="V755" s="383"/>
      <c r="W755" s="383"/>
      <c r="X755" s="383"/>
      <c r="Y755" s="383"/>
      <c r="Z755" s="383"/>
      <c r="AA755" s="383"/>
      <c r="AB755" s="383"/>
    </row>
    <row r="756" ht="16.5" customHeight="1">
      <c r="A756" s="465"/>
      <c r="B756" s="465"/>
      <c r="C756" s="383"/>
      <c r="D756" s="383"/>
      <c r="E756" s="383"/>
      <c r="F756" s="383"/>
      <c r="G756" s="383"/>
      <c r="H756" s="383"/>
      <c r="I756" s="383"/>
      <c r="J756" s="383"/>
      <c r="K756" s="383"/>
      <c r="L756" s="383"/>
      <c r="M756" s="383"/>
      <c r="N756" s="383"/>
      <c r="O756" s="383"/>
      <c r="P756" s="383"/>
      <c r="Q756" s="383"/>
      <c r="R756" s="383"/>
      <c r="S756" s="383"/>
      <c r="T756" s="383"/>
      <c r="U756" s="383"/>
      <c r="V756" s="383"/>
      <c r="W756" s="383"/>
      <c r="X756" s="383"/>
      <c r="Y756" s="383"/>
      <c r="Z756" s="383"/>
      <c r="AA756" s="383"/>
      <c r="AB756" s="383"/>
    </row>
    <row r="757" ht="16.5" customHeight="1">
      <c r="A757" s="465"/>
      <c r="B757" s="465"/>
      <c r="C757" s="383"/>
      <c r="D757" s="383"/>
      <c r="E757" s="383"/>
      <c r="F757" s="383"/>
      <c r="G757" s="383"/>
      <c r="H757" s="383"/>
      <c r="I757" s="383"/>
      <c r="J757" s="383"/>
      <c r="K757" s="383"/>
      <c r="L757" s="383"/>
      <c r="M757" s="383"/>
      <c r="N757" s="383"/>
      <c r="O757" s="383"/>
      <c r="P757" s="383"/>
      <c r="Q757" s="383"/>
      <c r="R757" s="383"/>
      <c r="S757" s="383"/>
      <c r="T757" s="383"/>
      <c r="U757" s="383"/>
      <c r="V757" s="383"/>
      <c r="W757" s="383"/>
      <c r="X757" s="383"/>
      <c r="Y757" s="383"/>
      <c r="Z757" s="383"/>
      <c r="AA757" s="383"/>
      <c r="AB757" s="383"/>
    </row>
    <row r="758" ht="16.5" customHeight="1">
      <c r="A758" s="465"/>
      <c r="B758" s="465"/>
      <c r="C758" s="383"/>
      <c r="D758" s="383"/>
      <c r="E758" s="383"/>
      <c r="F758" s="383"/>
      <c r="G758" s="383"/>
      <c r="H758" s="383"/>
      <c r="I758" s="383"/>
      <c r="J758" s="383"/>
      <c r="K758" s="383"/>
      <c r="L758" s="383"/>
      <c r="M758" s="383"/>
      <c r="N758" s="383"/>
      <c r="O758" s="383"/>
      <c r="P758" s="383"/>
      <c r="Q758" s="383"/>
      <c r="R758" s="383"/>
      <c r="S758" s="383"/>
      <c r="T758" s="383"/>
      <c r="U758" s="383"/>
      <c r="V758" s="383"/>
      <c r="W758" s="383"/>
      <c r="X758" s="383"/>
      <c r="Y758" s="383"/>
      <c r="Z758" s="383"/>
      <c r="AA758" s="383"/>
      <c r="AB758" s="383"/>
    </row>
    <row r="759" ht="16.5" customHeight="1">
      <c r="A759" s="465"/>
      <c r="B759" s="465"/>
      <c r="C759" s="383"/>
      <c r="D759" s="383"/>
      <c r="E759" s="383"/>
      <c r="F759" s="383"/>
      <c r="G759" s="383"/>
      <c r="H759" s="383"/>
      <c r="I759" s="383"/>
      <c r="J759" s="383"/>
      <c r="K759" s="383"/>
      <c r="L759" s="383"/>
      <c r="M759" s="383"/>
      <c r="N759" s="383"/>
      <c r="O759" s="383"/>
      <c r="P759" s="383"/>
      <c r="Q759" s="383"/>
      <c r="R759" s="383"/>
      <c r="S759" s="383"/>
      <c r="T759" s="383"/>
      <c r="U759" s="383"/>
      <c r="V759" s="383"/>
      <c r="W759" s="383"/>
      <c r="X759" s="383"/>
      <c r="Y759" s="383"/>
      <c r="Z759" s="383"/>
      <c r="AA759" s="383"/>
      <c r="AB759" s="383"/>
    </row>
    <row r="760" ht="16.5" customHeight="1">
      <c r="A760" s="465"/>
      <c r="B760" s="465"/>
      <c r="C760" s="383"/>
      <c r="D760" s="383"/>
      <c r="E760" s="383"/>
      <c r="F760" s="383"/>
      <c r="G760" s="383"/>
      <c r="H760" s="383"/>
      <c r="I760" s="383"/>
      <c r="J760" s="383"/>
      <c r="K760" s="383"/>
      <c r="L760" s="383"/>
      <c r="M760" s="383"/>
      <c r="N760" s="383"/>
      <c r="O760" s="383"/>
      <c r="P760" s="383"/>
      <c r="Q760" s="383"/>
      <c r="R760" s="383"/>
      <c r="S760" s="383"/>
      <c r="T760" s="383"/>
      <c r="U760" s="383"/>
      <c r="V760" s="383"/>
      <c r="W760" s="383"/>
      <c r="X760" s="383"/>
      <c r="Y760" s="383"/>
      <c r="Z760" s="383"/>
      <c r="AA760" s="383"/>
      <c r="AB760" s="383"/>
    </row>
    <row r="761" ht="16.5" customHeight="1">
      <c r="A761" s="465"/>
      <c r="B761" s="465"/>
      <c r="C761" s="383"/>
      <c r="D761" s="383"/>
      <c r="E761" s="383"/>
      <c r="F761" s="383"/>
      <c r="G761" s="383"/>
      <c r="H761" s="383"/>
      <c r="I761" s="383"/>
      <c r="J761" s="383"/>
      <c r="K761" s="383"/>
      <c r="L761" s="383"/>
      <c r="M761" s="383"/>
      <c r="N761" s="383"/>
      <c r="O761" s="383"/>
      <c r="P761" s="383"/>
      <c r="Q761" s="383"/>
      <c r="R761" s="383"/>
      <c r="S761" s="383"/>
      <c r="T761" s="383"/>
      <c r="U761" s="383"/>
      <c r="V761" s="383"/>
      <c r="W761" s="383"/>
      <c r="X761" s="383"/>
      <c r="Y761" s="383"/>
      <c r="Z761" s="383"/>
      <c r="AA761" s="383"/>
      <c r="AB761" s="383"/>
    </row>
    <row r="762" ht="16.5" customHeight="1">
      <c r="A762" s="465"/>
      <c r="B762" s="465"/>
      <c r="C762" s="383"/>
      <c r="D762" s="383"/>
      <c r="E762" s="383"/>
      <c r="F762" s="383"/>
      <c r="G762" s="383"/>
      <c r="H762" s="383"/>
      <c r="I762" s="383"/>
      <c r="J762" s="383"/>
      <c r="K762" s="383"/>
      <c r="L762" s="383"/>
      <c r="M762" s="383"/>
      <c r="N762" s="383"/>
      <c r="O762" s="383"/>
      <c r="P762" s="383"/>
      <c r="Q762" s="383"/>
      <c r="R762" s="383"/>
      <c r="S762" s="383"/>
      <c r="T762" s="383"/>
      <c r="U762" s="383"/>
      <c r="V762" s="383"/>
      <c r="W762" s="383"/>
      <c r="X762" s="383"/>
      <c r="Y762" s="383"/>
      <c r="Z762" s="383"/>
      <c r="AA762" s="383"/>
      <c r="AB762" s="383"/>
    </row>
    <row r="763" ht="16.5" customHeight="1">
      <c r="A763" s="465"/>
      <c r="B763" s="465"/>
      <c r="C763" s="383"/>
      <c r="D763" s="383"/>
      <c r="E763" s="383"/>
      <c r="F763" s="383"/>
      <c r="G763" s="383"/>
      <c r="H763" s="383"/>
      <c r="I763" s="383"/>
      <c r="J763" s="383"/>
      <c r="K763" s="383"/>
      <c r="L763" s="383"/>
      <c r="M763" s="383"/>
      <c r="N763" s="383"/>
      <c r="O763" s="383"/>
      <c r="P763" s="383"/>
      <c r="Q763" s="383"/>
      <c r="R763" s="383"/>
      <c r="S763" s="383"/>
      <c r="T763" s="383"/>
      <c r="U763" s="383"/>
      <c r="V763" s="383"/>
      <c r="W763" s="383"/>
      <c r="X763" s="383"/>
      <c r="Y763" s="383"/>
      <c r="Z763" s="383"/>
      <c r="AA763" s="383"/>
      <c r="AB763" s="383"/>
    </row>
    <row r="764" ht="16.5" customHeight="1">
      <c r="A764" s="465"/>
      <c r="B764" s="465"/>
      <c r="C764" s="383"/>
      <c r="D764" s="383"/>
      <c r="E764" s="383"/>
      <c r="F764" s="383"/>
      <c r="G764" s="383"/>
      <c r="H764" s="383"/>
      <c r="I764" s="383"/>
      <c r="J764" s="383"/>
      <c r="K764" s="383"/>
      <c r="L764" s="383"/>
      <c r="M764" s="383"/>
      <c r="N764" s="383"/>
      <c r="O764" s="383"/>
      <c r="P764" s="383"/>
      <c r="Q764" s="383"/>
      <c r="R764" s="383"/>
      <c r="S764" s="383"/>
      <c r="T764" s="383"/>
      <c r="U764" s="383"/>
      <c r="V764" s="383"/>
      <c r="W764" s="383"/>
      <c r="X764" s="383"/>
      <c r="Y764" s="383"/>
      <c r="Z764" s="383"/>
      <c r="AA764" s="383"/>
      <c r="AB764" s="383"/>
    </row>
    <row r="765" ht="16.5" customHeight="1">
      <c r="A765" s="465"/>
      <c r="B765" s="465"/>
      <c r="C765" s="383"/>
      <c r="D765" s="383"/>
      <c r="E765" s="383"/>
      <c r="F765" s="383"/>
      <c r="G765" s="383"/>
      <c r="H765" s="383"/>
      <c r="I765" s="383"/>
      <c r="J765" s="383"/>
      <c r="K765" s="383"/>
      <c r="L765" s="383"/>
      <c r="M765" s="383"/>
      <c r="N765" s="383"/>
      <c r="O765" s="383"/>
      <c r="P765" s="383"/>
      <c r="Q765" s="383"/>
      <c r="R765" s="383"/>
      <c r="S765" s="383"/>
      <c r="T765" s="383"/>
      <c r="U765" s="383"/>
      <c r="V765" s="383"/>
      <c r="W765" s="383"/>
      <c r="X765" s="383"/>
      <c r="Y765" s="383"/>
      <c r="Z765" s="383"/>
      <c r="AA765" s="383"/>
      <c r="AB765" s="383"/>
    </row>
    <row r="766" ht="16.5" customHeight="1">
      <c r="A766" s="465"/>
      <c r="B766" s="465"/>
      <c r="C766" s="383"/>
      <c r="D766" s="383"/>
      <c r="E766" s="383"/>
      <c r="F766" s="383"/>
      <c r="G766" s="383"/>
      <c r="H766" s="383"/>
      <c r="I766" s="383"/>
      <c r="J766" s="383"/>
      <c r="K766" s="383"/>
      <c r="L766" s="383"/>
      <c r="M766" s="383"/>
      <c r="N766" s="383"/>
      <c r="O766" s="383"/>
      <c r="P766" s="383"/>
      <c r="Q766" s="383"/>
      <c r="R766" s="383"/>
      <c r="S766" s="383"/>
      <c r="T766" s="383"/>
      <c r="U766" s="383"/>
      <c r="V766" s="383"/>
      <c r="W766" s="383"/>
      <c r="X766" s="383"/>
      <c r="Y766" s="383"/>
      <c r="Z766" s="383"/>
      <c r="AA766" s="383"/>
      <c r="AB766" s="383"/>
    </row>
    <row r="767" ht="16.5" customHeight="1">
      <c r="A767" s="465"/>
      <c r="B767" s="465"/>
      <c r="C767" s="383"/>
      <c r="D767" s="383"/>
      <c r="E767" s="383"/>
      <c r="F767" s="383"/>
      <c r="G767" s="383"/>
      <c r="H767" s="383"/>
      <c r="I767" s="383"/>
      <c r="J767" s="383"/>
      <c r="K767" s="383"/>
      <c r="L767" s="383"/>
      <c r="M767" s="383"/>
      <c r="N767" s="383"/>
      <c r="O767" s="383"/>
      <c r="P767" s="383"/>
      <c r="Q767" s="383"/>
      <c r="R767" s="383"/>
      <c r="S767" s="383"/>
      <c r="T767" s="383"/>
      <c r="U767" s="383"/>
      <c r="V767" s="383"/>
      <c r="W767" s="383"/>
      <c r="X767" s="383"/>
      <c r="Y767" s="383"/>
      <c r="Z767" s="383"/>
      <c r="AA767" s="383"/>
      <c r="AB767" s="383"/>
    </row>
    <row r="768" ht="16.5" customHeight="1">
      <c r="A768" s="465"/>
      <c r="B768" s="465"/>
      <c r="C768" s="383"/>
      <c r="D768" s="383"/>
      <c r="E768" s="383"/>
      <c r="F768" s="383"/>
      <c r="G768" s="383"/>
      <c r="H768" s="383"/>
      <c r="I768" s="383"/>
      <c r="J768" s="383"/>
      <c r="K768" s="383"/>
      <c r="L768" s="383"/>
      <c r="M768" s="383"/>
      <c r="N768" s="383"/>
      <c r="O768" s="383"/>
      <c r="P768" s="383"/>
      <c r="Q768" s="383"/>
      <c r="R768" s="383"/>
      <c r="S768" s="383"/>
      <c r="T768" s="383"/>
      <c r="U768" s="383"/>
      <c r="V768" s="383"/>
      <c r="W768" s="383"/>
      <c r="X768" s="383"/>
      <c r="Y768" s="383"/>
      <c r="Z768" s="383"/>
      <c r="AA768" s="383"/>
      <c r="AB768" s="383"/>
    </row>
    <row r="769" ht="16.5" customHeight="1">
      <c r="A769" s="465"/>
      <c r="B769" s="465"/>
      <c r="C769" s="383"/>
      <c r="D769" s="383"/>
      <c r="E769" s="383"/>
      <c r="F769" s="383"/>
      <c r="G769" s="383"/>
      <c r="H769" s="383"/>
      <c r="I769" s="383"/>
      <c r="J769" s="383"/>
      <c r="K769" s="383"/>
      <c r="L769" s="383"/>
      <c r="M769" s="383"/>
      <c r="N769" s="383"/>
      <c r="O769" s="383"/>
      <c r="P769" s="383"/>
      <c r="Q769" s="383"/>
      <c r="R769" s="383"/>
      <c r="S769" s="383"/>
      <c r="T769" s="383"/>
      <c r="U769" s="383"/>
      <c r="V769" s="383"/>
      <c r="W769" s="383"/>
      <c r="X769" s="383"/>
      <c r="Y769" s="383"/>
      <c r="Z769" s="383"/>
      <c r="AA769" s="383"/>
      <c r="AB769" s="383"/>
    </row>
    <row r="770" ht="16.5" customHeight="1">
      <c r="A770" s="465"/>
      <c r="B770" s="465"/>
      <c r="C770" s="383"/>
      <c r="D770" s="383"/>
      <c r="E770" s="383"/>
      <c r="F770" s="383"/>
      <c r="G770" s="383"/>
      <c r="H770" s="383"/>
      <c r="I770" s="383"/>
      <c r="J770" s="383"/>
      <c r="K770" s="383"/>
      <c r="L770" s="383"/>
      <c r="M770" s="383"/>
      <c r="N770" s="383"/>
      <c r="O770" s="383"/>
      <c r="P770" s="383"/>
      <c r="Q770" s="383"/>
      <c r="R770" s="383"/>
      <c r="S770" s="383"/>
      <c r="T770" s="383"/>
      <c r="U770" s="383"/>
      <c r="V770" s="383"/>
      <c r="W770" s="383"/>
      <c r="X770" s="383"/>
      <c r="Y770" s="383"/>
      <c r="Z770" s="383"/>
      <c r="AA770" s="383"/>
      <c r="AB770" s="383"/>
    </row>
    <row r="771" ht="16.5" customHeight="1">
      <c r="A771" s="465"/>
      <c r="B771" s="465"/>
      <c r="C771" s="383"/>
      <c r="D771" s="383"/>
      <c r="E771" s="383"/>
      <c r="F771" s="383"/>
      <c r="G771" s="383"/>
      <c r="H771" s="383"/>
      <c r="I771" s="383"/>
      <c r="J771" s="383"/>
      <c r="K771" s="383"/>
      <c r="L771" s="383"/>
      <c r="M771" s="383"/>
      <c r="N771" s="383"/>
      <c r="O771" s="383"/>
      <c r="P771" s="383"/>
      <c r="Q771" s="383"/>
      <c r="R771" s="383"/>
      <c r="S771" s="383"/>
      <c r="T771" s="383"/>
      <c r="U771" s="383"/>
      <c r="V771" s="383"/>
      <c r="W771" s="383"/>
      <c r="X771" s="383"/>
      <c r="Y771" s="383"/>
      <c r="Z771" s="383"/>
      <c r="AA771" s="383"/>
      <c r="AB771" s="383"/>
    </row>
    <row r="772" ht="16.5" customHeight="1">
      <c r="A772" s="465"/>
      <c r="B772" s="465"/>
      <c r="C772" s="383"/>
      <c r="D772" s="383"/>
      <c r="E772" s="383"/>
      <c r="F772" s="383"/>
      <c r="G772" s="383"/>
      <c r="H772" s="383"/>
      <c r="I772" s="383"/>
      <c r="J772" s="383"/>
      <c r="K772" s="383"/>
      <c r="L772" s="383"/>
      <c r="M772" s="383"/>
      <c r="N772" s="383"/>
      <c r="O772" s="383"/>
      <c r="P772" s="383"/>
      <c r="Q772" s="383"/>
      <c r="R772" s="383"/>
      <c r="S772" s="383"/>
      <c r="T772" s="383"/>
      <c r="U772" s="383"/>
      <c r="V772" s="383"/>
      <c r="W772" s="383"/>
      <c r="X772" s="383"/>
      <c r="Y772" s="383"/>
      <c r="Z772" s="383"/>
      <c r="AA772" s="383"/>
      <c r="AB772" s="383"/>
    </row>
    <row r="773" ht="16.5" customHeight="1">
      <c r="A773" s="465"/>
      <c r="B773" s="465"/>
      <c r="C773" s="383"/>
      <c r="D773" s="383"/>
      <c r="E773" s="383"/>
      <c r="F773" s="383"/>
      <c r="G773" s="383"/>
      <c r="H773" s="383"/>
      <c r="I773" s="383"/>
      <c r="J773" s="383"/>
      <c r="K773" s="383"/>
      <c r="L773" s="383"/>
      <c r="M773" s="383"/>
      <c r="N773" s="383"/>
      <c r="O773" s="383"/>
      <c r="P773" s="383"/>
      <c r="Q773" s="383"/>
      <c r="R773" s="383"/>
      <c r="S773" s="383"/>
      <c r="T773" s="383"/>
      <c r="U773" s="383"/>
      <c r="V773" s="383"/>
      <c r="W773" s="383"/>
      <c r="X773" s="383"/>
      <c r="Y773" s="383"/>
      <c r="Z773" s="383"/>
      <c r="AA773" s="383"/>
      <c r="AB773" s="383"/>
    </row>
    <row r="774" ht="16.5" customHeight="1">
      <c r="A774" s="465"/>
      <c r="B774" s="465"/>
      <c r="C774" s="383"/>
      <c r="D774" s="383"/>
      <c r="E774" s="383"/>
      <c r="F774" s="383"/>
      <c r="G774" s="383"/>
      <c r="H774" s="383"/>
      <c r="I774" s="383"/>
      <c r="J774" s="383"/>
      <c r="K774" s="383"/>
      <c r="L774" s="383"/>
      <c r="M774" s="383"/>
      <c r="N774" s="383"/>
      <c r="O774" s="383"/>
      <c r="P774" s="383"/>
      <c r="Q774" s="383"/>
      <c r="R774" s="383"/>
      <c r="S774" s="383"/>
      <c r="T774" s="383"/>
      <c r="U774" s="383"/>
      <c r="V774" s="383"/>
      <c r="W774" s="383"/>
      <c r="X774" s="383"/>
      <c r="Y774" s="383"/>
      <c r="Z774" s="383"/>
      <c r="AA774" s="383"/>
      <c r="AB774" s="383"/>
    </row>
    <row r="775" ht="16.5" customHeight="1">
      <c r="A775" s="465"/>
      <c r="B775" s="465"/>
      <c r="C775" s="383"/>
      <c r="D775" s="383"/>
      <c r="E775" s="383"/>
      <c r="F775" s="383"/>
      <c r="G775" s="383"/>
      <c r="H775" s="383"/>
      <c r="I775" s="383"/>
      <c r="J775" s="383"/>
      <c r="K775" s="383"/>
      <c r="L775" s="383"/>
      <c r="M775" s="383"/>
      <c r="N775" s="383"/>
      <c r="O775" s="383"/>
      <c r="P775" s="383"/>
      <c r="Q775" s="383"/>
      <c r="R775" s="383"/>
      <c r="S775" s="383"/>
      <c r="T775" s="383"/>
      <c r="U775" s="383"/>
      <c r="V775" s="383"/>
      <c r="W775" s="383"/>
      <c r="X775" s="383"/>
      <c r="Y775" s="383"/>
      <c r="Z775" s="383"/>
      <c r="AA775" s="383"/>
      <c r="AB775" s="383"/>
    </row>
    <row r="776" ht="16.5" customHeight="1">
      <c r="A776" s="465"/>
      <c r="B776" s="465"/>
      <c r="C776" s="383"/>
      <c r="D776" s="383"/>
      <c r="E776" s="383"/>
      <c r="F776" s="383"/>
      <c r="G776" s="383"/>
      <c r="H776" s="383"/>
      <c r="I776" s="383"/>
      <c r="J776" s="383"/>
      <c r="K776" s="383"/>
      <c r="L776" s="383"/>
      <c r="M776" s="383"/>
      <c r="N776" s="383"/>
      <c r="O776" s="383"/>
      <c r="P776" s="383"/>
      <c r="Q776" s="383"/>
      <c r="R776" s="383"/>
      <c r="S776" s="383"/>
      <c r="T776" s="383"/>
      <c r="U776" s="383"/>
      <c r="V776" s="383"/>
      <c r="W776" s="383"/>
      <c r="X776" s="383"/>
      <c r="Y776" s="383"/>
      <c r="Z776" s="383"/>
      <c r="AA776" s="383"/>
      <c r="AB776" s="383"/>
    </row>
    <row r="777" ht="16.5" customHeight="1">
      <c r="A777" s="465"/>
      <c r="B777" s="465"/>
      <c r="C777" s="383"/>
      <c r="D777" s="383"/>
      <c r="E777" s="383"/>
      <c r="F777" s="383"/>
      <c r="G777" s="383"/>
      <c r="H777" s="383"/>
      <c r="I777" s="383"/>
      <c r="J777" s="383"/>
      <c r="K777" s="383"/>
      <c r="L777" s="383"/>
      <c r="M777" s="383"/>
      <c r="N777" s="383"/>
      <c r="O777" s="383"/>
      <c r="P777" s="383"/>
      <c r="Q777" s="383"/>
      <c r="R777" s="383"/>
      <c r="S777" s="383"/>
      <c r="T777" s="383"/>
      <c r="U777" s="383"/>
      <c r="V777" s="383"/>
      <c r="W777" s="383"/>
      <c r="X777" s="383"/>
      <c r="Y777" s="383"/>
      <c r="Z777" s="383"/>
      <c r="AA777" s="383"/>
      <c r="AB777" s="383"/>
    </row>
    <row r="778" ht="16.5" customHeight="1">
      <c r="A778" s="465"/>
      <c r="B778" s="465"/>
      <c r="C778" s="383"/>
      <c r="D778" s="383"/>
      <c r="E778" s="383"/>
      <c r="F778" s="383"/>
      <c r="G778" s="383"/>
      <c r="H778" s="383"/>
      <c r="I778" s="383"/>
      <c r="J778" s="383"/>
      <c r="K778" s="383"/>
      <c r="L778" s="383"/>
      <c r="M778" s="383"/>
      <c r="N778" s="383"/>
      <c r="O778" s="383"/>
      <c r="P778" s="383"/>
      <c r="Q778" s="383"/>
      <c r="R778" s="383"/>
      <c r="S778" s="383"/>
      <c r="T778" s="383"/>
      <c r="U778" s="383"/>
      <c r="V778" s="383"/>
      <c r="W778" s="383"/>
      <c r="X778" s="383"/>
      <c r="Y778" s="383"/>
      <c r="Z778" s="383"/>
      <c r="AA778" s="383"/>
      <c r="AB778" s="383"/>
    </row>
    <row r="779" ht="16.5" customHeight="1">
      <c r="A779" s="465"/>
      <c r="B779" s="465"/>
      <c r="C779" s="383"/>
      <c r="D779" s="383"/>
      <c r="E779" s="383"/>
      <c r="F779" s="383"/>
      <c r="G779" s="383"/>
      <c r="H779" s="383"/>
      <c r="I779" s="383"/>
      <c r="J779" s="383"/>
      <c r="K779" s="383"/>
      <c r="L779" s="383"/>
      <c r="M779" s="383"/>
      <c r="N779" s="383"/>
      <c r="O779" s="383"/>
      <c r="P779" s="383"/>
      <c r="Q779" s="383"/>
      <c r="R779" s="383"/>
      <c r="S779" s="383"/>
      <c r="T779" s="383"/>
      <c r="U779" s="383"/>
      <c r="V779" s="383"/>
      <c r="W779" s="383"/>
      <c r="X779" s="383"/>
      <c r="Y779" s="383"/>
      <c r="Z779" s="383"/>
      <c r="AA779" s="383"/>
      <c r="AB779" s="383"/>
    </row>
    <row r="780" ht="16.5" customHeight="1">
      <c r="A780" s="465"/>
      <c r="B780" s="465"/>
      <c r="C780" s="383"/>
      <c r="D780" s="383"/>
      <c r="E780" s="383"/>
      <c r="F780" s="383"/>
      <c r="G780" s="383"/>
      <c r="H780" s="383"/>
      <c r="I780" s="383"/>
      <c r="J780" s="383"/>
      <c r="K780" s="383"/>
      <c r="L780" s="383"/>
      <c r="M780" s="383"/>
      <c r="N780" s="383"/>
      <c r="O780" s="383"/>
      <c r="P780" s="383"/>
      <c r="Q780" s="383"/>
      <c r="R780" s="383"/>
      <c r="S780" s="383"/>
      <c r="T780" s="383"/>
      <c r="U780" s="383"/>
      <c r="V780" s="383"/>
      <c r="W780" s="383"/>
      <c r="X780" s="383"/>
      <c r="Y780" s="383"/>
      <c r="Z780" s="383"/>
      <c r="AA780" s="383"/>
      <c r="AB780" s="383"/>
    </row>
    <row r="781" ht="16.5" customHeight="1">
      <c r="A781" s="465"/>
      <c r="B781" s="465"/>
      <c r="C781" s="383"/>
      <c r="D781" s="383"/>
      <c r="E781" s="383"/>
      <c r="F781" s="383"/>
      <c r="G781" s="383"/>
      <c r="H781" s="383"/>
      <c r="I781" s="383"/>
      <c r="J781" s="383"/>
      <c r="K781" s="383"/>
      <c r="L781" s="383"/>
      <c r="M781" s="383"/>
      <c r="N781" s="383"/>
      <c r="O781" s="383"/>
      <c r="P781" s="383"/>
      <c r="Q781" s="383"/>
      <c r="R781" s="383"/>
      <c r="S781" s="383"/>
      <c r="T781" s="383"/>
      <c r="U781" s="383"/>
      <c r="V781" s="383"/>
      <c r="W781" s="383"/>
      <c r="X781" s="383"/>
      <c r="Y781" s="383"/>
      <c r="Z781" s="383"/>
      <c r="AA781" s="383"/>
      <c r="AB781" s="383"/>
    </row>
    <row r="782" ht="16.5" customHeight="1">
      <c r="A782" s="465"/>
      <c r="B782" s="465"/>
      <c r="C782" s="383"/>
      <c r="D782" s="383"/>
      <c r="E782" s="383"/>
      <c r="F782" s="383"/>
      <c r="G782" s="383"/>
      <c r="H782" s="383"/>
      <c r="I782" s="383"/>
      <c r="J782" s="383"/>
      <c r="K782" s="383"/>
      <c r="L782" s="383"/>
      <c r="M782" s="383"/>
      <c r="N782" s="383"/>
      <c r="O782" s="383"/>
      <c r="P782" s="383"/>
      <c r="Q782" s="383"/>
      <c r="R782" s="383"/>
      <c r="S782" s="383"/>
      <c r="T782" s="383"/>
      <c r="U782" s="383"/>
      <c r="V782" s="383"/>
      <c r="W782" s="383"/>
      <c r="X782" s="383"/>
      <c r="Y782" s="383"/>
      <c r="Z782" s="383"/>
      <c r="AA782" s="383"/>
      <c r="AB782" s="383"/>
    </row>
    <row r="783" ht="16.5" customHeight="1">
      <c r="A783" s="465"/>
      <c r="B783" s="465"/>
      <c r="C783" s="383"/>
      <c r="D783" s="383"/>
      <c r="E783" s="383"/>
      <c r="F783" s="383"/>
      <c r="G783" s="383"/>
      <c r="H783" s="383"/>
      <c r="I783" s="383"/>
      <c r="J783" s="383"/>
      <c r="K783" s="383"/>
      <c r="L783" s="383"/>
      <c r="M783" s="383"/>
      <c r="N783" s="383"/>
      <c r="O783" s="383"/>
      <c r="P783" s="383"/>
      <c r="Q783" s="383"/>
      <c r="R783" s="383"/>
      <c r="S783" s="383"/>
      <c r="T783" s="383"/>
      <c r="U783" s="383"/>
      <c r="V783" s="383"/>
      <c r="W783" s="383"/>
      <c r="X783" s="383"/>
      <c r="Y783" s="383"/>
      <c r="Z783" s="383"/>
      <c r="AA783" s="383"/>
      <c r="AB783" s="383"/>
    </row>
    <row r="784" ht="16.5" customHeight="1">
      <c r="A784" s="465"/>
      <c r="B784" s="465"/>
      <c r="C784" s="383"/>
      <c r="D784" s="383"/>
      <c r="E784" s="383"/>
      <c r="F784" s="383"/>
      <c r="G784" s="383"/>
      <c r="H784" s="383"/>
      <c r="I784" s="383"/>
      <c r="J784" s="383"/>
      <c r="K784" s="383"/>
      <c r="L784" s="383"/>
      <c r="M784" s="383"/>
      <c r="N784" s="383"/>
      <c r="O784" s="383"/>
      <c r="P784" s="383"/>
      <c r="Q784" s="383"/>
      <c r="R784" s="383"/>
      <c r="S784" s="383"/>
      <c r="T784" s="383"/>
      <c r="U784" s="383"/>
      <c r="V784" s="383"/>
      <c r="W784" s="383"/>
      <c r="X784" s="383"/>
      <c r="Y784" s="383"/>
      <c r="Z784" s="383"/>
      <c r="AA784" s="383"/>
      <c r="AB784" s="383"/>
    </row>
    <row r="785" ht="16.5" customHeight="1">
      <c r="A785" s="465"/>
      <c r="B785" s="465"/>
      <c r="C785" s="383"/>
      <c r="D785" s="383"/>
      <c r="E785" s="383"/>
      <c r="F785" s="383"/>
      <c r="G785" s="383"/>
      <c r="H785" s="383"/>
      <c r="I785" s="383"/>
      <c r="J785" s="383"/>
      <c r="K785" s="383"/>
      <c r="L785" s="383"/>
      <c r="M785" s="383"/>
      <c r="N785" s="383"/>
      <c r="O785" s="383"/>
      <c r="P785" s="383"/>
      <c r="Q785" s="383"/>
      <c r="R785" s="383"/>
      <c r="S785" s="383"/>
      <c r="T785" s="383"/>
      <c r="U785" s="383"/>
      <c r="V785" s="383"/>
      <c r="W785" s="383"/>
      <c r="X785" s="383"/>
      <c r="Y785" s="383"/>
      <c r="Z785" s="383"/>
      <c r="AA785" s="383"/>
      <c r="AB785" s="383"/>
    </row>
    <row r="786" ht="16.5" customHeight="1">
      <c r="A786" s="465"/>
      <c r="B786" s="465"/>
      <c r="C786" s="383"/>
      <c r="D786" s="383"/>
      <c r="E786" s="383"/>
      <c r="F786" s="383"/>
      <c r="G786" s="383"/>
      <c r="H786" s="383"/>
      <c r="I786" s="383"/>
      <c r="J786" s="383"/>
      <c r="K786" s="383"/>
      <c r="L786" s="383"/>
      <c r="M786" s="383"/>
      <c r="N786" s="383"/>
      <c r="O786" s="383"/>
      <c r="P786" s="383"/>
      <c r="Q786" s="383"/>
      <c r="R786" s="383"/>
      <c r="S786" s="383"/>
      <c r="T786" s="383"/>
      <c r="U786" s="383"/>
      <c r="V786" s="383"/>
      <c r="W786" s="383"/>
      <c r="X786" s="383"/>
      <c r="Y786" s="383"/>
      <c r="Z786" s="383"/>
      <c r="AA786" s="383"/>
      <c r="AB786" s="383"/>
    </row>
    <row r="787" ht="16.5" customHeight="1">
      <c r="A787" s="465"/>
      <c r="B787" s="465"/>
      <c r="C787" s="383"/>
      <c r="D787" s="383"/>
      <c r="E787" s="383"/>
      <c r="F787" s="383"/>
      <c r="G787" s="383"/>
      <c r="H787" s="383"/>
      <c r="I787" s="383"/>
      <c r="J787" s="383"/>
      <c r="K787" s="383"/>
      <c r="L787" s="383"/>
      <c r="M787" s="383"/>
      <c r="N787" s="383"/>
      <c r="O787" s="383"/>
      <c r="P787" s="383"/>
      <c r="Q787" s="383"/>
      <c r="R787" s="383"/>
      <c r="S787" s="383"/>
      <c r="T787" s="383"/>
      <c r="U787" s="383"/>
      <c r="V787" s="383"/>
      <c r="W787" s="383"/>
      <c r="X787" s="383"/>
      <c r="Y787" s="383"/>
      <c r="Z787" s="383"/>
      <c r="AA787" s="383"/>
      <c r="AB787" s="383"/>
    </row>
    <row r="788" ht="16.5" customHeight="1">
      <c r="A788" s="465"/>
      <c r="B788" s="465"/>
      <c r="C788" s="383"/>
      <c r="D788" s="383"/>
      <c r="E788" s="383"/>
      <c r="F788" s="383"/>
      <c r="G788" s="383"/>
      <c r="H788" s="383"/>
      <c r="I788" s="383"/>
      <c r="J788" s="383"/>
      <c r="K788" s="383"/>
      <c r="L788" s="383"/>
      <c r="M788" s="383"/>
      <c r="N788" s="383"/>
      <c r="O788" s="383"/>
      <c r="P788" s="383"/>
      <c r="Q788" s="383"/>
      <c r="R788" s="383"/>
      <c r="S788" s="383"/>
      <c r="T788" s="383"/>
      <c r="U788" s="383"/>
      <c r="V788" s="383"/>
      <c r="W788" s="383"/>
      <c r="X788" s="383"/>
      <c r="Y788" s="383"/>
      <c r="Z788" s="383"/>
      <c r="AA788" s="383"/>
      <c r="AB788" s="383"/>
    </row>
    <row r="789" ht="16.5" customHeight="1">
      <c r="A789" s="465"/>
      <c r="B789" s="465"/>
      <c r="C789" s="383"/>
      <c r="D789" s="383"/>
      <c r="E789" s="383"/>
      <c r="F789" s="383"/>
      <c r="G789" s="383"/>
      <c r="H789" s="383"/>
      <c r="I789" s="383"/>
      <c r="J789" s="383"/>
      <c r="K789" s="383"/>
      <c r="L789" s="383"/>
      <c r="M789" s="383"/>
      <c r="N789" s="383"/>
      <c r="O789" s="383"/>
      <c r="P789" s="383"/>
      <c r="Q789" s="383"/>
      <c r="R789" s="383"/>
      <c r="S789" s="383"/>
      <c r="T789" s="383"/>
      <c r="U789" s="383"/>
      <c r="V789" s="383"/>
      <c r="W789" s="383"/>
      <c r="X789" s="383"/>
      <c r="Y789" s="383"/>
      <c r="Z789" s="383"/>
      <c r="AA789" s="383"/>
      <c r="AB789" s="383"/>
    </row>
    <row r="790" ht="16.5" customHeight="1">
      <c r="A790" s="465"/>
      <c r="B790" s="465"/>
      <c r="C790" s="383"/>
      <c r="D790" s="383"/>
      <c r="E790" s="383"/>
      <c r="F790" s="383"/>
      <c r="G790" s="383"/>
      <c r="H790" s="383"/>
      <c r="I790" s="383"/>
      <c r="J790" s="383"/>
      <c r="K790" s="383"/>
      <c r="L790" s="383"/>
      <c r="M790" s="383"/>
      <c r="N790" s="383"/>
      <c r="O790" s="383"/>
      <c r="P790" s="383"/>
      <c r="Q790" s="383"/>
      <c r="R790" s="383"/>
      <c r="S790" s="383"/>
      <c r="T790" s="383"/>
      <c r="U790" s="383"/>
      <c r="V790" s="383"/>
      <c r="W790" s="383"/>
      <c r="X790" s="383"/>
      <c r="Y790" s="383"/>
      <c r="Z790" s="383"/>
      <c r="AA790" s="383"/>
      <c r="AB790" s="383"/>
    </row>
    <row r="791" ht="16.5" customHeight="1">
      <c r="A791" s="465"/>
      <c r="B791" s="465"/>
      <c r="C791" s="383"/>
      <c r="D791" s="383"/>
      <c r="E791" s="383"/>
      <c r="F791" s="383"/>
      <c r="G791" s="383"/>
      <c r="H791" s="383"/>
      <c r="I791" s="383"/>
      <c r="J791" s="383"/>
      <c r="K791" s="383"/>
      <c r="L791" s="383"/>
      <c r="M791" s="383"/>
      <c r="N791" s="383"/>
      <c r="O791" s="383"/>
      <c r="P791" s="383"/>
      <c r="Q791" s="383"/>
      <c r="R791" s="383"/>
      <c r="S791" s="383"/>
      <c r="T791" s="383"/>
      <c r="U791" s="383"/>
      <c r="V791" s="383"/>
      <c r="W791" s="383"/>
      <c r="X791" s="383"/>
      <c r="Y791" s="383"/>
      <c r="Z791" s="383"/>
      <c r="AA791" s="383"/>
      <c r="AB791" s="383"/>
    </row>
    <row r="792" ht="16.5" customHeight="1">
      <c r="A792" s="465"/>
      <c r="B792" s="465"/>
      <c r="C792" s="383"/>
      <c r="D792" s="383"/>
      <c r="E792" s="383"/>
      <c r="F792" s="383"/>
      <c r="G792" s="383"/>
      <c r="H792" s="383"/>
      <c r="I792" s="383"/>
      <c r="J792" s="383"/>
      <c r="K792" s="383"/>
      <c r="L792" s="383"/>
      <c r="M792" s="383"/>
      <c r="N792" s="383"/>
      <c r="O792" s="383"/>
      <c r="P792" s="383"/>
      <c r="Q792" s="383"/>
      <c r="R792" s="383"/>
      <c r="S792" s="383"/>
      <c r="T792" s="383"/>
      <c r="U792" s="383"/>
      <c r="V792" s="383"/>
      <c r="W792" s="383"/>
      <c r="X792" s="383"/>
      <c r="Y792" s="383"/>
      <c r="Z792" s="383"/>
      <c r="AA792" s="383"/>
      <c r="AB792" s="383"/>
    </row>
    <row r="793" ht="16.5" customHeight="1">
      <c r="A793" s="465"/>
      <c r="B793" s="465"/>
      <c r="C793" s="383"/>
      <c r="D793" s="383"/>
      <c r="E793" s="383"/>
      <c r="F793" s="383"/>
      <c r="G793" s="383"/>
      <c r="H793" s="383"/>
      <c r="I793" s="383"/>
      <c r="J793" s="383"/>
      <c r="K793" s="383"/>
      <c r="L793" s="383"/>
      <c r="M793" s="383"/>
      <c r="N793" s="383"/>
      <c r="O793" s="383"/>
      <c r="P793" s="383"/>
      <c r="Q793" s="383"/>
      <c r="R793" s="383"/>
      <c r="S793" s="383"/>
      <c r="T793" s="383"/>
      <c r="U793" s="383"/>
      <c r="V793" s="383"/>
      <c r="W793" s="383"/>
      <c r="X793" s="383"/>
      <c r="Y793" s="383"/>
      <c r="Z793" s="383"/>
      <c r="AA793" s="383"/>
      <c r="AB793" s="383"/>
    </row>
    <row r="794" ht="16.5" customHeight="1">
      <c r="A794" s="465"/>
      <c r="B794" s="465"/>
      <c r="C794" s="383"/>
      <c r="D794" s="383"/>
      <c r="E794" s="383"/>
      <c r="F794" s="383"/>
      <c r="G794" s="383"/>
      <c r="H794" s="383"/>
      <c r="I794" s="383"/>
      <c r="J794" s="383"/>
      <c r="K794" s="383"/>
      <c r="L794" s="383"/>
      <c r="M794" s="383"/>
      <c r="N794" s="383"/>
      <c r="O794" s="383"/>
      <c r="P794" s="383"/>
      <c r="Q794" s="383"/>
      <c r="R794" s="383"/>
      <c r="S794" s="383"/>
      <c r="T794" s="383"/>
      <c r="U794" s="383"/>
      <c r="V794" s="383"/>
      <c r="W794" s="383"/>
      <c r="X794" s="383"/>
      <c r="Y794" s="383"/>
      <c r="Z794" s="383"/>
      <c r="AA794" s="383"/>
      <c r="AB794" s="383"/>
    </row>
    <row r="795" ht="16.5" customHeight="1">
      <c r="A795" s="465"/>
      <c r="B795" s="465"/>
      <c r="C795" s="383"/>
      <c r="D795" s="383"/>
      <c r="E795" s="383"/>
      <c r="F795" s="383"/>
      <c r="G795" s="383"/>
      <c r="H795" s="383"/>
      <c r="I795" s="383"/>
      <c r="J795" s="383"/>
      <c r="K795" s="383"/>
      <c r="L795" s="383"/>
      <c r="M795" s="383"/>
      <c r="N795" s="383"/>
      <c r="O795" s="383"/>
      <c r="P795" s="383"/>
      <c r="Q795" s="383"/>
      <c r="R795" s="383"/>
      <c r="S795" s="383"/>
      <c r="T795" s="383"/>
      <c r="U795" s="383"/>
      <c r="V795" s="383"/>
      <c r="W795" s="383"/>
      <c r="X795" s="383"/>
      <c r="Y795" s="383"/>
      <c r="Z795" s="383"/>
      <c r="AA795" s="383"/>
      <c r="AB795" s="383"/>
    </row>
    <row r="796" ht="16.5" customHeight="1">
      <c r="A796" s="465"/>
      <c r="B796" s="465"/>
      <c r="C796" s="383"/>
      <c r="D796" s="383"/>
      <c r="E796" s="383"/>
      <c r="F796" s="383"/>
      <c r="G796" s="383"/>
      <c r="H796" s="383"/>
      <c r="I796" s="383"/>
      <c r="J796" s="383"/>
      <c r="K796" s="383"/>
      <c r="L796" s="383"/>
      <c r="M796" s="383"/>
      <c r="N796" s="383"/>
      <c r="O796" s="383"/>
      <c r="P796" s="383"/>
      <c r="Q796" s="383"/>
      <c r="R796" s="383"/>
      <c r="S796" s="383"/>
      <c r="T796" s="383"/>
      <c r="U796" s="383"/>
      <c r="V796" s="383"/>
      <c r="W796" s="383"/>
      <c r="X796" s="383"/>
      <c r="Y796" s="383"/>
      <c r="Z796" s="383"/>
      <c r="AA796" s="383"/>
      <c r="AB796" s="383"/>
    </row>
    <row r="797" ht="16.5" customHeight="1">
      <c r="A797" s="465"/>
      <c r="B797" s="465"/>
      <c r="C797" s="383"/>
      <c r="D797" s="383"/>
      <c r="E797" s="383"/>
      <c r="F797" s="383"/>
      <c r="G797" s="383"/>
      <c r="H797" s="383"/>
      <c r="I797" s="383"/>
      <c r="J797" s="383"/>
      <c r="K797" s="383"/>
      <c r="L797" s="383"/>
      <c r="M797" s="383"/>
      <c r="N797" s="383"/>
      <c r="O797" s="383"/>
      <c r="P797" s="383"/>
      <c r="Q797" s="383"/>
      <c r="R797" s="383"/>
      <c r="S797" s="383"/>
      <c r="T797" s="383"/>
      <c r="U797" s="383"/>
      <c r="V797" s="383"/>
      <c r="W797" s="383"/>
      <c r="X797" s="383"/>
      <c r="Y797" s="383"/>
      <c r="Z797" s="383"/>
      <c r="AA797" s="383"/>
      <c r="AB797" s="383"/>
    </row>
    <row r="798" ht="16.5" customHeight="1">
      <c r="A798" s="465"/>
      <c r="B798" s="465"/>
      <c r="C798" s="383"/>
      <c r="D798" s="383"/>
      <c r="E798" s="383"/>
      <c r="F798" s="383"/>
      <c r="G798" s="383"/>
      <c r="H798" s="383"/>
      <c r="I798" s="383"/>
      <c r="J798" s="383"/>
      <c r="K798" s="383"/>
      <c r="L798" s="383"/>
      <c r="M798" s="383"/>
      <c r="N798" s="383"/>
      <c r="O798" s="383"/>
      <c r="P798" s="383"/>
      <c r="Q798" s="383"/>
      <c r="R798" s="383"/>
      <c r="S798" s="383"/>
      <c r="T798" s="383"/>
      <c r="U798" s="383"/>
      <c r="V798" s="383"/>
      <c r="W798" s="383"/>
      <c r="X798" s="383"/>
      <c r="Y798" s="383"/>
      <c r="Z798" s="383"/>
      <c r="AA798" s="383"/>
      <c r="AB798" s="383"/>
    </row>
    <row r="799" ht="16.5" customHeight="1">
      <c r="A799" s="465"/>
      <c r="B799" s="465"/>
      <c r="C799" s="383"/>
      <c r="D799" s="383"/>
      <c r="E799" s="383"/>
      <c r="F799" s="383"/>
      <c r="G799" s="383"/>
      <c r="H799" s="383"/>
      <c r="I799" s="383"/>
      <c r="J799" s="383"/>
      <c r="K799" s="383"/>
      <c r="L799" s="383"/>
      <c r="M799" s="383"/>
      <c r="N799" s="383"/>
      <c r="O799" s="383"/>
      <c r="P799" s="383"/>
      <c r="Q799" s="383"/>
      <c r="R799" s="383"/>
      <c r="S799" s="383"/>
      <c r="T799" s="383"/>
      <c r="U799" s="383"/>
      <c r="V799" s="383"/>
      <c r="W799" s="383"/>
      <c r="X799" s="383"/>
      <c r="Y799" s="383"/>
      <c r="Z799" s="383"/>
      <c r="AA799" s="383"/>
      <c r="AB799" s="383"/>
    </row>
    <row r="800" ht="16.5" customHeight="1">
      <c r="A800" s="465"/>
      <c r="B800" s="465"/>
      <c r="C800" s="383"/>
      <c r="D800" s="383"/>
      <c r="E800" s="383"/>
      <c r="F800" s="383"/>
      <c r="G800" s="383"/>
      <c r="H800" s="383"/>
      <c r="I800" s="383"/>
      <c r="J800" s="383"/>
      <c r="K800" s="383"/>
      <c r="L800" s="383"/>
      <c r="M800" s="383"/>
      <c r="N800" s="383"/>
      <c r="O800" s="383"/>
      <c r="P800" s="383"/>
      <c r="Q800" s="383"/>
      <c r="R800" s="383"/>
      <c r="S800" s="383"/>
      <c r="T800" s="383"/>
      <c r="U800" s="383"/>
      <c r="V800" s="383"/>
      <c r="W800" s="383"/>
      <c r="X800" s="383"/>
      <c r="Y800" s="383"/>
      <c r="Z800" s="383"/>
      <c r="AA800" s="383"/>
      <c r="AB800" s="383"/>
    </row>
    <row r="801" ht="16.5" customHeight="1">
      <c r="A801" s="465"/>
      <c r="B801" s="465"/>
      <c r="C801" s="383"/>
      <c r="D801" s="383"/>
      <c r="E801" s="383"/>
      <c r="F801" s="383"/>
      <c r="G801" s="383"/>
      <c r="H801" s="383"/>
      <c r="I801" s="383"/>
      <c r="J801" s="383"/>
      <c r="K801" s="383"/>
      <c r="L801" s="383"/>
      <c r="M801" s="383"/>
      <c r="N801" s="383"/>
      <c r="O801" s="383"/>
      <c r="P801" s="383"/>
      <c r="Q801" s="383"/>
      <c r="R801" s="383"/>
      <c r="S801" s="383"/>
      <c r="T801" s="383"/>
      <c r="U801" s="383"/>
      <c r="V801" s="383"/>
      <c r="W801" s="383"/>
      <c r="X801" s="383"/>
      <c r="Y801" s="383"/>
      <c r="Z801" s="383"/>
      <c r="AA801" s="383"/>
      <c r="AB801" s="383"/>
    </row>
    <row r="802" ht="16.5" customHeight="1">
      <c r="A802" s="465"/>
      <c r="B802" s="465"/>
      <c r="C802" s="383"/>
      <c r="D802" s="383"/>
      <c r="E802" s="383"/>
      <c r="F802" s="383"/>
      <c r="G802" s="383"/>
      <c r="H802" s="383"/>
      <c r="I802" s="383"/>
      <c r="J802" s="383"/>
      <c r="K802" s="383"/>
      <c r="L802" s="383"/>
      <c r="M802" s="383"/>
      <c r="N802" s="383"/>
      <c r="O802" s="383"/>
      <c r="P802" s="383"/>
      <c r="Q802" s="383"/>
      <c r="R802" s="383"/>
      <c r="S802" s="383"/>
      <c r="T802" s="383"/>
      <c r="U802" s="383"/>
      <c r="V802" s="383"/>
      <c r="W802" s="383"/>
      <c r="X802" s="383"/>
      <c r="Y802" s="383"/>
      <c r="Z802" s="383"/>
      <c r="AA802" s="383"/>
      <c r="AB802" s="383"/>
    </row>
    <row r="803" ht="16.5" customHeight="1">
      <c r="A803" s="465"/>
      <c r="B803" s="465"/>
      <c r="C803" s="383"/>
      <c r="D803" s="383"/>
      <c r="E803" s="383"/>
      <c r="F803" s="383"/>
      <c r="G803" s="383"/>
      <c r="H803" s="383"/>
      <c r="I803" s="383"/>
      <c r="J803" s="383"/>
      <c r="K803" s="383"/>
      <c r="L803" s="383"/>
      <c r="M803" s="383"/>
      <c r="N803" s="383"/>
      <c r="O803" s="383"/>
      <c r="P803" s="383"/>
      <c r="Q803" s="383"/>
      <c r="R803" s="383"/>
      <c r="S803" s="383"/>
      <c r="T803" s="383"/>
      <c r="U803" s="383"/>
      <c r="V803" s="383"/>
      <c r="W803" s="383"/>
      <c r="X803" s="383"/>
      <c r="Y803" s="383"/>
      <c r="Z803" s="383"/>
      <c r="AA803" s="383"/>
      <c r="AB803" s="383"/>
    </row>
    <row r="804" ht="16.5" customHeight="1">
      <c r="A804" s="465"/>
      <c r="B804" s="465"/>
      <c r="C804" s="383"/>
      <c r="D804" s="383"/>
      <c r="E804" s="383"/>
      <c r="F804" s="383"/>
      <c r="G804" s="383"/>
      <c r="H804" s="383"/>
      <c r="I804" s="383"/>
      <c r="J804" s="383"/>
      <c r="K804" s="383"/>
      <c r="L804" s="383"/>
      <c r="M804" s="383"/>
      <c r="N804" s="383"/>
      <c r="O804" s="383"/>
      <c r="P804" s="383"/>
      <c r="Q804" s="383"/>
      <c r="R804" s="383"/>
      <c r="S804" s="383"/>
      <c r="T804" s="383"/>
      <c r="U804" s="383"/>
      <c r="V804" s="383"/>
      <c r="W804" s="383"/>
      <c r="X804" s="383"/>
      <c r="Y804" s="383"/>
      <c r="Z804" s="383"/>
      <c r="AA804" s="383"/>
      <c r="AB804" s="383"/>
    </row>
    <row r="805" ht="16.5" customHeight="1">
      <c r="A805" s="465"/>
      <c r="B805" s="465"/>
      <c r="C805" s="383"/>
      <c r="D805" s="383"/>
      <c r="E805" s="383"/>
      <c r="F805" s="383"/>
      <c r="G805" s="383"/>
      <c r="H805" s="383"/>
      <c r="I805" s="383"/>
      <c r="J805" s="383"/>
      <c r="K805" s="383"/>
      <c r="L805" s="383"/>
      <c r="M805" s="383"/>
      <c r="N805" s="383"/>
      <c r="O805" s="383"/>
      <c r="P805" s="383"/>
      <c r="Q805" s="383"/>
      <c r="R805" s="383"/>
      <c r="S805" s="383"/>
      <c r="T805" s="383"/>
      <c r="U805" s="383"/>
      <c r="V805" s="383"/>
      <c r="W805" s="383"/>
      <c r="X805" s="383"/>
      <c r="Y805" s="383"/>
      <c r="Z805" s="383"/>
      <c r="AA805" s="383"/>
      <c r="AB805" s="383"/>
    </row>
    <row r="806" ht="16.5" customHeight="1">
      <c r="A806" s="465"/>
      <c r="B806" s="465"/>
      <c r="C806" s="383"/>
      <c r="D806" s="383"/>
      <c r="E806" s="383"/>
      <c r="F806" s="383"/>
      <c r="G806" s="383"/>
      <c r="H806" s="383"/>
      <c r="I806" s="383"/>
      <c r="J806" s="383"/>
      <c r="K806" s="383"/>
      <c r="L806" s="383"/>
      <c r="M806" s="383"/>
      <c r="N806" s="383"/>
      <c r="O806" s="383"/>
      <c r="P806" s="383"/>
      <c r="Q806" s="383"/>
      <c r="R806" s="383"/>
      <c r="S806" s="383"/>
      <c r="T806" s="383"/>
      <c r="U806" s="383"/>
      <c r="V806" s="383"/>
      <c r="W806" s="383"/>
      <c r="X806" s="383"/>
      <c r="Y806" s="383"/>
      <c r="Z806" s="383"/>
      <c r="AA806" s="383"/>
      <c r="AB806" s="383"/>
    </row>
    <row r="807" ht="16.5" customHeight="1">
      <c r="A807" s="465"/>
      <c r="B807" s="465"/>
      <c r="C807" s="383"/>
      <c r="D807" s="383"/>
      <c r="E807" s="383"/>
      <c r="F807" s="383"/>
      <c r="G807" s="383"/>
      <c r="H807" s="383"/>
      <c r="I807" s="383"/>
      <c r="J807" s="383"/>
      <c r="K807" s="383"/>
      <c r="L807" s="383"/>
      <c r="M807" s="383"/>
      <c r="N807" s="383"/>
      <c r="O807" s="383"/>
      <c r="P807" s="383"/>
      <c r="Q807" s="383"/>
      <c r="R807" s="383"/>
      <c r="S807" s="383"/>
      <c r="T807" s="383"/>
      <c r="U807" s="383"/>
      <c r="V807" s="383"/>
      <c r="W807" s="383"/>
      <c r="X807" s="383"/>
      <c r="Y807" s="383"/>
      <c r="Z807" s="383"/>
      <c r="AA807" s="383"/>
      <c r="AB807" s="383"/>
    </row>
    <row r="808" ht="16.5" customHeight="1">
      <c r="A808" s="465"/>
      <c r="B808" s="465"/>
      <c r="C808" s="383"/>
      <c r="D808" s="383"/>
      <c r="E808" s="383"/>
      <c r="F808" s="383"/>
      <c r="G808" s="383"/>
      <c r="H808" s="383"/>
      <c r="I808" s="383"/>
      <c r="J808" s="383"/>
      <c r="K808" s="383"/>
      <c r="L808" s="383"/>
      <c r="M808" s="383"/>
      <c r="N808" s="383"/>
      <c r="O808" s="383"/>
      <c r="P808" s="383"/>
      <c r="Q808" s="383"/>
      <c r="R808" s="383"/>
      <c r="S808" s="383"/>
      <c r="T808" s="383"/>
      <c r="U808" s="383"/>
      <c r="V808" s="383"/>
      <c r="W808" s="383"/>
      <c r="X808" s="383"/>
      <c r="Y808" s="383"/>
      <c r="Z808" s="383"/>
      <c r="AA808" s="383"/>
      <c r="AB808" s="383"/>
    </row>
    <row r="809" ht="16.5" customHeight="1">
      <c r="A809" s="465"/>
      <c r="B809" s="465"/>
      <c r="C809" s="383"/>
      <c r="D809" s="383"/>
      <c r="E809" s="383"/>
      <c r="F809" s="383"/>
      <c r="G809" s="383"/>
      <c r="H809" s="383"/>
      <c r="I809" s="383"/>
      <c r="J809" s="383"/>
      <c r="K809" s="383"/>
      <c r="L809" s="383"/>
      <c r="M809" s="383"/>
      <c r="N809" s="383"/>
      <c r="O809" s="383"/>
      <c r="P809" s="383"/>
      <c r="Q809" s="383"/>
      <c r="R809" s="383"/>
      <c r="S809" s="383"/>
      <c r="T809" s="383"/>
      <c r="U809" s="383"/>
      <c r="V809" s="383"/>
      <c r="W809" s="383"/>
      <c r="X809" s="383"/>
      <c r="Y809" s="383"/>
      <c r="Z809" s="383"/>
      <c r="AA809" s="383"/>
      <c r="AB809" s="383"/>
    </row>
    <row r="810" ht="16.5" customHeight="1">
      <c r="A810" s="465"/>
      <c r="B810" s="465"/>
      <c r="C810" s="383"/>
      <c r="D810" s="383"/>
      <c r="E810" s="383"/>
      <c r="F810" s="383"/>
      <c r="G810" s="383"/>
      <c r="H810" s="383"/>
      <c r="I810" s="383"/>
      <c r="J810" s="383"/>
      <c r="K810" s="383"/>
      <c r="L810" s="383"/>
      <c r="M810" s="383"/>
      <c r="N810" s="383"/>
      <c r="O810" s="383"/>
      <c r="P810" s="383"/>
      <c r="Q810" s="383"/>
      <c r="R810" s="383"/>
      <c r="S810" s="383"/>
      <c r="T810" s="383"/>
      <c r="U810" s="383"/>
      <c r="V810" s="383"/>
      <c r="W810" s="383"/>
      <c r="X810" s="383"/>
      <c r="Y810" s="383"/>
      <c r="Z810" s="383"/>
      <c r="AA810" s="383"/>
      <c r="AB810" s="383"/>
    </row>
    <row r="811" ht="16.5" customHeight="1">
      <c r="A811" s="465"/>
      <c r="B811" s="465"/>
      <c r="C811" s="383"/>
      <c r="D811" s="383"/>
      <c r="E811" s="383"/>
      <c r="F811" s="383"/>
      <c r="G811" s="383"/>
      <c r="H811" s="383"/>
      <c r="I811" s="383"/>
      <c r="J811" s="383"/>
      <c r="K811" s="383"/>
      <c r="L811" s="383"/>
      <c r="M811" s="383"/>
      <c r="N811" s="383"/>
      <c r="O811" s="383"/>
      <c r="P811" s="383"/>
      <c r="Q811" s="383"/>
      <c r="R811" s="383"/>
      <c r="S811" s="383"/>
      <c r="T811" s="383"/>
      <c r="U811" s="383"/>
      <c r="V811" s="383"/>
      <c r="W811" s="383"/>
      <c r="X811" s="383"/>
      <c r="Y811" s="383"/>
      <c r="Z811" s="383"/>
      <c r="AA811" s="383"/>
      <c r="AB811" s="383"/>
    </row>
    <row r="812" ht="16.5" customHeight="1">
      <c r="A812" s="465"/>
      <c r="B812" s="465"/>
      <c r="C812" s="383"/>
      <c r="D812" s="383"/>
      <c r="E812" s="383"/>
      <c r="F812" s="383"/>
      <c r="G812" s="383"/>
      <c r="H812" s="383"/>
      <c r="I812" s="383"/>
      <c r="J812" s="383"/>
      <c r="K812" s="383"/>
      <c r="L812" s="383"/>
      <c r="M812" s="383"/>
      <c r="N812" s="383"/>
      <c r="O812" s="383"/>
      <c r="P812" s="383"/>
      <c r="Q812" s="383"/>
      <c r="R812" s="383"/>
      <c r="S812" s="383"/>
      <c r="T812" s="383"/>
      <c r="U812" s="383"/>
      <c r="V812" s="383"/>
      <c r="W812" s="383"/>
      <c r="X812" s="383"/>
      <c r="Y812" s="383"/>
      <c r="Z812" s="383"/>
      <c r="AA812" s="383"/>
      <c r="AB812" s="383"/>
    </row>
    <row r="813" ht="16.5" customHeight="1">
      <c r="A813" s="465"/>
      <c r="B813" s="465"/>
      <c r="C813" s="383"/>
      <c r="D813" s="383"/>
      <c r="E813" s="383"/>
      <c r="F813" s="383"/>
      <c r="G813" s="383"/>
      <c r="H813" s="383"/>
      <c r="I813" s="383"/>
      <c r="J813" s="383"/>
      <c r="K813" s="383"/>
      <c r="L813" s="383"/>
      <c r="M813" s="383"/>
      <c r="N813" s="383"/>
      <c r="O813" s="383"/>
      <c r="P813" s="383"/>
      <c r="Q813" s="383"/>
      <c r="R813" s="383"/>
      <c r="S813" s="383"/>
      <c r="T813" s="383"/>
      <c r="U813" s="383"/>
      <c r="V813" s="383"/>
      <c r="W813" s="383"/>
      <c r="X813" s="383"/>
      <c r="Y813" s="383"/>
      <c r="Z813" s="383"/>
      <c r="AA813" s="383"/>
      <c r="AB813" s="383"/>
    </row>
    <row r="814" ht="16.5" customHeight="1">
      <c r="A814" s="465"/>
      <c r="B814" s="465"/>
      <c r="C814" s="383"/>
      <c r="D814" s="383"/>
      <c r="E814" s="383"/>
      <c r="F814" s="383"/>
      <c r="G814" s="383"/>
      <c r="H814" s="383"/>
      <c r="I814" s="383"/>
      <c r="J814" s="383"/>
      <c r="K814" s="383"/>
      <c r="L814" s="383"/>
      <c r="M814" s="383"/>
      <c r="N814" s="383"/>
      <c r="O814" s="383"/>
      <c r="P814" s="383"/>
      <c r="Q814" s="383"/>
      <c r="R814" s="383"/>
      <c r="S814" s="383"/>
      <c r="T814" s="383"/>
      <c r="U814" s="383"/>
      <c r="V814" s="383"/>
      <c r="W814" s="383"/>
      <c r="X814" s="383"/>
      <c r="Y814" s="383"/>
      <c r="Z814" s="383"/>
      <c r="AA814" s="383"/>
      <c r="AB814" s="383"/>
    </row>
    <row r="815" ht="16.5" customHeight="1">
      <c r="A815" s="465"/>
      <c r="B815" s="465"/>
      <c r="C815" s="383"/>
      <c r="D815" s="383"/>
      <c r="E815" s="383"/>
      <c r="F815" s="383"/>
      <c r="G815" s="383"/>
      <c r="H815" s="383"/>
      <c r="I815" s="383"/>
      <c r="J815" s="383"/>
      <c r="K815" s="383"/>
      <c r="L815" s="383"/>
      <c r="M815" s="383"/>
      <c r="N815" s="383"/>
      <c r="O815" s="383"/>
      <c r="P815" s="383"/>
      <c r="Q815" s="383"/>
      <c r="R815" s="383"/>
      <c r="S815" s="383"/>
      <c r="T815" s="383"/>
      <c r="U815" s="383"/>
      <c r="V815" s="383"/>
      <c r="W815" s="383"/>
      <c r="X815" s="383"/>
      <c r="Y815" s="383"/>
      <c r="Z815" s="383"/>
      <c r="AA815" s="383"/>
      <c r="AB815" s="383"/>
    </row>
    <row r="816" ht="16.5" customHeight="1">
      <c r="A816" s="465"/>
      <c r="B816" s="465"/>
      <c r="C816" s="383"/>
      <c r="D816" s="383"/>
      <c r="E816" s="383"/>
      <c r="F816" s="383"/>
      <c r="G816" s="383"/>
      <c r="H816" s="383"/>
      <c r="I816" s="383"/>
      <c r="J816" s="383"/>
      <c r="K816" s="383"/>
      <c r="L816" s="383"/>
      <c r="M816" s="383"/>
      <c r="N816" s="383"/>
      <c r="O816" s="383"/>
      <c r="P816" s="383"/>
      <c r="Q816" s="383"/>
      <c r="R816" s="383"/>
      <c r="S816" s="383"/>
      <c r="T816" s="383"/>
      <c r="U816" s="383"/>
      <c r="V816" s="383"/>
      <c r="W816" s="383"/>
      <c r="X816" s="383"/>
      <c r="Y816" s="383"/>
      <c r="Z816" s="383"/>
      <c r="AA816" s="383"/>
      <c r="AB816" s="383"/>
    </row>
    <row r="817" ht="16.5" customHeight="1">
      <c r="A817" s="465"/>
      <c r="B817" s="465"/>
      <c r="C817" s="383"/>
      <c r="D817" s="383"/>
      <c r="E817" s="383"/>
      <c r="F817" s="383"/>
      <c r="G817" s="383"/>
      <c r="H817" s="383"/>
      <c r="I817" s="383"/>
      <c r="J817" s="383"/>
      <c r="K817" s="383"/>
      <c r="L817" s="383"/>
      <c r="M817" s="383"/>
      <c r="N817" s="383"/>
      <c r="O817" s="383"/>
      <c r="P817" s="383"/>
      <c r="Q817" s="383"/>
      <c r="R817" s="383"/>
      <c r="S817" s="383"/>
      <c r="T817" s="383"/>
      <c r="U817" s="383"/>
      <c r="V817" s="383"/>
      <c r="W817" s="383"/>
      <c r="X817" s="383"/>
      <c r="Y817" s="383"/>
      <c r="Z817" s="383"/>
      <c r="AA817" s="383"/>
      <c r="AB817" s="383"/>
    </row>
    <row r="818" ht="16.5" customHeight="1">
      <c r="A818" s="465"/>
      <c r="B818" s="465"/>
      <c r="C818" s="383"/>
      <c r="D818" s="383"/>
      <c r="E818" s="383"/>
      <c r="F818" s="383"/>
      <c r="G818" s="383"/>
      <c r="H818" s="383"/>
      <c r="I818" s="383"/>
      <c r="J818" s="383"/>
      <c r="K818" s="383"/>
      <c r="L818" s="383"/>
      <c r="M818" s="383"/>
      <c r="N818" s="383"/>
      <c r="O818" s="383"/>
      <c r="P818" s="383"/>
      <c r="Q818" s="383"/>
      <c r="R818" s="383"/>
      <c r="S818" s="383"/>
      <c r="T818" s="383"/>
      <c r="U818" s="383"/>
      <c r="V818" s="383"/>
      <c r="W818" s="383"/>
      <c r="X818" s="383"/>
      <c r="Y818" s="383"/>
      <c r="Z818" s="383"/>
      <c r="AA818" s="383"/>
      <c r="AB818" s="383"/>
    </row>
    <row r="819" ht="16.5" customHeight="1">
      <c r="A819" s="465"/>
      <c r="B819" s="465"/>
      <c r="C819" s="383"/>
      <c r="D819" s="383"/>
      <c r="E819" s="383"/>
      <c r="F819" s="383"/>
      <c r="G819" s="383"/>
      <c r="H819" s="383"/>
      <c r="I819" s="383"/>
      <c r="J819" s="383"/>
      <c r="K819" s="383"/>
      <c r="L819" s="383"/>
      <c r="M819" s="383"/>
      <c r="N819" s="383"/>
      <c r="O819" s="383"/>
      <c r="P819" s="383"/>
      <c r="Q819" s="383"/>
      <c r="R819" s="383"/>
      <c r="S819" s="383"/>
      <c r="T819" s="383"/>
      <c r="U819" s="383"/>
      <c r="V819" s="383"/>
      <c r="W819" s="383"/>
      <c r="X819" s="383"/>
      <c r="Y819" s="383"/>
      <c r="Z819" s="383"/>
      <c r="AA819" s="383"/>
      <c r="AB819" s="383"/>
    </row>
    <row r="820" ht="16.5" customHeight="1">
      <c r="A820" s="465"/>
      <c r="B820" s="465"/>
      <c r="C820" s="383"/>
      <c r="D820" s="383"/>
      <c r="E820" s="383"/>
      <c r="F820" s="383"/>
      <c r="G820" s="383"/>
      <c r="H820" s="383"/>
      <c r="I820" s="383"/>
      <c r="J820" s="383"/>
      <c r="K820" s="383"/>
      <c r="L820" s="383"/>
      <c r="M820" s="383"/>
      <c r="N820" s="383"/>
      <c r="O820" s="383"/>
      <c r="P820" s="383"/>
      <c r="Q820" s="383"/>
      <c r="R820" s="383"/>
      <c r="S820" s="383"/>
      <c r="T820" s="383"/>
      <c r="U820" s="383"/>
      <c r="V820" s="383"/>
      <c r="W820" s="383"/>
      <c r="X820" s="383"/>
      <c r="Y820" s="383"/>
      <c r="Z820" s="383"/>
      <c r="AA820" s="383"/>
      <c r="AB820" s="383"/>
    </row>
    <row r="821" ht="16.5" customHeight="1">
      <c r="A821" s="465"/>
      <c r="B821" s="465"/>
      <c r="C821" s="383"/>
      <c r="D821" s="383"/>
      <c r="E821" s="383"/>
      <c r="F821" s="383"/>
      <c r="G821" s="383"/>
      <c r="H821" s="383"/>
      <c r="I821" s="383"/>
      <c r="J821" s="383"/>
      <c r="K821" s="383"/>
      <c r="L821" s="383"/>
      <c r="M821" s="383"/>
      <c r="N821" s="383"/>
      <c r="O821" s="383"/>
      <c r="P821" s="383"/>
      <c r="Q821" s="383"/>
      <c r="R821" s="383"/>
      <c r="S821" s="383"/>
      <c r="T821" s="383"/>
      <c r="U821" s="383"/>
      <c r="V821" s="383"/>
      <c r="W821" s="383"/>
      <c r="X821" s="383"/>
      <c r="Y821" s="383"/>
      <c r="Z821" s="383"/>
      <c r="AA821" s="383"/>
      <c r="AB821" s="383"/>
    </row>
    <row r="822" ht="16.5" customHeight="1">
      <c r="A822" s="465"/>
      <c r="B822" s="465"/>
      <c r="C822" s="383"/>
      <c r="D822" s="383"/>
      <c r="E822" s="383"/>
      <c r="F822" s="383"/>
      <c r="G822" s="383"/>
      <c r="H822" s="383"/>
      <c r="I822" s="383"/>
      <c r="J822" s="383"/>
      <c r="K822" s="383"/>
      <c r="L822" s="383"/>
      <c r="M822" s="383"/>
      <c r="N822" s="383"/>
      <c r="O822" s="383"/>
      <c r="P822" s="383"/>
      <c r="Q822" s="383"/>
      <c r="R822" s="383"/>
      <c r="S822" s="383"/>
      <c r="T822" s="383"/>
      <c r="U822" s="383"/>
      <c r="V822" s="383"/>
      <c r="W822" s="383"/>
      <c r="X822" s="383"/>
      <c r="Y822" s="383"/>
      <c r="Z822" s="383"/>
      <c r="AA822" s="383"/>
      <c r="AB822" s="383"/>
    </row>
    <row r="823" ht="16.5" customHeight="1">
      <c r="A823" s="465"/>
      <c r="B823" s="465"/>
      <c r="C823" s="383"/>
      <c r="D823" s="383"/>
      <c r="E823" s="383"/>
      <c r="F823" s="383"/>
      <c r="G823" s="383"/>
      <c r="H823" s="383"/>
      <c r="I823" s="383"/>
      <c r="J823" s="383"/>
      <c r="K823" s="383"/>
      <c r="L823" s="383"/>
      <c r="M823" s="383"/>
      <c r="N823" s="383"/>
      <c r="O823" s="383"/>
      <c r="P823" s="383"/>
      <c r="Q823" s="383"/>
      <c r="R823" s="383"/>
      <c r="S823" s="383"/>
      <c r="T823" s="383"/>
      <c r="U823" s="383"/>
      <c r="V823" s="383"/>
      <c r="W823" s="383"/>
      <c r="X823" s="383"/>
      <c r="Y823" s="383"/>
      <c r="Z823" s="383"/>
      <c r="AA823" s="383"/>
      <c r="AB823" s="383"/>
    </row>
    <row r="824" ht="16.5" customHeight="1">
      <c r="A824" s="465"/>
      <c r="B824" s="465"/>
      <c r="C824" s="383"/>
      <c r="D824" s="383"/>
      <c r="E824" s="383"/>
      <c r="F824" s="383"/>
      <c r="G824" s="383"/>
      <c r="H824" s="383"/>
      <c r="I824" s="383"/>
      <c r="J824" s="383"/>
      <c r="K824" s="383"/>
      <c r="L824" s="383"/>
      <c r="M824" s="383"/>
      <c r="N824" s="383"/>
      <c r="O824" s="383"/>
      <c r="P824" s="383"/>
      <c r="Q824" s="383"/>
      <c r="R824" s="383"/>
      <c r="S824" s="383"/>
      <c r="T824" s="383"/>
      <c r="U824" s="383"/>
      <c r="V824" s="383"/>
      <c r="W824" s="383"/>
      <c r="X824" s="383"/>
      <c r="Y824" s="383"/>
      <c r="Z824" s="383"/>
      <c r="AA824" s="383"/>
      <c r="AB824" s="383"/>
    </row>
    <row r="825" ht="16.5" customHeight="1">
      <c r="A825" s="465"/>
      <c r="B825" s="465"/>
      <c r="C825" s="383"/>
      <c r="D825" s="383"/>
      <c r="E825" s="383"/>
      <c r="F825" s="383"/>
      <c r="G825" s="383"/>
      <c r="H825" s="383"/>
      <c r="I825" s="383"/>
      <c r="J825" s="383"/>
      <c r="K825" s="383"/>
      <c r="L825" s="383"/>
      <c r="M825" s="383"/>
      <c r="N825" s="383"/>
      <c r="O825" s="383"/>
      <c r="P825" s="383"/>
      <c r="Q825" s="383"/>
      <c r="R825" s="383"/>
      <c r="S825" s="383"/>
      <c r="T825" s="383"/>
      <c r="U825" s="383"/>
      <c r="V825" s="383"/>
      <c r="W825" s="383"/>
      <c r="X825" s="383"/>
      <c r="Y825" s="383"/>
      <c r="Z825" s="383"/>
      <c r="AA825" s="383"/>
      <c r="AB825" s="383"/>
    </row>
    <row r="826" ht="16.5" customHeight="1">
      <c r="A826" s="465"/>
      <c r="B826" s="465"/>
      <c r="C826" s="383"/>
      <c r="D826" s="383"/>
      <c r="E826" s="383"/>
      <c r="F826" s="383"/>
      <c r="G826" s="383"/>
      <c r="H826" s="383"/>
      <c r="I826" s="383"/>
      <c r="J826" s="383"/>
      <c r="K826" s="383"/>
      <c r="L826" s="383"/>
      <c r="M826" s="383"/>
      <c r="N826" s="383"/>
      <c r="O826" s="383"/>
      <c r="P826" s="383"/>
      <c r="Q826" s="383"/>
      <c r="R826" s="383"/>
      <c r="S826" s="383"/>
      <c r="T826" s="383"/>
      <c r="U826" s="383"/>
      <c r="V826" s="383"/>
      <c r="W826" s="383"/>
      <c r="X826" s="383"/>
      <c r="Y826" s="383"/>
      <c r="Z826" s="383"/>
      <c r="AA826" s="383"/>
      <c r="AB826" s="383"/>
    </row>
    <row r="827" ht="16.5" customHeight="1">
      <c r="A827" s="465"/>
      <c r="B827" s="465"/>
      <c r="C827" s="383"/>
      <c r="D827" s="383"/>
      <c r="E827" s="383"/>
      <c r="F827" s="383"/>
      <c r="G827" s="383"/>
      <c r="H827" s="383"/>
      <c r="I827" s="383"/>
      <c r="J827" s="383"/>
      <c r="K827" s="383"/>
      <c r="L827" s="383"/>
      <c r="M827" s="383"/>
      <c r="N827" s="383"/>
      <c r="O827" s="383"/>
      <c r="P827" s="383"/>
      <c r="Q827" s="383"/>
      <c r="R827" s="383"/>
      <c r="S827" s="383"/>
      <c r="T827" s="383"/>
      <c r="U827" s="383"/>
      <c r="V827" s="383"/>
      <c r="W827" s="383"/>
      <c r="X827" s="383"/>
      <c r="Y827" s="383"/>
      <c r="Z827" s="383"/>
      <c r="AA827" s="383"/>
      <c r="AB827" s="383"/>
    </row>
    <row r="828" ht="16.5" customHeight="1">
      <c r="A828" s="465"/>
      <c r="B828" s="465"/>
      <c r="C828" s="383"/>
      <c r="D828" s="383"/>
      <c r="E828" s="383"/>
      <c r="F828" s="383"/>
      <c r="G828" s="383"/>
      <c r="H828" s="383"/>
      <c r="I828" s="383"/>
      <c r="J828" s="383"/>
      <c r="K828" s="383"/>
      <c r="L828" s="383"/>
      <c r="M828" s="383"/>
      <c r="N828" s="383"/>
      <c r="O828" s="383"/>
      <c r="P828" s="383"/>
      <c r="Q828" s="383"/>
      <c r="R828" s="383"/>
      <c r="S828" s="383"/>
      <c r="T828" s="383"/>
      <c r="U828" s="383"/>
      <c r="V828" s="383"/>
      <c r="W828" s="383"/>
      <c r="X828" s="383"/>
      <c r="Y828" s="383"/>
      <c r="Z828" s="383"/>
      <c r="AA828" s="383"/>
      <c r="AB828" s="383"/>
    </row>
    <row r="829" ht="16.5" customHeight="1">
      <c r="A829" s="465"/>
      <c r="B829" s="465"/>
      <c r="C829" s="383"/>
      <c r="D829" s="383"/>
      <c r="E829" s="383"/>
      <c r="F829" s="383"/>
      <c r="G829" s="383"/>
      <c r="H829" s="383"/>
      <c r="I829" s="383"/>
      <c r="J829" s="383"/>
      <c r="K829" s="383"/>
      <c r="L829" s="383"/>
      <c r="M829" s="383"/>
      <c r="N829" s="383"/>
      <c r="O829" s="383"/>
      <c r="P829" s="383"/>
      <c r="Q829" s="383"/>
      <c r="R829" s="383"/>
      <c r="S829" s="383"/>
      <c r="T829" s="383"/>
      <c r="U829" s="383"/>
      <c r="V829" s="383"/>
      <c r="W829" s="383"/>
      <c r="X829" s="383"/>
      <c r="Y829" s="383"/>
      <c r="Z829" s="383"/>
      <c r="AA829" s="383"/>
      <c r="AB829" s="383"/>
    </row>
    <row r="830" ht="16.5" customHeight="1">
      <c r="A830" s="465"/>
      <c r="B830" s="465"/>
      <c r="C830" s="383"/>
      <c r="D830" s="383"/>
      <c r="E830" s="383"/>
      <c r="F830" s="383"/>
      <c r="G830" s="383"/>
      <c r="H830" s="383"/>
      <c r="I830" s="383"/>
      <c r="J830" s="383"/>
      <c r="K830" s="383"/>
      <c r="L830" s="383"/>
      <c r="M830" s="383"/>
      <c r="N830" s="383"/>
      <c r="O830" s="383"/>
      <c r="P830" s="383"/>
      <c r="Q830" s="383"/>
      <c r="R830" s="383"/>
      <c r="S830" s="383"/>
      <c r="T830" s="383"/>
      <c r="U830" s="383"/>
      <c r="V830" s="383"/>
      <c r="W830" s="383"/>
      <c r="X830" s="383"/>
      <c r="Y830" s="383"/>
      <c r="Z830" s="383"/>
      <c r="AA830" s="383"/>
      <c r="AB830" s="383"/>
    </row>
    <row r="831" ht="16.5" customHeight="1">
      <c r="A831" s="465"/>
      <c r="B831" s="465"/>
      <c r="C831" s="383"/>
      <c r="D831" s="383"/>
      <c r="E831" s="383"/>
      <c r="F831" s="383"/>
      <c r="G831" s="383"/>
      <c r="H831" s="383"/>
      <c r="I831" s="383"/>
      <c r="J831" s="383"/>
      <c r="K831" s="383"/>
      <c r="L831" s="383"/>
      <c r="M831" s="383"/>
      <c r="N831" s="383"/>
      <c r="O831" s="383"/>
      <c r="P831" s="383"/>
      <c r="Q831" s="383"/>
      <c r="R831" s="383"/>
      <c r="S831" s="383"/>
      <c r="T831" s="383"/>
      <c r="U831" s="383"/>
      <c r="V831" s="383"/>
      <c r="W831" s="383"/>
      <c r="X831" s="383"/>
      <c r="Y831" s="383"/>
      <c r="Z831" s="383"/>
      <c r="AA831" s="383"/>
      <c r="AB831" s="383"/>
    </row>
    <row r="832" ht="16.5" customHeight="1">
      <c r="A832" s="465"/>
      <c r="B832" s="465"/>
      <c r="C832" s="383"/>
      <c r="D832" s="383"/>
      <c r="E832" s="383"/>
      <c r="F832" s="383"/>
      <c r="G832" s="383"/>
      <c r="H832" s="383"/>
      <c r="I832" s="383"/>
      <c r="J832" s="383"/>
      <c r="K832" s="383"/>
      <c r="L832" s="383"/>
      <c r="M832" s="383"/>
      <c r="N832" s="383"/>
      <c r="O832" s="383"/>
      <c r="P832" s="383"/>
      <c r="Q832" s="383"/>
      <c r="R832" s="383"/>
      <c r="S832" s="383"/>
      <c r="T832" s="383"/>
      <c r="U832" s="383"/>
      <c r="V832" s="383"/>
      <c r="W832" s="383"/>
      <c r="X832" s="383"/>
      <c r="Y832" s="383"/>
      <c r="Z832" s="383"/>
      <c r="AA832" s="383"/>
      <c r="AB832" s="383"/>
    </row>
    <row r="833" ht="16.5" customHeight="1">
      <c r="A833" s="465"/>
      <c r="B833" s="465"/>
      <c r="C833" s="383"/>
      <c r="D833" s="383"/>
      <c r="E833" s="383"/>
      <c r="F833" s="383"/>
      <c r="G833" s="383"/>
      <c r="H833" s="383"/>
      <c r="I833" s="383"/>
      <c r="J833" s="383"/>
      <c r="K833" s="383"/>
      <c r="L833" s="383"/>
      <c r="M833" s="383"/>
      <c r="N833" s="383"/>
      <c r="O833" s="383"/>
      <c r="P833" s="383"/>
      <c r="Q833" s="383"/>
      <c r="R833" s="383"/>
      <c r="S833" s="383"/>
      <c r="T833" s="383"/>
      <c r="U833" s="383"/>
      <c r="V833" s="383"/>
      <c r="W833" s="383"/>
      <c r="X833" s="383"/>
      <c r="Y833" s="383"/>
      <c r="Z833" s="383"/>
      <c r="AA833" s="383"/>
      <c r="AB833" s="383"/>
    </row>
    <row r="834" ht="16.5" customHeight="1">
      <c r="A834" s="465"/>
      <c r="B834" s="465"/>
      <c r="C834" s="383"/>
      <c r="D834" s="383"/>
      <c r="E834" s="383"/>
      <c r="F834" s="383"/>
      <c r="G834" s="383"/>
      <c r="H834" s="383"/>
      <c r="I834" s="383"/>
      <c r="J834" s="383"/>
      <c r="K834" s="383"/>
      <c r="L834" s="383"/>
      <c r="M834" s="383"/>
      <c r="N834" s="383"/>
      <c r="O834" s="383"/>
      <c r="P834" s="383"/>
      <c r="Q834" s="383"/>
      <c r="R834" s="383"/>
      <c r="S834" s="383"/>
      <c r="T834" s="383"/>
      <c r="U834" s="383"/>
      <c r="V834" s="383"/>
      <c r="W834" s="383"/>
      <c r="X834" s="383"/>
      <c r="Y834" s="383"/>
      <c r="Z834" s="383"/>
      <c r="AA834" s="383"/>
      <c r="AB834" s="383"/>
    </row>
    <row r="835" ht="16.5" customHeight="1">
      <c r="A835" s="465"/>
      <c r="B835" s="465"/>
      <c r="C835" s="383"/>
      <c r="D835" s="383"/>
      <c r="E835" s="383"/>
      <c r="F835" s="383"/>
      <c r="G835" s="383"/>
      <c r="H835" s="383"/>
      <c r="I835" s="383"/>
      <c r="J835" s="383"/>
      <c r="K835" s="383"/>
      <c r="L835" s="383"/>
      <c r="M835" s="383"/>
      <c r="N835" s="383"/>
      <c r="O835" s="383"/>
      <c r="P835" s="383"/>
      <c r="Q835" s="383"/>
      <c r="R835" s="383"/>
      <c r="S835" s="383"/>
      <c r="T835" s="383"/>
      <c r="U835" s="383"/>
      <c r="V835" s="383"/>
      <c r="W835" s="383"/>
      <c r="X835" s="383"/>
      <c r="Y835" s="383"/>
      <c r="Z835" s="383"/>
      <c r="AA835" s="383"/>
      <c r="AB835" s="383"/>
    </row>
    <row r="836" ht="16.5" customHeight="1">
      <c r="A836" s="465"/>
      <c r="B836" s="465"/>
      <c r="C836" s="383"/>
      <c r="D836" s="383"/>
      <c r="E836" s="383"/>
      <c r="F836" s="383"/>
      <c r="G836" s="383"/>
      <c r="H836" s="383"/>
      <c r="I836" s="383"/>
      <c r="J836" s="383"/>
      <c r="K836" s="383"/>
      <c r="L836" s="383"/>
      <c r="M836" s="383"/>
      <c r="N836" s="383"/>
      <c r="O836" s="383"/>
      <c r="P836" s="383"/>
      <c r="Q836" s="383"/>
      <c r="R836" s="383"/>
      <c r="S836" s="383"/>
      <c r="T836" s="383"/>
      <c r="U836" s="383"/>
      <c r="V836" s="383"/>
      <c r="W836" s="383"/>
      <c r="X836" s="383"/>
      <c r="Y836" s="383"/>
      <c r="Z836" s="383"/>
      <c r="AA836" s="383"/>
      <c r="AB836" s="383"/>
    </row>
    <row r="837" ht="16.5" customHeight="1">
      <c r="A837" s="465"/>
      <c r="B837" s="465"/>
      <c r="C837" s="383"/>
      <c r="D837" s="383"/>
      <c r="E837" s="383"/>
      <c r="F837" s="383"/>
      <c r="G837" s="383"/>
      <c r="H837" s="383"/>
      <c r="I837" s="383"/>
      <c r="J837" s="383"/>
      <c r="K837" s="383"/>
      <c r="L837" s="383"/>
      <c r="M837" s="383"/>
      <c r="N837" s="383"/>
      <c r="O837" s="383"/>
      <c r="P837" s="383"/>
      <c r="Q837" s="383"/>
      <c r="R837" s="383"/>
      <c r="S837" s="383"/>
      <c r="T837" s="383"/>
      <c r="U837" s="383"/>
      <c r="V837" s="383"/>
      <c r="W837" s="383"/>
      <c r="X837" s="383"/>
      <c r="Y837" s="383"/>
      <c r="Z837" s="383"/>
      <c r="AA837" s="383"/>
      <c r="AB837" s="383"/>
    </row>
    <row r="838" ht="16.5" customHeight="1">
      <c r="A838" s="465"/>
      <c r="B838" s="465"/>
      <c r="C838" s="383"/>
      <c r="D838" s="383"/>
      <c r="E838" s="383"/>
      <c r="F838" s="383"/>
      <c r="G838" s="383"/>
      <c r="H838" s="383"/>
      <c r="I838" s="383"/>
      <c r="J838" s="383"/>
      <c r="K838" s="383"/>
      <c r="L838" s="383"/>
      <c r="M838" s="383"/>
      <c r="N838" s="383"/>
      <c r="O838" s="383"/>
      <c r="P838" s="383"/>
      <c r="Q838" s="383"/>
      <c r="R838" s="383"/>
      <c r="S838" s="383"/>
      <c r="T838" s="383"/>
      <c r="U838" s="383"/>
      <c r="V838" s="383"/>
      <c r="W838" s="383"/>
      <c r="X838" s="383"/>
      <c r="Y838" s="383"/>
      <c r="Z838" s="383"/>
      <c r="AA838" s="383"/>
      <c r="AB838" s="383"/>
    </row>
    <row r="839" ht="16.5" customHeight="1">
      <c r="A839" s="465"/>
      <c r="B839" s="465"/>
      <c r="C839" s="383"/>
      <c r="D839" s="383"/>
      <c r="E839" s="383"/>
      <c r="F839" s="383"/>
      <c r="G839" s="383"/>
      <c r="H839" s="383"/>
      <c r="I839" s="383"/>
      <c r="J839" s="383"/>
      <c r="K839" s="383"/>
      <c r="L839" s="383"/>
      <c r="M839" s="383"/>
      <c r="N839" s="383"/>
      <c r="O839" s="383"/>
      <c r="P839" s="383"/>
      <c r="Q839" s="383"/>
      <c r="R839" s="383"/>
      <c r="S839" s="383"/>
      <c r="T839" s="383"/>
      <c r="U839" s="383"/>
      <c r="V839" s="383"/>
      <c r="W839" s="383"/>
      <c r="X839" s="383"/>
      <c r="Y839" s="383"/>
      <c r="Z839" s="383"/>
      <c r="AA839" s="383"/>
      <c r="AB839" s="383"/>
    </row>
    <row r="840" ht="16.5" customHeight="1">
      <c r="A840" s="465"/>
      <c r="B840" s="465"/>
      <c r="C840" s="383"/>
      <c r="D840" s="383"/>
      <c r="E840" s="383"/>
      <c r="F840" s="383"/>
      <c r="G840" s="383"/>
      <c r="H840" s="383"/>
      <c r="I840" s="383"/>
      <c r="J840" s="383"/>
      <c r="K840" s="383"/>
      <c r="L840" s="383"/>
      <c r="M840" s="383"/>
      <c r="N840" s="383"/>
      <c r="O840" s="383"/>
      <c r="P840" s="383"/>
      <c r="Q840" s="383"/>
      <c r="R840" s="383"/>
      <c r="S840" s="383"/>
      <c r="T840" s="383"/>
      <c r="U840" s="383"/>
      <c r="V840" s="383"/>
      <c r="W840" s="383"/>
      <c r="X840" s="383"/>
      <c r="Y840" s="383"/>
      <c r="Z840" s="383"/>
      <c r="AA840" s="383"/>
      <c r="AB840" s="383"/>
    </row>
    <row r="841" ht="16.5" customHeight="1">
      <c r="A841" s="465"/>
      <c r="B841" s="465"/>
      <c r="C841" s="383"/>
      <c r="D841" s="383"/>
      <c r="E841" s="383"/>
      <c r="F841" s="383"/>
      <c r="G841" s="383"/>
      <c r="H841" s="383"/>
      <c r="I841" s="383"/>
      <c r="J841" s="383"/>
      <c r="K841" s="383"/>
      <c r="L841" s="383"/>
      <c r="M841" s="383"/>
      <c r="N841" s="383"/>
      <c r="O841" s="383"/>
      <c r="P841" s="383"/>
      <c r="Q841" s="383"/>
      <c r="R841" s="383"/>
      <c r="S841" s="383"/>
      <c r="T841" s="383"/>
      <c r="U841" s="383"/>
      <c r="V841" s="383"/>
      <c r="W841" s="383"/>
      <c r="X841" s="383"/>
      <c r="Y841" s="383"/>
      <c r="Z841" s="383"/>
      <c r="AA841" s="383"/>
      <c r="AB841" s="383"/>
    </row>
    <row r="842" ht="16.5" customHeight="1">
      <c r="A842" s="465"/>
      <c r="B842" s="465"/>
      <c r="C842" s="383"/>
      <c r="D842" s="383"/>
      <c r="E842" s="383"/>
      <c r="F842" s="383"/>
      <c r="G842" s="383"/>
      <c r="H842" s="383"/>
      <c r="I842" s="383"/>
      <c r="J842" s="383"/>
      <c r="K842" s="383"/>
      <c r="L842" s="383"/>
      <c r="M842" s="383"/>
      <c r="N842" s="383"/>
      <c r="O842" s="383"/>
      <c r="P842" s="383"/>
      <c r="Q842" s="383"/>
      <c r="R842" s="383"/>
      <c r="S842" s="383"/>
      <c r="T842" s="383"/>
      <c r="U842" s="383"/>
      <c r="V842" s="383"/>
      <c r="W842" s="383"/>
      <c r="X842" s="383"/>
      <c r="Y842" s="383"/>
      <c r="Z842" s="383"/>
      <c r="AA842" s="383"/>
      <c r="AB842" s="383"/>
    </row>
    <row r="843" ht="16.5" customHeight="1">
      <c r="A843" s="465"/>
      <c r="B843" s="465"/>
      <c r="C843" s="383"/>
      <c r="D843" s="383"/>
      <c r="E843" s="383"/>
      <c r="F843" s="383"/>
      <c r="G843" s="383"/>
      <c r="H843" s="383"/>
      <c r="I843" s="383"/>
      <c r="J843" s="383"/>
      <c r="K843" s="383"/>
      <c r="L843" s="383"/>
      <c r="M843" s="383"/>
      <c r="N843" s="383"/>
      <c r="O843" s="383"/>
      <c r="P843" s="383"/>
      <c r="Q843" s="383"/>
      <c r="R843" s="383"/>
      <c r="S843" s="383"/>
      <c r="T843" s="383"/>
      <c r="U843" s="383"/>
      <c r="V843" s="383"/>
      <c r="W843" s="383"/>
      <c r="X843" s="383"/>
      <c r="Y843" s="383"/>
      <c r="Z843" s="383"/>
      <c r="AA843" s="383"/>
      <c r="AB843" s="383"/>
    </row>
    <row r="844" ht="16.5" customHeight="1">
      <c r="A844" s="465"/>
      <c r="B844" s="465"/>
      <c r="C844" s="383"/>
      <c r="D844" s="383"/>
      <c r="E844" s="383"/>
      <c r="F844" s="383"/>
      <c r="G844" s="383"/>
      <c r="H844" s="383"/>
      <c r="I844" s="383"/>
      <c r="J844" s="383"/>
      <c r="K844" s="383"/>
      <c r="L844" s="383"/>
      <c r="M844" s="383"/>
      <c r="N844" s="383"/>
      <c r="O844" s="383"/>
      <c r="P844" s="383"/>
      <c r="Q844" s="383"/>
      <c r="R844" s="383"/>
      <c r="S844" s="383"/>
      <c r="T844" s="383"/>
      <c r="U844" s="383"/>
      <c r="V844" s="383"/>
      <c r="W844" s="383"/>
      <c r="X844" s="383"/>
      <c r="Y844" s="383"/>
      <c r="Z844" s="383"/>
      <c r="AA844" s="383"/>
      <c r="AB844" s="383"/>
    </row>
    <row r="845" ht="16.5" customHeight="1">
      <c r="A845" s="465"/>
      <c r="B845" s="465"/>
      <c r="C845" s="383"/>
      <c r="D845" s="383"/>
      <c r="E845" s="383"/>
      <c r="F845" s="383"/>
      <c r="G845" s="383"/>
      <c r="H845" s="383"/>
      <c r="I845" s="383"/>
      <c r="J845" s="383"/>
      <c r="K845" s="383"/>
      <c r="L845" s="383"/>
      <c r="M845" s="383"/>
      <c r="N845" s="383"/>
      <c r="O845" s="383"/>
      <c r="P845" s="383"/>
      <c r="Q845" s="383"/>
      <c r="R845" s="383"/>
      <c r="S845" s="383"/>
      <c r="T845" s="383"/>
      <c r="U845" s="383"/>
      <c r="V845" s="383"/>
      <c r="W845" s="383"/>
      <c r="X845" s="383"/>
      <c r="Y845" s="383"/>
      <c r="Z845" s="383"/>
      <c r="AA845" s="383"/>
      <c r="AB845" s="383"/>
    </row>
    <row r="846" ht="16.5" customHeight="1">
      <c r="A846" s="465"/>
      <c r="B846" s="465"/>
      <c r="C846" s="383"/>
      <c r="D846" s="383"/>
      <c r="E846" s="383"/>
      <c r="F846" s="383"/>
      <c r="G846" s="383"/>
      <c r="H846" s="383"/>
      <c r="I846" s="383"/>
      <c r="J846" s="383"/>
      <c r="K846" s="383"/>
      <c r="L846" s="383"/>
      <c r="M846" s="383"/>
      <c r="N846" s="383"/>
      <c r="O846" s="383"/>
      <c r="P846" s="383"/>
      <c r="Q846" s="383"/>
      <c r="R846" s="383"/>
      <c r="S846" s="383"/>
      <c r="T846" s="383"/>
      <c r="U846" s="383"/>
      <c r="V846" s="383"/>
      <c r="W846" s="383"/>
      <c r="X846" s="383"/>
      <c r="Y846" s="383"/>
      <c r="Z846" s="383"/>
      <c r="AA846" s="383"/>
      <c r="AB846" s="383"/>
    </row>
    <row r="847" ht="16.5" customHeight="1">
      <c r="A847" s="465"/>
      <c r="B847" s="465"/>
      <c r="C847" s="383"/>
      <c r="D847" s="383"/>
      <c r="E847" s="383"/>
      <c r="F847" s="383"/>
      <c r="G847" s="383"/>
      <c r="H847" s="383"/>
      <c r="I847" s="383"/>
      <c r="J847" s="383"/>
      <c r="K847" s="383"/>
      <c r="L847" s="383"/>
      <c r="M847" s="383"/>
      <c r="N847" s="383"/>
      <c r="O847" s="383"/>
      <c r="P847" s="383"/>
      <c r="Q847" s="383"/>
      <c r="R847" s="383"/>
      <c r="S847" s="383"/>
      <c r="T847" s="383"/>
      <c r="U847" s="383"/>
      <c r="V847" s="383"/>
      <c r="W847" s="383"/>
      <c r="X847" s="383"/>
      <c r="Y847" s="383"/>
      <c r="Z847" s="383"/>
      <c r="AA847" s="383"/>
      <c r="AB847" s="383"/>
    </row>
    <row r="848" ht="16.5" customHeight="1">
      <c r="A848" s="465"/>
      <c r="B848" s="465"/>
      <c r="C848" s="383"/>
      <c r="D848" s="383"/>
      <c r="E848" s="383"/>
      <c r="F848" s="383"/>
      <c r="G848" s="383"/>
      <c r="H848" s="383"/>
      <c r="I848" s="383"/>
      <c r="J848" s="383"/>
      <c r="K848" s="383"/>
      <c r="L848" s="383"/>
      <c r="M848" s="383"/>
      <c r="N848" s="383"/>
      <c r="O848" s="383"/>
      <c r="P848" s="383"/>
      <c r="Q848" s="383"/>
      <c r="R848" s="383"/>
      <c r="S848" s="383"/>
      <c r="T848" s="383"/>
      <c r="U848" s="383"/>
      <c r="V848" s="383"/>
      <c r="W848" s="383"/>
      <c r="X848" s="383"/>
      <c r="Y848" s="383"/>
      <c r="Z848" s="383"/>
      <c r="AA848" s="383"/>
      <c r="AB848" s="383"/>
    </row>
    <row r="849" ht="16.5" customHeight="1">
      <c r="A849" s="465"/>
      <c r="B849" s="465"/>
      <c r="C849" s="383"/>
      <c r="D849" s="383"/>
      <c r="E849" s="383"/>
      <c r="F849" s="383"/>
      <c r="G849" s="383"/>
      <c r="H849" s="383"/>
      <c r="I849" s="383"/>
      <c r="J849" s="383"/>
      <c r="K849" s="383"/>
      <c r="L849" s="383"/>
      <c r="M849" s="383"/>
      <c r="N849" s="383"/>
      <c r="O849" s="383"/>
      <c r="P849" s="383"/>
      <c r="Q849" s="383"/>
      <c r="R849" s="383"/>
      <c r="S849" s="383"/>
      <c r="T849" s="383"/>
      <c r="U849" s="383"/>
      <c r="V849" s="383"/>
      <c r="W849" s="383"/>
      <c r="X849" s="383"/>
      <c r="Y849" s="383"/>
      <c r="Z849" s="383"/>
      <c r="AA849" s="383"/>
      <c r="AB849" s="383"/>
    </row>
  </sheetData>
  <mergeCells count="1">
    <mergeCell ref="B1:J1"/>
  </mergeCells>
  <printOptions gridLines="1" horizontalCentered="1"/>
  <pageMargins bottom="0.75" footer="0.0" header="0.0" left="0.25" right="0.25" top="0.75"/>
  <pageSetup paperSize="9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14"/>
    <col customWidth="1" min="3" max="3" width="13.71"/>
    <col customWidth="1" min="5" max="5" width="3.57"/>
    <col customWidth="1" min="9" max="9" width="16.29"/>
    <col customWidth="1" min="10" max="10" width="22.29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/>
      <c r="F1" s="3" t="s">
        <v>4</v>
      </c>
      <c r="G1" s="3" t="s">
        <v>5</v>
      </c>
      <c r="H1" s="3" t="s">
        <v>6</v>
      </c>
      <c r="I1" s="1" t="s">
        <v>10</v>
      </c>
      <c r="J1" s="4" t="s">
        <v>7</v>
      </c>
      <c r="K1" s="4" t="s">
        <v>8</v>
      </c>
      <c r="L1" s="1" t="s">
        <v>0</v>
      </c>
      <c r="M1" s="2" t="s">
        <v>1</v>
      </c>
      <c r="N1" s="3" t="s">
        <v>2</v>
      </c>
      <c r="O1" s="3" t="s">
        <v>3</v>
      </c>
      <c r="P1" s="3" t="s">
        <v>4</v>
      </c>
      <c r="Q1" s="3" t="s">
        <v>9</v>
      </c>
      <c r="R1" s="3" t="s">
        <v>5</v>
      </c>
      <c r="S1" s="3" t="s">
        <v>6</v>
      </c>
      <c r="T1" s="1" t="s">
        <v>10</v>
      </c>
      <c r="U1" s="4" t="s">
        <v>7</v>
      </c>
      <c r="V1" s="4" t="s">
        <v>8</v>
      </c>
      <c r="W1" s="5" t="s">
        <v>11</v>
      </c>
    </row>
    <row r="2">
      <c r="A2" s="6" t="s">
        <v>12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</row>
    <row r="3">
      <c r="A3" s="9">
        <v>43918.0</v>
      </c>
      <c r="B3" s="10">
        <v>8500.0</v>
      </c>
      <c r="C3" s="10">
        <v>7250.0</v>
      </c>
      <c r="D3" s="10">
        <v>6050.0</v>
      </c>
      <c r="E3" s="10"/>
      <c r="F3" s="10">
        <v>6050.0</v>
      </c>
      <c r="G3" s="10">
        <v>5800.0</v>
      </c>
      <c r="H3" s="10">
        <v>5800.0</v>
      </c>
      <c r="I3" s="10">
        <v>7000.0</v>
      </c>
      <c r="J3" s="11">
        <v>0.0</v>
      </c>
      <c r="K3" s="12"/>
      <c r="L3" s="13">
        <f>SUM(B3:K3)</f>
        <v>46450</v>
      </c>
    </row>
    <row r="4">
      <c r="A4" s="14">
        <v>44108.0</v>
      </c>
      <c r="B4" s="10">
        <v>8500.0</v>
      </c>
      <c r="C4" s="10">
        <v>7250.0</v>
      </c>
      <c r="D4" s="10">
        <v>6050.0</v>
      </c>
      <c r="E4" s="10"/>
      <c r="F4" s="10">
        <v>6050.0</v>
      </c>
      <c r="G4" s="10">
        <v>5800.0</v>
      </c>
      <c r="H4" s="10">
        <v>5800.0</v>
      </c>
      <c r="I4" s="10">
        <v>7000.0</v>
      </c>
      <c r="J4" s="11">
        <v>0.0</v>
      </c>
      <c r="K4" s="12"/>
      <c r="L4" s="13">
        <f t="shared" ref="L4:L7" si="1">SUM(B4:J4)</f>
        <v>46450</v>
      </c>
    </row>
    <row r="5">
      <c r="A5" s="15" t="s">
        <v>13</v>
      </c>
      <c r="B5" s="10">
        <v>8500.0</v>
      </c>
      <c r="C5" s="10">
        <v>7250.0</v>
      </c>
      <c r="D5" s="10">
        <v>6050.0</v>
      </c>
      <c r="E5" s="10"/>
      <c r="F5" s="10">
        <v>6050.0</v>
      </c>
      <c r="G5" s="10">
        <v>5800.0</v>
      </c>
      <c r="H5" s="10">
        <v>5800.0</v>
      </c>
      <c r="I5" s="10">
        <v>7000.0</v>
      </c>
      <c r="J5" s="11">
        <v>0.0</v>
      </c>
      <c r="K5" s="12"/>
      <c r="L5" s="13">
        <f t="shared" si="1"/>
        <v>46450</v>
      </c>
    </row>
    <row r="6">
      <c r="A6" s="15" t="s">
        <v>14</v>
      </c>
      <c r="B6" s="16">
        <v>8500.0</v>
      </c>
      <c r="C6" s="16">
        <v>7250.0</v>
      </c>
      <c r="D6" s="16">
        <v>6050.0</v>
      </c>
      <c r="E6" s="16"/>
      <c r="F6" s="16">
        <v>6050.0</v>
      </c>
      <c r="G6" s="16">
        <v>5800.0</v>
      </c>
      <c r="H6" s="16">
        <v>5800.0</v>
      </c>
      <c r="I6" s="16">
        <v>7000.0</v>
      </c>
      <c r="J6" s="17">
        <v>0.0</v>
      </c>
      <c r="K6" s="18"/>
      <c r="L6" s="19">
        <f t="shared" si="1"/>
        <v>46450</v>
      </c>
    </row>
    <row r="7">
      <c r="A7" s="15" t="s">
        <v>14</v>
      </c>
      <c r="B7" s="16">
        <v>8500.0</v>
      </c>
      <c r="C7" s="16">
        <v>7250.0</v>
      </c>
      <c r="D7" s="16">
        <v>6050.0</v>
      </c>
      <c r="E7" s="16"/>
      <c r="F7" s="16">
        <v>6050.0</v>
      </c>
      <c r="G7" s="16">
        <v>5800.0</v>
      </c>
      <c r="H7" s="16">
        <v>5800.0</v>
      </c>
      <c r="I7" s="16">
        <v>7000.0</v>
      </c>
      <c r="J7" s="17">
        <v>0.0</v>
      </c>
      <c r="K7" s="18"/>
      <c r="L7" s="19">
        <f t="shared" si="1"/>
        <v>46450</v>
      </c>
    </row>
    <row r="8">
      <c r="A8" s="20" t="s">
        <v>15</v>
      </c>
      <c r="B8" s="21">
        <f t="shared" ref="B8:D8" si="2">SUM(B3:B6)</f>
        <v>34000</v>
      </c>
      <c r="C8" s="21">
        <f t="shared" si="2"/>
        <v>29000</v>
      </c>
      <c r="D8" s="21">
        <f t="shared" si="2"/>
        <v>24200</v>
      </c>
      <c r="E8" s="21"/>
      <c r="F8" s="21">
        <f t="shared" ref="F8:J8" si="3">SUM(F3:F6)</f>
        <v>24200</v>
      </c>
      <c r="G8" s="21">
        <f t="shared" si="3"/>
        <v>23200</v>
      </c>
      <c r="H8" s="21">
        <f t="shared" si="3"/>
        <v>23200</v>
      </c>
      <c r="I8" s="21">
        <f t="shared" si="3"/>
        <v>28000</v>
      </c>
      <c r="J8" s="21">
        <f t="shared" si="3"/>
        <v>0</v>
      </c>
      <c r="K8" s="21"/>
      <c r="L8" s="22">
        <f>SUM(L3:L6)</f>
        <v>185800</v>
      </c>
    </row>
    <row r="9">
      <c r="A9" s="23" t="s">
        <v>16</v>
      </c>
      <c r="B9" s="24">
        <v>10475.0</v>
      </c>
      <c r="C9" s="24">
        <v>9463.0</v>
      </c>
      <c r="D9" s="24">
        <v>9075.0</v>
      </c>
      <c r="E9" s="24"/>
      <c r="F9" s="24">
        <v>9075.0</v>
      </c>
      <c r="G9" s="24">
        <v>10410.0</v>
      </c>
      <c r="H9" s="24">
        <v>10410.0</v>
      </c>
      <c r="I9" s="24"/>
      <c r="J9" s="24"/>
      <c r="K9" s="24"/>
      <c r="L9" s="26">
        <f t="shared" ref="L9:L12" si="6">SUM(B9:K9)</f>
        <v>58908</v>
      </c>
    </row>
    <row r="10">
      <c r="A10" s="27" t="s">
        <v>17</v>
      </c>
      <c r="B10" s="28">
        <f t="shared" ref="B10:D10" si="4">B8-(B9)</f>
        <v>23525</v>
      </c>
      <c r="C10" s="28">
        <f t="shared" si="4"/>
        <v>19537</v>
      </c>
      <c r="D10" s="28">
        <f t="shared" si="4"/>
        <v>15125</v>
      </c>
      <c r="E10" s="28"/>
      <c r="F10" s="28">
        <f t="shared" ref="F10:J10" si="5">F8-(F9)</f>
        <v>15125</v>
      </c>
      <c r="G10" s="28">
        <f t="shared" si="5"/>
        <v>12790</v>
      </c>
      <c r="H10" s="28">
        <f t="shared" si="5"/>
        <v>12790</v>
      </c>
      <c r="I10" s="28">
        <f t="shared" si="5"/>
        <v>28000</v>
      </c>
      <c r="J10" s="28">
        <f t="shared" si="5"/>
        <v>0</v>
      </c>
      <c r="K10" s="28"/>
      <c r="L10" s="30">
        <f t="shared" si="6"/>
        <v>126892</v>
      </c>
    </row>
    <row r="11">
      <c r="A11" s="23" t="s">
        <v>18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6">
        <f t="shared" si="6"/>
        <v>0</v>
      </c>
    </row>
    <row r="12">
      <c r="A12" s="9">
        <v>43918.0</v>
      </c>
      <c r="B12" s="10">
        <f t="shared" ref="B12:D12" si="7">B10/3</f>
        <v>7841.666667</v>
      </c>
      <c r="C12" s="10">
        <f t="shared" si="7"/>
        <v>6512.333333</v>
      </c>
      <c r="D12" s="10">
        <f t="shared" si="7"/>
        <v>5041.666667</v>
      </c>
      <c r="E12" s="10"/>
      <c r="F12" s="10">
        <v>7050.0</v>
      </c>
      <c r="G12" s="10">
        <f t="shared" ref="G12:H12" si="8">G10/3</f>
        <v>4263.333333</v>
      </c>
      <c r="H12" s="10">
        <f t="shared" si="8"/>
        <v>4263.333333</v>
      </c>
      <c r="I12" s="10">
        <v>7000.0</v>
      </c>
      <c r="J12" s="11">
        <v>0.0</v>
      </c>
      <c r="K12" s="12"/>
      <c r="L12" s="13">
        <f t="shared" si="6"/>
        <v>41972.33333</v>
      </c>
    </row>
    <row r="13">
      <c r="A13" s="14">
        <v>44108.0</v>
      </c>
      <c r="B13" s="10">
        <f>B8/4+650</f>
        <v>9150</v>
      </c>
      <c r="C13" s="10">
        <f>C8/4+700</f>
        <v>7950</v>
      </c>
      <c r="D13" s="10">
        <f>D8/4+1000</f>
        <v>7050</v>
      </c>
      <c r="E13" s="10"/>
      <c r="F13" s="10">
        <f>F8/4+1000</f>
        <v>7050</v>
      </c>
      <c r="G13" s="31">
        <f t="shared" ref="G13:H13" si="9">G8/4+1500</f>
        <v>7300</v>
      </c>
      <c r="H13" s="31">
        <f t="shared" si="9"/>
        <v>7300</v>
      </c>
      <c r="I13" s="10">
        <f>I8/4</f>
        <v>7000</v>
      </c>
      <c r="J13" s="11">
        <v>0.0</v>
      </c>
      <c r="K13" s="12"/>
      <c r="L13" s="13">
        <f t="shared" ref="L13:L15" si="12">SUM(B13:J13)</f>
        <v>52800</v>
      </c>
    </row>
    <row r="14">
      <c r="A14" s="15" t="s">
        <v>13</v>
      </c>
      <c r="B14" s="10">
        <f t="shared" ref="B14:D14" si="10">B8/4</f>
        <v>8500</v>
      </c>
      <c r="C14" s="10">
        <f t="shared" si="10"/>
        <v>7250</v>
      </c>
      <c r="D14" s="10">
        <f t="shared" si="10"/>
        <v>6050</v>
      </c>
      <c r="E14" s="10"/>
      <c r="F14" s="10">
        <f>F8/4+1000</f>
        <v>7050</v>
      </c>
      <c r="G14" s="10">
        <f t="shared" ref="G14:H14" si="11">G8/4</f>
        <v>5800</v>
      </c>
      <c r="H14" s="10">
        <f t="shared" si="11"/>
        <v>5800</v>
      </c>
      <c r="I14" s="10">
        <f t="shared" ref="I14:I15" si="15">I13</f>
        <v>7000</v>
      </c>
      <c r="J14" s="11">
        <v>0.0</v>
      </c>
      <c r="K14" s="12"/>
      <c r="L14" s="13">
        <f t="shared" si="12"/>
        <v>47450</v>
      </c>
    </row>
    <row r="15">
      <c r="A15" s="15" t="s">
        <v>14</v>
      </c>
      <c r="B15" s="16">
        <f t="shared" ref="B15:D15" si="13">B8/4</f>
        <v>8500</v>
      </c>
      <c r="C15" s="16">
        <f t="shared" si="13"/>
        <v>7250</v>
      </c>
      <c r="D15" s="16">
        <f t="shared" si="13"/>
        <v>6050</v>
      </c>
      <c r="E15" s="16"/>
      <c r="F15" s="16">
        <f t="shared" ref="F15:G15" si="14">F8/4</f>
        <v>6050</v>
      </c>
      <c r="G15" s="16">
        <f t="shared" si="14"/>
        <v>5800</v>
      </c>
      <c r="H15" s="16">
        <f>H8/4+2900</f>
        <v>8700</v>
      </c>
      <c r="I15" s="16">
        <f t="shared" si="15"/>
        <v>7000</v>
      </c>
      <c r="J15" s="17">
        <v>0.0</v>
      </c>
      <c r="K15" s="18"/>
      <c r="L15" s="19">
        <f t="shared" si="12"/>
        <v>49350</v>
      </c>
    </row>
    <row r="16">
      <c r="A16" s="32" t="s">
        <v>19</v>
      </c>
      <c r="B16" s="16">
        <v>8500.0</v>
      </c>
      <c r="C16" s="33">
        <v>7250.0</v>
      </c>
      <c r="D16" s="33">
        <v>6050.0</v>
      </c>
      <c r="E16" s="33"/>
      <c r="F16" s="33">
        <v>6050.0</v>
      </c>
      <c r="G16" s="33">
        <v>5800.0</v>
      </c>
      <c r="H16" s="33">
        <v>8700.0</v>
      </c>
      <c r="I16" s="33">
        <v>7000.0</v>
      </c>
      <c r="J16" s="34"/>
      <c r="K16" s="35"/>
      <c r="L16" s="35"/>
    </row>
    <row r="17">
      <c r="A17" s="27" t="s">
        <v>20</v>
      </c>
      <c r="B17" s="28"/>
      <c r="C17" s="28"/>
      <c r="D17" s="28"/>
      <c r="E17" s="28"/>
      <c r="F17" s="28"/>
      <c r="G17" s="36" t="s">
        <v>21</v>
      </c>
      <c r="H17" s="36" t="s">
        <v>21</v>
      </c>
      <c r="I17" s="28"/>
      <c r="J17" s="37"/>
      <c r="K17" s="37"/>
      <c r="L17" s="37"/>
    </row>
    <row r="18">
      <c r="A18" s="37"/>
      <c r="B18" s="38"/>
      <c r="C18" s="37"/>
      <c r="D18" s="37"/>
      <c r="E18" s="37"/>
      <c r="F18" s="37"/>
      <c r="G18" s="37"/>
      <c r="H18" s="37"/>
      <c r="I18" s="37"/>
      <c r="J18" s="37"/>
      <c r="K18" s="37"/>
      <c r="L18" s="37"/>
    </row>
    <row r="19">
      <c r="A19" s="39" t="s">
        <v>22</v>
      </c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1"/>
    </row>
    <row r="20">
      <c r="A20" s="42">
        <v>43918.0</v>
      </c>
      <c r="B20" s="43"/>
      <c r="C20" s="44"/>
      <c r="D20" s="44"/>
      <c r="E20" s="45"/>
      <c r="F20" s="45"/>
      <c r="G20" s="44"/>
      <c r="H20" s="45"/>
      <c r="I20" s="45"/>
      <c r="J20" s="44"/>
      <c r="K20" s="44"/>
      <c r="L20" s="44"/>
    </row>
    <row r="21">
      <c r="A21" s="42">
        <v>44108.0</v>
      </c>
      <c r="B21" s="46"/>
      <c r="C21" s="45"/>
      <c r="D21" s="45"/>
      <c r="E21" s="45"/>
      <c r="F21" s="45"/>
      <c r="G21" s="44"/>
      <c r="H21" s="44"/>
      <c r="I21" s="45"/>
      <c r="J21" s="44"/>
      <c r="K21" s="44"/>
      <c r="L21" s="44"/>
    </row>
    <row r="22">
      <c r="A22" s="39" t="s">
        <v>13</v>
      </c>
      <c r="B22" s="43"/>
      <c r="C22" s="44"/>
      <c r="D22" s="44"/>
      <c r="E22" s="45"/>
      <c r="F22" s="45"/>
      <c r="G22" s="44"/>
      <c r="H22" s="44"/>
      <c r="I22" s="45"/>
      <c r="J22" s="44"/>
      <c r="K22" s="44"/>
      <c r="L22" s="44"/>
    </row>
    <row r="23">
      <c r="A23" s="39" t="s">
        <v>14</v>
      </c>
      <c r="B23" s="46"/>
      <c r="C23" s="45"/>
      <c r="D23" s="44"/>
      <c r="E23" s="45"/>
      <c r="F23" s="45"/>
      <c r="G23" s="44"/>
      <c r="H23" s="44"/>
      <c r="I23" s="45"/>
      <c r="J23" s="44"/>
      <c r="K23" s="44"/>
      <c r="L23" s="44"/>
    </row>
    <row r="24">
      <c r="A24" s="39" t="s">
        <v>19</v>
      </c>
      <c r="B24" s="46"/>
      <c r="C24" s="44"/>
      <c r="D24" s="44"/>
      <c r="E24" s="45"/>
      <c r="F24" s="45">
        <v>1720.0</v>
      </c>
      <c r="G24" s="44"/>
      <c r="H24" s="44"/>
      <c r="I24" s="45">
        <v>2000.0</v>
      </c>
      <c r="J24" s="44"/>
      <c r="K24" s="44"/>
      <c r="L24" s="44"/>
    </row>
    <row r="25">
      <c r="A25" s="37"/>
      <c r="B25" s="38"/>
      <c r="C25" s="37"/>
      <c r="D25" s="37"/>
      <c r="E25" s="37"/>
      <c r="F25" s="37"/>
      <c r="G25" s="37"/>
      <c r="H25" s="37"/>
      <c r="I25" s="37"/>
      <c r="J25" s="37"/>
      <c r="K25" s="37"/>
      <c r="L25" s="37"/>
    </row>
    <row r="26">
      <c r="A26" s="47" t="s">
        <v>23</v>
      </c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47" t="s">
        <v>24</v>
      </c>
    </row>
    <row r="27">
      <c r="A27" s="50">
        <v>43918.0</v>
      </c>
      <c r="B27" s="51">
        <f t="shared" ref="B27:D27" si="16">B12-B20</f>
        <v>7841.666667</v>
      </c>
      <c r="C27" s="52">
        <f t="shared" si="16"/>
        <v>6512.333333</v>
      </c>
      <c r="D27" s="52">
        <f t="shared" si="16"/>
        <v>5041.666667</v>
      </c>
      <c r="E27" s="52"/>
      <c r="F27" s="52"/>
      <c r="G27" s="52">
        <f t="shared" ref="G27:I27" si="17">G12-G20</f>
        <v>4263.333333</v>
      </c>
      <c r="H27" s="52">
        <f t="shared" si="17"/>
        <v>4263.333333</v>
      </c>
      <c r="I27" s="52">
        <f t="shared" si="17"/>
        <v>7000</v>
      </c>
      <c r="J27" s="52"/>
      <c r="K27" s="52"/>
      <c r="L27" s="53">
        <f t="shared" ref="L27:L29" si="20">SUM(B27:K27)</f>
        <v>34922.33333</v>
      </c>
    </row>
    <row r="28">
      <c r="A28" s="50">
        <v>44108.0</v>
      </c>
      <c r="B28" s="51">
        <f>B13-B20-B21</f>
        <v>9150</v>
      </c>
      <c r="C28" s="52">
        <f t="shared" ref="C28:D28" si="18">C13-C21-C20</f>
        <v>7950</v>
      </c>
      <c r="D28" s="52">
        <f t="shared" si="18"/>
        <v>7050</v>
      </c>
      <c r="E28" s="52"/>
      <c r="F28" s="52">
        <f t="shared" ref="F28:H28" si="19">F13-F21-F20</f>
        <v>7050</v>
      </c>
      <c r="G28" s="52">
        <f t="shared" si="19"/>
        <v>7300</v>
      </c>
      <c r="H28" s="52">
        <f t="shared" si="19"/>
        <v>7300</v>
      </c>
      <c r="I28" s="52">
        <f>I13-I21</f>
        <v>7000</v>
      </c>
      <c r="J28" s="52"/>
      <c r="K28" s="52"/>
      <c r="L28" s="53">
        <f t="shared" si="20"/>
        <v>52800</v>
      </c>
    </row>
    <row r="29">
      <c r="A29" s="47" t="s">
        <v>13</v>
      </c>
      <c r="B29" s="51">
        <f t="shared" ref="B29:D29" si="21">B14-B22</f>
        <v>8500</v>
      </c>
      <c r="C29" s="52">
        <f t="shared" si="21"/>
        <v>7250</v>
      </c>
      <c r="D29" s="52">
        <f t="shared" si="21"/>
        <v>6050</v>
      </c>
      <c r="E29" s="52"/>
      <c r="F29" s="52">
        <f t="shared" ref="F29:I29" si="22">F14-F22</f>
        <v>7050</v>
      </c>
      <c r="G29" s="52">
        <f t="shared" si="22"/>
        <v>5800</v>
      </c>
      <c r="H29" s="52">
        <f t="shared" si="22"/>
        <v>5800</v>
      </c>
      <c r="I29" s="52">
        <f t="shared" si="22"/>
        <v>7000</v>
      </c>
      <c r="J29" s="52"/>
      <c r="K29" s="52"/>
      <c r="L29" s="53">
        <f t="shared" si="20"/>
        <v>47450</v>
      </c>
    </row>
    <row r="30">
      <c r="A30" s="47" t="s">
        <v>25</v>
      </c>
      <c r="B30" s="51">
        <f t="shared" ref="B30:D30" si="23">B15-B23</f>
        <v>8500</v>
      </c>
      <c r="C30" s="52">
        <f t="shared" si="23"/>
        <v>7250</v>
      </c>
      <c r="D30" s="52">
        <f t="shared" si="23"/>
        <v>6050</v>
      </c>
      <c r="E30" s="52"/>
      <c r="F30" s="52">
        <f>F16</f>
        <v>6050</v>
      </c>
      <c r="G30" s="52">
        <f t="shared" ref="G30:I30" si="24">G15-G23</f>
        <v>5800</v>
      </c>
      <c r="H30" s="52">
        <f t="shared" si="24"/>
        <v>8700</v>
      </c>
      <c r="I30" s="52">
        <f t="shared" si="24"/>
        <v>7000</v>
      </c>
      <c r="J30" s="52"/>
      <c r="K30" s="52"/>
      <c r="L30" s="53">
        <f>SUM(B30:I30)</f>
        <v>49350</v>
      </c>
    </row>
    <row r="31">
      <c r="A31" s="47" t="s">
        <v>19</v>
      </c>
      <c r="B31" s="54">
        <v>8500.0</v>
      </c>
      <c r="C31" s="52">
        <f t="shared" ref="C31:D31" si="25">C16-C24</f>
        <v>7250</v>
      </c>
      <c r="D31" s="52">
        <f t="shared" si="25"/>
        <v>6050</v>
      </c>
      <c r="E31" s="52"/>
      <c r="F31" s="52">
        <f t="shared" ref="F31:I31" si="26">F16-F24</f>
        <v>4330</v>
      </c>
      <c r="G31" s="52">
        <f t="shared" si="26"/>
        <v>5800</v>
      </c>
      <c r="H31" s="52">
        <f t="shared" si="26"/>
        <v>8700</v>
      </c>
      <c r="I31" s="52">
        <f t="shared" si="26"/>
        <v>5000</v>
      </c>
      <c r="J31" s="52"/>
      <c r="K31" s="52"/>
      <c r="L31" s="52"/>
    </row>
    <row r="34">
      <c r="A34" s="1" t="s">
        <v>0</v>
      </c>
      <c r="B34" s="2" t="s">
        <v>1</v>
      </c>
      <c r="C34" s="3" t="s">
        <v>2</v>
      </c>
      <c r="D34" s="3" t="s">
        <v>3</v>
      </c>
      <c r="E34" s="3"/>
      <c r="F34" s="3" t="s">
        <v>4</v>
      </c>
      <c r="G34" s="3" t="s">
        <v>5</v>
      </c>
      <c r="H34" s="3" t="s">
        <v>6</v>
      </c>
      <c r="I34" s="1" t="s">
        <v>10</v>
      </c>
      <c r="J34" s="4" t="s">
        <v>7</v>
      </c>
      <c r="K34" s="4" t="s">
        <v>8</v>
      </c>
      <c r="L34" s="1" t="s">
        <v>0</v>
      </c>
    </row>
    <row r="35">
      <c r="A35" s="6" t="s">
        <v>26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8"/>
    </row>
    <row r="36">
      <c r="A36" s="55" t="s">
        <v>27</v>
      </c>
      <c r="B36" s="10">
        <v>8500.0</v>
      </c>
      <c r="C36" s="10">
        <v>7250.0</v>
      </c>
      <c r="D36" s="56">
        <v>6050.0</v>
      </c>
      <c r="E36" s="10"/>
      <c r="F36" s="10">
        <v>6050.0</v>
      </c>
      <c r="G36" s="10">
        <f>5800+2900</f>
        <v>8700</v>
      </c>
      <c r="H36" s="56">
        <v>6050.0</v>
      </c>
      <c r="I36" s="10">
        <v>7000.0</v>
      </c>
      <c r="J36" s="11">
        <v>0.0</v>
      </c>
      <c r="K36" s="12"/>
      <c r="L36" s="13">
        <f>SUM(B36:K36)</f>
        <v>49600</v>
      </c>
    </row>
    <row r="37">
      <c r="A37" s="15" t="s">
        <v>28</v>
      </c>
      <c r="B37" s="10">
        <v>8500.0</v>
      </c>
      <c r="C37" s="10">
        <v>7250.0</v>
      </c>
      <c r="D37" s="56">
        <v>6050.0</v>
      </c>
      <c r="E37" s="10"/>
      <c r="F37" s="10">
        <v>6050.0</v>
      </c>
      <c r="G37" s="10">
        <v>6050.0</v>
      </c>
      <c r="H37" s="10">
        <v>6050.0</v>
      </c>
      <c r="I37" s="10">
        <v>7000.0</v>
      </c>
      <c r="J37" s="11">
        <v>0.0</v>
      </c>
      <c r="K37" s="12"/>
      <c r="L37" s="13">
        <f t="shared" ref="L37:L40" si="27">SUM(B37:J37)</f>
        <v>46950</v>
      </c>
    </row>
    <row r="38">
      <c r="A38" s="15" t="s">
        <v>29</v>
      </c>
      <c r="B38" s="10">
        <v>8500.0</v>
      </c>
      <c r="C38" s="10">
        <v>7250.0</v>
      </c>
      <c r="D38" s="10">
        <v>6050.0</v>
      </c>
      <c r="E38" s="10"/>
      <c r="F38" s="10">
        <v>6050.0</v>
      </c>
      <c r="G38" s="10">
        <v>6050.0</v>
      </c>
      <c r="H38" s="10">
        <v>6050.0</v>
      </c>
      <c r="I38" s="10">
        <v>7000.0</v>
      </c>
      <c r="J38" s="11">
        <v>0.0</v>
      </c>
      <c r="K38" s="12"/>
      <c r="L38" s="13">
        <f t="shared" si="27"/>
        <v>46950</v>
      </c>
    </row>
    <row r="39">
      <c r="A39" s="15" t="s">
        <v>30</v>
      </c>
      <c r="B39" s="16">
        <v>8500.0</v>
      </c>
      <c r="C39" s="16">
        <v>7250.0</v>
      </c>
      <c r="D39" s="16">
        <v>6050.0</v>
      </c>
      <c r="E39" s="16"/>
      <c r="F39" s="16">
        <v>6050.0</v>
      </c>
      <c r="G39" s="16">
        <v>6050.0</v>
      </c>
      <c r="H39" s="16">
        <v>6050.0</v>
      </c>
      <c r="I39" s="16">
        <v>7000.0</v>
      </c>
      <c r="J39" s="17">
        <v>0.0</v>
      </c>
      <c r="K39" s="18"/>
      <c r="L39" s="19">
        <f t="shared" si="27"/>
        <v>46950</v>
      </c>
    </row>
    <row r="40">
      <c r="A40" s="15"/>
      <c r="B40" s="16"/>
      <c r="C40" s="16"/>
      <c r="D40" s="16"/>
      <c r="E40" s="16"/>
      <c r="F40" s="16"/>
      <c r="G40" s="16"/>
      <c r="H40" s="16"/>
      <c r="I40" s="16"/>
      <c r="J40" s="17">
        <v>0.0</v>
      </c>
      <c r="K40" s="18"/>
      <c r="L40" s="19">
        <f t="shared" si="27"/>
        <v>0</v>
      </c>
    </row>
    <row r="41">
      <c r="A41" s="20" t="s">
        <v>15</v>
      </c>
      <c r="B41" s="21">
        <f t="shared" ref="B41:D41" si="28">SUM(B36:B39)</f>
        <v>34000</v>
      </c>
      <c r="C41" s="21">
        <f t="shared" si="28"/>
        <v>29000</v>
      </c>
      <c r="D41" s="21">
        <f t="shared" si="28"/>
        <v>24200</v>
      </c>
      <c r="E41" s="21"/>
      <c r="F41" s="21">
        <f t="shared" ref="F41:J41" si="29">SUM(F36:F39)</f>
        <v>24200</v>
      </c>
      <c r="G41" s="21">
        <f t="shared" si="29"/>
        <v>26850</v>
      </c>
      <c r="H41" s="21">
        <f t="shared" si="29"/>
        <v>24200</v>
      </c>
      <c r="I41" s="21">
        <f t="shared" si="29"/>
        <v>28000</v>
      </c>
      <c r="J41" s="21">
        <f t="shared" si="29"/>
        <v>0</v>
      </c>
      <c r="K41" s="20" t="s">
        <v>15</v>
      </c>
      <c r="L41" s="21">
        <f t="shared" ref="L41:S41" si="30">SUM(L36:L39)</f>
        <v>190450</v>
      </c>
      <c r="M41" s="21">
        <f t="shared" si="30"/>
        <v>0</v>
      </c>
      <c r="N41" s="21">
        <f t="shared" si="30"/>
        <v>0</v>
      </c>
      <c r="O41" s="21">
        <f t="shared" si="30"/>
        <v>0</v>
      </c>
      <c r="P41" s="21">
        <f t="shared" si="30"/>
        <v>0</v>
      </c>
      <c r="Q41" s="21">
        <f t="shared" si="30"/>
        <v>0</v>
      </c>
      <c r="R41" s="21">
        <f t="shared" si="30"/>
        <v>0</v>
      </c>
      <c r="S41" s="21">
        <f t="shared" si="30"/>
        <v>0</v>
      </c>
    </row>
    <row r="42">
      <c r="A42" s="23" t="s">
        <v>16</v>
      </c>
      <c r="B42" s="24">
        <v>12000.0</v>
      </c>
      <c r="C42" s="24">
        <v>10800.0</v>
      </c>
      <c r="D42" s="24">
        <v>10300.0</v>
      </c>
      <c r="E42" s="24"/>
      <c r="F42" s="24">
        <v>10500.0</v>
      </c>
      <c r="G42" s="24">
        <v>12000.0</v>
      </c>
      <c r="H42" s="24">
        <v>12000.0</v>
      </c>
      <c r="I42" s="24"/>
      <c r="J42" s="24"/>
      <c r="K42" s="21"/>
      <c r="L42" s="22">
        <f>SUM(L36:L39)</f>
        <v>190450</v>
      </c>
    </row>
    <row r="43">
      <c r="A43" s="57" t="s">
        <v>17</v>
      </c>
      <c r="B43" s="58">
        <f t="shared" ref="B43:D43" si="31">B41-(B42)</f>
        <v>22000</v>
      </c>
      <c r="C43" s="58">
        <f t="shared" si="31"/>
        <v>18200</v>
      </c>
      <c r="D43" s="58">
        <f t="shared" si="31"/>
        <v>13900</v>
      </c>
      <c r="E43" s="58"/>
      <c r="F43" s="58">
        <f t="shared" ref="F43:H43" si="32">F41-(F42)</f>
        <v>13700</v>
      </c>
      <c r="G43" s="58">
        <f t="shared" si="32"/>
        <v>14850</v>
      </c>
      <c r="H43" s="58">
        <f t="shared" si="32"/>
        <v>12200</v>
      </c>
      <c r="I43" s="58">
        <f t="shared" ref="I43:J43" si="33">I40-(I42)</f>
        <v>0</v>
      </c>
      <c r="J43" s="58">
        <f t="shared" si="33"/>
        <v>0</v>
      </c>
      <c r="K43" s="25"/>
      <c r="L43" s="26">
        <f t="shared" ref="L43:L45" si="34">SUM(B43:K43)</f>
        <v>94850</v>
      </c>
    </row>
    <row r="44">
      <c r="A44" s="27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30">
        <f t="shared" si="34"/>
        <v>0</v>
      </c>
    </row>
    <row r="45">
      <c r="A45" s="23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6">
        <f t="shared" si="34"/>
        <v>0</v>
      </c>
    </row>
    <row r="46">
      <c r="A46" s="37"/>
      <c r="B46" s="38"/>
      <c r="C46" s="37"/>
      <c r="D46" s="37"/>
      <c r="E46" s="37"/>
      <c r="F46" s="37"/>
      <c r="G46" s="37"/>
      <c r="H46" s="37"/>
      <c r="I46" s="37"/>
      <c r="J46" s="37"/>
      <c r="K46" s="37"/>
      <c r="L46" s="37"/>
    </row>
    <row r="47">
      <c r="A47" s="39" t="s">
        <v>22</v>
      </c>
      <c r="B47" s="40"/>
      <c r="C47" s="41"/>
      <c r="D47" s="41"/>
      <c r="E47" s="41"/>
      <c r="F47" s="41"/>
      <c r="G47" s="41"/>
      <c r="H47" s="41"/>
      <c r="I47" s="41"/>
      <c r="J47" s="41"/>
      <c r="K47" s="41"/>
      <c r="L47" s="41"/>
    </row>
    <row r="48">
      <c r="A48" s="59" t="s">
        <v>27</v>
      </c>
      <c r="B48" s="43"/>
      <c r="C48" s="44"/>
      <c r="D48" s="44"/>
      <c r="E48" s="45"/>
      <c r="F48" s="45">
        <v>200.0</v>
      </c>
      <c r="G48" s="44"/>
      <c r="H48" s="45"/>
      <c r="I48" s="45">
        <v>2000.0</v>
      </c>
      <c r="J48" s="44"/>
      <c r="K48" s="44"/>
      <c r="L48" s="44"/>
    </row>
    <row r="49">
      <c r="A49" s="60" t="s">
        <v>28</v>
      </c>
      <c r="B49" s="46"/>
      <c r="C49" s="45"/>
      <c r="D49" s="45"/>
      <c r="E49" s="45"/>
      <c r="F49" s="45"/>
      <c r="G49" s="45">
        <v>1000.0</v>
      </c>
      <c r="H49" s="44"/>
      <c r="I49" s="45"/>
      <c r="J49" s="44"/>
      <c r="K49" s="44"/>
      <c r="L49" s="44"/>
    </row>
    <row r="50">
      <c r="A50" s="60" t="s">
        <v>29</v>
      </c>
      <c r="B50" s="43"/>
      <c r="C50" s="44"/>
      <c r="D50" s="44"/>
      <c r="E50" s="45"/>
      <c r="F50" s="45"/>
      <c r="G50" s="44"/>
      <c r="H50" s="44"/>
      <c r="I50" s="45"/>
      <c r="J50" s="44"/>
      <c r="K50" s="44"/>
      <c r="L50" s="44"/>
    </row>
    <row r="51">
      <c r="A51" s="60" t="s">
        <v>30</v>
      </c>
      <c r="B51" s="46"/>
      <c r="C51" s="45"/>
      <c r="D51" s="44"/>
      <c r="E51" s="45"/>
      <c r="F51" s="45"/>
      <c r="G51" s="44"/>
      <c r="H51" s="44"/>
      <c r="I51" s="45">
        <v>2500.0</v>
      </c>
      <c r="J51" s="44"/>
      <c r="K51" s="44"/>
      <c r="L51" s="44"/>
    </row>
    <row r="52">
      <c r="A52" s="39"/>
      <c r="B52" s="46"/>
      <c r="C52" s="44"/>
      <c r="D52" s="44"/>
      <c r="E52" s="45"/>
      <c r="F52" s="45"/>
      <c r="G52" s="44"/>
      <c r="H52" s="44"/>
      <c r="I52" s="45"/>
      <c r="J52" s="44"/>
      <c r="K52" s="44"/>
      <c r="L52" s="44"/>
    </row>
    <row r="53">
      <c r="A53" s="37"/>
      <c r="B53" s="38"/>
      <c r="C53" s="37"/>
      <c r="D53" s="37"/>
      <c r="E53" s="37"/>
      <c r="F53" s="37"/>
      <c r="G53" s="37"/>
      <c r="H53" s="37"/>
      <c r="I53" s="37"/>
      <c r="J53" s="37"/>
      <c r="K53" s="37"/>
      <c r="L53" s="37"/>
    </row>
    <row r="54">
      <c r="A54" s="47" t="s">
        <v>23</v>
      </c>
      <c r="B54" s="48"/>
      <c r="C54" s="49"/>
      <c r="D54" s="49"/>
      <c r="E54" s="49"/>
      <c r="F54" s="49"/>
      <c r="G54" s="49"/>
      <c r="H54" s="49"/>
      <c r="I54" s="49"/>
      <c r="J54" s="49"/>
      <c r="K54" s="49"/>
      <c r="L54" s="47" t="s">
        <v>24</v>
      </c>
    </row>
    <row r="55">
      <c r="A55" s="61" t="s">
        <v>27</v>
      </c>
      <c r="B55" s="51">
        <f>B36-B49</f>
        <v>8500</v>
      </c>
      <c r="C55" s="52">
        <f>C36-C48</f>
        <v>7250</v>
      </c>
      <c r="D55" s="62"/>
      <c r="E55" s="52"/>
      <c r="F55" s="52">
        <f t="shared" ref="F55:G55" si="35">F36-F48</f>
        <v>5850</v>
      </c>
      <c r="G55" s="52">
        <f t="shared" si="35"/>
        <v>8700</v>
      </c>
      <c r="H55" s="62">
        <v>5800.0</v>
      </c>
      <c r="I55" s="52">
        <f>I36-I48</f>
        <v>5000</v>
      </c>
      <c r="J55" s="52"/>
      <c r="K55" s="52"/>
      <c r="L55" s="53">
        <f t="shared" ref="L55:L57" si="36">SUM(B55:K55)</f>
        <v>41100</v>
      </c>
    </row>
    <row r="56">
      <c r="A56" s="63" t="s">
        <v>28</v>
      </c>
      <c r="B56" s="51"/>
      <c r="C56" s="52"/>
      <c r="D56" s="52"/>
      <c r="E56" s="52"/>
      <c r="F56" s="52"/>
      <c r="G56" s="52"/>
      <c r="H56" s="52"/>
      <c r="I56" s="52"/>
      <c r="J56" s="52"/>
      <c r="K56" s="52"/>
      <c r="L56" s="53">
        <f t="shared" si="36"/>
        <v>0</v>
      </c>
    </row>
    <row r="57">
      <c r="A57" s="63" t="s">
        <v>29</v>
      </c>
      <c r="B57" s="51">
        <f>(B43-B55)/2</f>
        <v>6750</v>
      </c>
      <c r="C57" s="52"/>
      <c r="D57" s="52">
        <f>(D41-12100-D42)</f>
        <v>1800</v>
      </c>
      <c r="E57" s="52"/>
      <c r="F57" s="52">
        <f>(F43-F55-200)/2</f>
        <v>3825</v>
      </c>
      <c r="G57" s="52">
        <f>(11700-5800)/2-G49</f>
        <v>1950</v>
      </c>
      <c r="H57" s="52">
        <f>(H43-H55)/2</f>
        <v>3200</v>
      </c>
      <c r="I57" s="62">
        <v>7000.0</v>
      </c>
      <c r="J57" s="52"/>
      <c r="K57" s="52"/>
      <c r="L57" s="53">
        <f t="shared" si="36"/>
        <v>24525</v>
      </c>
    </row>
    <row r="58">
      <c r="A58" s="63" t="s">
        <v>30</v>
      </c>
      <c r="B58" s="51">
        <f>(B43-B55)/2</f>
        <v>6750</v>
      </c>
      <c r="C58" s="52"/>
      <c r="D58" s="52"/>
      <c r="E58" s="52"/>
      <c r="F58" s="52">
        <f>(F43-F55-200)/2</f>
        <v>3825</v>
      </c>
      <c r="G58" s="52">
        <f>(12200-5800)/2</f>
        <v>3200</v>
      </c>
      <c r="H58" s="52">
        <f>(H43-H55)/2</f>
        <v>3200</v>
      </c>
      <c r="I58" s="52">
        <f>I39-I51</f>
        <v>4500</v>
      </c>
      <c r="J58" s="52"/>
      <c r="K58" s="52"/>
      <c r="L58" s="53">
        <f>SUM(B58:I58)</f>
        <v>21475</v>
      </c>
    </row>
    <row r="59">
      <c r="A59" s="47"/>
      <c r="B59" s="54"/>
      <c r="C59" s="52"/>
      <c r="D59" s="52"/>
      <c r="E59" s="52"/>
      <c r="F59" s="52"/>
      <c r="G59" s="52"/>
      <c r="H59" s="52"/>
      <c r="I59" s="52"/>
      <c r="J59" s="52"/>
      <c r="K59" s="52"/>
      <c r="L59" s="52"/>
    </row>
    <row r="61">
      <c r="A61" s="1" t="s">
        <v>0</v>
      </c>
      <c r="B61" s="2" t="s">
        <v>1</v>
      </c>
      <c r="C61" s="3" t="s">
        <v>2</v>
      </c>
      <c r="D61" s="3" t="s">
        <v>3</v>
      </c>
      <c r="E61" s="3"/>
      <c r="F61" s="3" t="s">
        <v>4</v>
      </c>
      <c r="G61" s="3" t="s">
        <v>5</v>
      </c>
      <c r="H61" s="3" t="s">
        <v>6</v>
      </c>
      <c r="I61" s="1" t="s">
        <v>10</v>
      </c>
      <c r="J61" s="4" t="s">
        <v>7</v>
      </c>
      <c r="K61" s="4" t="s">
        <v>8</v>
      </c>
      <c r="L61" s="1" t="s">
        <v>0</v>
      </c>
    </row>
    <row r="62">
      <c r="A62" s="6" t="s">
        <v>31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8"/>
    </row>
    <row r="63">
      <c r="A63" s="55" t="s">
        <v>32</v>
      </c>
      <c r="B63" s="10">
        <v>9500.0</v>
      </c>
      <c r="C63" s="10">
        <v>7750.0</v>
      </c>
      <c r="D63" s="10">
        <v>7500.0</v>
      </c>
      <c r="E63" s="10"/>
      <c r="F63" s="10">
        <v>7500.0</v>
      </c>
      <c r="G63" s="10">
        <v>7000.0</v>
      </c>
      <c r="H63" s="10">
        <v>7000.0</v>
      </c>
      <c r="I63" s="10">
        <v>7000.0</v>
      </c>
      <c r="J63" s="11">
        <v>0.0</v>
      </c>
      <c r="K63" s="12"/>
      <c r="L63" s="13">
        <f>SUM(B63:K63)</f>
        <v>53250</v>
      </c>
    </row>
    <row r="64">
      <c r="A64" s="15">
        <v>70.0</v>
      </c>
      <c r="B64" s="10">
        <v>9500.0</v>
      </c>
      <c r="C64" s="10">
        <v>7750.0</v>
      </c>
      <c r="D64" s="10">
        <v>7500.0</v>
      </c>
      <c r="E64" s="10"/>
      <c r="F64" s="10">
        <v>7500.0</v>
      </c>
      <c r="G64" s="10">
        <v>7000.0</v>
      </c>
      <c r="H64" s="10">
        <v>7000.0</v>
      </c>
      <c r="I64" s="10">
        <v>7000.0</v>
      </c>
      <c r="J64" s="11">
        <v>0.0</v>
      </c>
      <c r="K64" s="12"/>
      <c r="L64" s="13">
        <f t="shared" ref="L64:L67" si="37">SUM(B64:J64)</f>
        <v>53250</v>
      </c>
    </row>
    <row r="65">
      <c r="A65" s="15" t="s">
        <v>29</v>
      </c>
      <c r="B65" s="10">
        <v>9500.0</v>
      </c>
      <c r="C65" s="10">
        <v>7750.0</v>
      </c>
      <c r="D65" s="10">
        <v>7500.0</v>
      </c>
      <c r="E65" s="10"/>
      <c r="F65" s="10">
        <v>7500.0</v>
      </c>
      <c r="G65" s="10">
        <v>7000.0</v>
      </c>
      <c r="H65" s="10">
        <v>7000.0</v>
      </c>
      <c r="I65" s="10">
        <v>7000.0</v>
      </c>
      <c r="J65" s="11">
        <v>0.0</v>
      </c>
      <c r="K65" s="12"/>
      <c r="L65" s="13">
        <f t="shared" si="37"/>
        <v>53250</v>
      </c>
    </row>
    <row r="66">
      <c r="A66" s="15" t="s">
        <v>30</v>
      </c>
      <c r="B66" s="16">
        <v>9500.0</v>
      </c>
      <c r="C66" s="16">
        <v>7750.0</v>
      </c>
      <c r="D66" s="16">
        <v>7500.0</v>
      </c>
      <c r="E66" s="16"/>
      <c r="F66" s="16">
        <v>7500.0</v>
      </c>
      <c r="G66" s="16">
        <v>7000.0</v>
      </c>
      <c r="H66" s="16">
        <v>7000.0</v>
      </c>
      <c r="I66" s="16">
        <v>7000.0</v>
      </c>
      <c r="J66" s="17">
        <v>0.0</v>
      </c>
      <c r="K66" s="18"/>
      <c r="L66" s="19">
        <f t="shared" si="37"/>
        <v>53250</v>
      </c>
    </row>
    <row r="67">
      <c r="A67" s="15"/>
      <c r="B67" s="16"/>
      <c r="C67" s="16"/>
      <c r="D67" s="16"/>
      <c r="E67" s="16"/>
      <c r="F67" s="16"/>
      <c r="G67" s="16"/>
      <c r="H67" s="16"/>
      <c r="I67" s="16"/>
      <c r="J67" s="17">
        <v>0.0</v>
      </c>
      <c r="K67" s="18"/>
      <c r="L67" s="19">
        <f t="shared" si="37"/>
        <v>0</v>
      </c>
    </row>
    <row r="68">
      <c r="A68" s="20" t="s">
        <v>15</v>
      </c>
      <c r="B68" s="21">
        <f t="shared" ref="B68:D68" si="38">SUM(B63:B66)</f>
        <v>38000</v>
      </c>
      <c r="C68" s="21">
        <f t="shared" si="38"/>
        <v>31000</v>
      </c>
      <c r="D68" s="21">
        <f t="shared" si="38"/>
        <v>30000</v>
      </c>
      <c r="E68" s="21"/>
      <c r="F68" s="21">
        <f t="shared" ref="F68:J68" si="39">SUM(F63:F66)</f>
        <v>30000</v>
      </c>
      <c r="G68" s="21">
        <f t="shared" si="39"/>
        <v>28000</v>
      </c>
      <c r="H68" s="21">
        <f t="shared" si="39"/>
        <v>28000</v>
      </c>
      <c r="I68" s="21">
        <f t="shared" si="39"/>
        <v>28000</v>
      </c>
      <c r="J68" s="21">
        <f t="shared" si="39"/>
        <v>0</v>
      </c>
      <c r="K68" s="20" t="s">
        <v>15</v>
      </c>
      <c r="L68" s="21">
        <f>SUM(L63:L66)</f>
        <v>213000</v>
      </c>
    </row>
    <row r="69">
      <c r="A69" s="23" t="s">
        <v>16</v>
      </c>
      <c r="B69" s="24">
        <v>10800.0</v>
      </c>
      <c r="C69" s="24">
        <v>9770.0</v>
      </c>
      <c r="D69" s="24">
        <v>9400.0</v>
      </c>
      <c r="E69" s="24"/>
      <c r="F69" s="24">
        <v>9400.0</v>
      </c>
      <c r="G69" s="24">
        <v>10800.0</v>
      </c>
      <c r="H69" s="24">
        <v>10800.0</v>
      </c>
      <c r="I69" s="24"/>
      <c r="J69" s="24"/>
      <c r="K69" s="21"/>
      <c r="L69" s="22"/>
    </row>
    <row r="70">
      <c r="A70" s="57" t="s">
        <v>17</v>
      </c>
      <c r="B70" s="58">
        <f t="shared" ref="B70:D70" si="40">B68-(B69)</f>
        <v>27200</v>
      </c>
      <c r="C70" s="58">
        <f t="shared" si="40"/>
        <v>21230</v>
      </c>
      <c r="D70" s="58">
        <f t="shared" si="40"/>
        <v>20600</v>
      </c>
      <c r="E70" s="58"/>
      <c r="F70" s="58">
        <f t="shared" ref="F70:H70" si="41">F68-(F69)</f>
        <v>20600</v>
      </c>
      <c r="G70" s="58">
        <f t="shared" si="41"/>
        <v>17200</v>
      </c>
      <c r="H70" s="58">
        <f t="shared" si="41"/>
        <v>17200</v>
      </c>
      <c r="I70" s="58">
        <f t="shared" ref="I70:J70" si="42">I67-(I69)</f>
        <v>0</v>
      </c>
      <c r="J70" s="58">
        <f t="shared" si="42"/>
        <v>0</v>
      </c>
      <c r="K70" s="25"/>
      <c r="L70" s="26">
        <f t="shared" ref="L70:L72" si="43">SUM(B70:K70)</f>
        <v>124030</v>
      </c>
    </row>
    <row r="71">
      <c r="A71" s="27" t="s">
        <v>33</v>
      </c>
      <c r="B71" s="28"/>
      <c r="C71" s="28">
        <v>1000.0</v>
      </c>
      <c r="D71" s="28">
        <v>1000.0</v>
      </c>
      <c r="E71" s="28"/>
      <c r="F71" s="28">
        <v>1000.0</v>
      </c>
      <c r="G71" s="28">
        <v>1000.0</v>
      </c>
      <c r="H71" s="28">
        <v>1000.0</v>
      </c>
      <c r="I71" s="28">
        <v>1000.0</v>
      </c>
      <c r="J71" s="28"/>
      <c r="K71" s="28"/>
      <c r="L71" s="30">
        <f t="shared" si="43"/>
        <v>6000</v>
      </c>
    </row>
    <row r="72">
      <c r="A72" s="23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6">
        <f t="shared" si="43"/>
        <v>0</v>
      </c>
    </row>
    <row r="73">
      <c r="A73" s="37"/>
      <c r="B73" s="38"/>
      <c r="C73" s="37"/>
      <c r="D73" s="37"/>
      <c r="E73" s="37"/>
      <c r="F73" s="37"/>
      <c r="G73" s="37"/>
      <c r="H73" s="37"/>
      <c r="I73" s="37"/>
      <c r="J73" s="37"/>
      <c r="K73" s="37"/>
      <c r="L73" s="37"/>
    </row>
    <row r="74">
      <c r="A74" s="39" t="s">
        <v>22</v>
      </c>
      <c r="B74" s="40"/>
      <c r="C74" s="41"/>
      <c r="D74" s="41"/>
      <c r="E74" s="41"/>
      <c r="F74" s="41"/>
      <c r="G74" s="41"/>
      <c r="H74" s="41"/>
      <c r="I74" s="41"/>
      <c r="J74" s="41"/>
      <c r="K74" s="41"/>
      <c r="L74" s="41"/>
    </row>
    <row r="75">
      <c r="A75" s="59" t="s">
        <v>32</v>
      </c>
      <c r="B75" s="43">
        <v>2000.0</v>
      </c>
      <c r="C75" s="44"/>
      <c r="D75" s="44"/>
      <c r="E75" s="45"/>
      <c r="F75" s="45"/>
      <c r="G75" s="44"/>
      <c r="H75" s="45"/>
      <c r="I75" s="45">
        <v>500.0</v>
      </c>
      <c r="J75" s="44"/>
      <c r="K75" s="44"/>
      <c r="L75" s="44"/>
    </row>
    <row r="76">
      <c r="A76" s="60" t="s">
        <v>28</v>
      </c>
      <c r="B76" s="46"/>
      <c r="C76" s="45"/>
      <c r="D76" s="45"/>
      <c r="E76" s="45"/>
      <c r="F76" s="45"/>
      <c r="G76" s="45"/>
      <c r="H76" s="44"/>
      <c r="I76" s="45"/>
      <c r="J76" s="44"/>
      <c r="K76" s="44"/>
      <c r="L76" s="44"/>
    </row>
    <row r="77">
      <c r="A77" s="60" t="s">
        <v>29</v>
      </c>
      <c r="B77" s="43"/>
      <c r="C77" s="44"/>
      <c r="D77" s="44"/>
      <c r="E77" s="45"/>
      <c r="F77" s="45">
        <f>1150+200</f>
        <v>1350</v>
      </c>
      <c r="G77" s="44">
        <f>3230</f>
        <v>3230</v>
      </c>
      <c r="H77" s="44"/>
      <c r="I77" s="45"/>
      <c r="J77" s="44"/>
      <c r="K77" s="44"/>
      <c r="L77" s="44"/>
    </row>
    <row r="78">
      <c r="A78" s="60" t="s">
        <v>30</v>
      </c>
      <c r="B78" s="46"/>
      <c r="C78" s="45"/>
      <c r="D78" s="44"/>
      <c r="E78" s="45"/>
      <c r="F78" s="45"/>
      <c r="G78" s="44"/>
      <c r="H78" s="44"/>
      <c r="I78" s="45"/>
      <c r="J78" s="44"/>
      <c r="K78" s="44"/>
      <c r="L78" s="44"/>
    </row>
    <row r="79">
      <c r="A79" s="39"/>
      <c r="B79" s="46"/>
      <c r="C79" s="44"/>
      <c r="D79" s="44"/>
      <c r="E79" s="45"/>
      <c r="F79" s="45"/>
      <c r="G79" s="44"/>
      <c r="H79" s="44"/>
      <c r="I79" s="45"/>
      <c r="J79" s="44"/>
      <c r="K79" s="44"/>
      <c r="L79" s="44"/>
    </row>
    <row r="80">
      <c r="A80" s="37"/>
      <c r="B80" s="38"/>
      <c r="C80" s="37"/>
      <c r="D80" s="37"/>
      <c r="E80" s="37"/>
      <c r="F80" s="37"/>
      <c r="G80" s="37"/>
      <c r="H80" s="37"/>
      <c r="I80" s="37"/>
      <c r="J80" s="37"/>
      <c r="K80" s="37"/>
      <c r="L80" s="37"/>
    </row>
    <row r="81">
      <c r="A81" s="47" t="s">
        <v>23</v>
      </c>
      <c r="B81" s="48"/>
      <c r="C81" s="49"/>
      <c r="D81" s="49"/>
      <c r="E81" s="49"/>
      <c r="F81" s="49"/>
      <c r="G81" s="49"/>
      <c r="H81" s="49"/>
      <c r="I81" s="49"/>
      <c r="J81" s="49"/>
      <c r="K81" s="49"/>
      <c r="L81" s="47" t="s">
        <v>24</v>
      </c>
    </row>
    <row r="82">
      <c r="A82" s="61" t="s">
        <v>32</v>
      </c>
      <c r="B82" s="51">
        <f t="shared" ref="B82:D82" si="44">(B70/3)-B75</f>
        <v>7066.666667</v>
      </c>
      <c r="C82" s="52">
        <f t="shared" si="44"/>
        <v>7076.666667</v>
      </c>
      <c r="D82" s="62">
        <f t="shared" si="44"/>
        <v>6866.666667</v>
      </c>
      <c r="E82" s="52"/>
      <c r="F82" s="52">
        <f t="shared" ref="F82:H82" si="45">(F70/3)-F75</f>
        <v>6866.666667</v>
      </c>
      <c r="G82" s="52">
        <f t="shared" si="45"/>
        <v>5733.333333</v>
      </c>
      <c r="H82" s="62">
        <f t="shared" si="45"/>
        <v>5733.333333</v>
      </c>
      <c r="I82" s="52">
        <f>(I68/4)-I75</f>
        <v>6500</v>
      </c>
      <c r="J82" s="52"/>
      <c r="K82" s="52"/>
      <c r="L82" s="52">
        <f>SUM(C82:K82)</f>
        <v>38776.66667</v>
      </c>
    </row>
    <row r="83">
      <c r="A83" s="63" t="s">
        <v>28</v>
      </c>
      <c r="B83" s="51"/>
      <c r="C83" s="52"/>
      <c r="D83" s="52"/>
      <c r="E83" s="52"/>
      <c r="F83" s="52"/>
      <c r="G83" s="52"/>
      <c r="H83" s="52"/>
      <c r="I83" s="62">
        <v>7000.0</v>
      </c>
      <c r="J83" s="52"/>
      <c r="K83" s="52"/>
      <c r="L83" s="53">
        <f t="shared" ref="L83:L84" si="47">SUM(B83:K83)</f>
        <v>7000</v>
      </c>
    </row>
    <row r="84">
      <c r="A84" s="63" t="s">
        <v>29</v>
      </c>
      <c r="B84" s="51">
        <f t="shared" ref="B84:D84" si="46">B70/3</f>
        <v>9066.666667</v>
      </c>
      <c r="C84" s="52">
        <f t="shared" si="46"/>
        <v>7076.666667</v>
      </c>
      <c r="D84" s="52">
        <f t="shared" si="46"/>
        <v>6866.666667</v>
      </c>
      <c r="E84" s="52"/>
      <c r="F84" s="52">
        <f>(F70/3)-F77</f>
        <v>5516.666667</v>
      </c>
      <c r="G84" s="52">
        <f>(G70/3)+G77</f>
        <v>8963.333333</v>
      </c>
      <c r="H84" s="52">
        <f>H70/3</f>
        <v>5733.333333</v>
      </c>
      <c r="I84" s="62">
        <f>I68/4</f>
        <v>7000</v>
      </c>
      <c r="J84" s="52"/>
      <c r="K84" s="52"/>
      <c r="L84" s="53">
        <f t="shared" si="47"/>
        <v>50223.33333</v>
      </c>
    </row>
    <row r="85">
      <c r="A85" s="63" t="s">
        <v>30</v>
      </c>
      <c r="B85" s="51">
        <f t="shared" ref="B85:D85" si="48">B70/3</f>
        <v>9066.666667</v>
      </c>
      <c r="C85" s="52">
        <f t="shared" si="48"/>
        <v>7076.666667</v>
      </c>
      <c r="D85" s="52">
        <f t="shared" si="48"/>
        <v>6866.666667</v>
      </c>
      <c r="E85" s="52"/>
      <c r="F85" s="52">
        <f t="shared" ref="F85:H85" si="49">F70/3</f>
        <v>6866.666667</v>
      </c>
      <c r="G85" s="52">
        <f t="shared" si="49"/>
        <v>5733.333333</v>
      </c>
      <c r="H85" s="52">
        <f t="shared" si="49"/>
        <v>5733.333333</v>
      </c>
      <c r="I85" s="52">
        <f>I68/4</f>
        <v>7000</v>
      </c>
      <c r="J85" s="52"/>
      <c r="K85" s="52"/>
      <c r="L85" s="53">
        <f>SUM(B85:I85)</f>
        <v>48343.33333</v>
      </c>
    </row>
    <row r="86">
      <c r="A86" s="47"/>
      <c r="B86" s="54"/>
      <c r="C86" s="52"/>
      <c r="D86" s="52"/>
      <c r="E86" s="52"/>
      <c r="F86" s="52"/>
      <c r="G86" s="52"/>
      <c r="H86" s="52"/>
      <c r="I86" s="52"/>
      <c r="J86" s="52"/>
      <c r="K86" s="52"/>
      <c r="L86" s="52"/>
    </row>
    <row r="88">
      <c r="A88" s="1" t="s">
        <v>0</v>
      </c>
      <c r="B88" s="2" t="s">
        <v>1</v>
      </c>
      <c r="C88" s="3" t="s">
        <v>2</v>
      </c>
      <c r="D88" s="3" t="s">
        <v>3</v>
      </c>
      <c r="E88" s="3"/>
      <c r="F88" s="3" t="s">
        <v>4</v>
      </c>
      <c r="G88" s="3" t="s">
        <v>5</v>
      </c>
      <c r="H88" s="3" t="s">
        <v>6</v>
      </c>
      <c r="I88" s="1" t="s">
        <v>10</v>
      </c>
      <c r="J88" s="4" t="s">
        <v>34</v>
      </c>
      <c r="K88" s="4"/>
      <c r="L88" s="1" t="s">
        <v>0</v>
      </c>
    </row>
    <row r="89">
      <c r="A89" s="6" t="s">
        <v>35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8"/>
    </row>
    <row r="90">
      <c r="A90" s="55" t="s">
        <v>36</v>
      </c>
      <c r="B90" s="10">
        <v>9500.0</v>
      </c>
      <c r="C90" s="10">
        <v>7750.0</v>
      </c>
      <c r="D90" s="10">
        <v>7500.0</v>
      </c>
      <c r="E90" s="10"/>
      <c r="F90" s="10">
        <v>7500.0</v>
      </c>
      <c r="G90" s="10">
        <v>7000.0</v>
      </c>
      <c r="H90" s="10">
        <v>7000.0</v>
      </c>
      <c r="I90" s="10">
        <v>7000.0</v>
      </c>
      <c r="J90" s="11">
        <v>0.0</v>
      </c>
      <c r="K90" s="12"/>
      <c r="L90" s="13">
        <f>SUM(B90:K90)</f>
        <v>53250</v>
      </c>
    </row>
    <row r="91">
      <c r="A91" s="14">
        <v>44474.0</v>
      </c>
      <c r="B91" s="10">
        <v>9500.0</v>
      </c>
      <c r="C91" s="10">
        <v>7750.0</v>
      </c>
      <c r="D91" s="10">
        <v>7500.0</v>
      </c>
      <c r="E91" s="10"/>
      <c r="F91" s="10">
        <v>7500.0</v>
      </c>
      <c r="G91" s="10">
        <v>7000.0</v>
      </c>
      <c r="H91" s="10">
        <v>7000.0</v>
      </c>
      <c r="I91" s="10">
        <v>7000.0</v>
      </c>
      <c r="J91" s="11">
        <v>0.0</v>
      </c>
      <c r="K91" s="12"/>
      <c r="L91" s="13">
        <f t="shared" ref="L91:L94" si="50">SUM(B91:J91)</f>
        <v>53250</v>
      </c>
    </row>
    <row r="92">
      <c r="A92" s="15" t="s">
        <v>37</v>
      </c>
      <c r="B92" s="10">
        <v>9500.0</v>
      </c>
      <c r="C92" s="10">
        <v>7750.0</v>
      </c>
      <c r="D92" s="10">
        <v>7500.0</v>
      </c>
      <c r="E92" s="10"/>
      <c r="F92" s="10">
        <v>7500.0</v>
      </c>
      <c r="G92" s="10">
        <v>7000.0</v>
      </c>
      <c r="H92" s="10">
        <v>7000.0</v>
      </c>
      <c r="I92" s="10">
        <v>7000.0</v>
      </c>
      <c r="J92" s="11">
        <v>0.0</v>
      </c>
      <c r="K92" s="12"/>
      <c r="L92" s="13">
        <f t="shared" si="50"/>
        <v>53250</v>
      </c>
    </row>
    <row r="93">
      <c r="A93" s="15" t="s">
        <v>38</v>
      </c>
      <c r="B93" s="16">
        <v>9500.0</v>
      </c>
      <c r="C93" s="16">
        <v>7750.0</v>
      </c>
      <c r="D93" s="16">
        <v>7500.0</v>
      </c>
      <c r="E93" s="16"/>
      <c r="F93" s="16">
        <v>7500.0</v>
      </c>
      <c r="G93" s="16">
        <v>7000.0</v>
      </c>
      <c r="H93" s="16">
        <v>7000.0</v>
      </c>
      <c r="I93" s="16">
        <v>7000.0</v>
      </c>
      <c r="J93" s="17">
        <v>0.0</v>
      </c>
      <c r="K93" s="18"/>
      <c r="L93" s="19">
        <f t="shared" si="50"/>
        <v>53250</v>
      </c>
    </row>
    <row r="94">
      <c r="A94" s="15" t="s">
        <v>39</v>
      </c>
      <c r="B94" s="16"/>
      <c r="C94" s="16"/>
      <c r="D94" s="16"/>
      <c r="E94" s="16"/>
      <c r="F94" s="16"/>
      <c r="G94" s="16"/>
      <c r="H94" s="16"/>
      <c r="I94" s="16"/>
      <c r="J94" s="17">
        <v>0.0</v>
      </c>
      <c r="K94" s="18"/>
      <c r="L94" s="19">
        <f t="shared" si="50"/>
        <v>0</v>
      </c>
    </row>
    <row r="95">
      <c r="A95" s="20" t="s">
        <v>15</v>
      </c>
      <c r="B95" s="21">
        <f t="shared" ref="B95:D95" si="51">SUM(B90:B93)</f>
        <v>38000</v>
      </c>
      <c r="C95" s="21">
        <f t="shared" si="51"/>
        <v>31000</v>
      </c>
      <c r="D95" s="21">
        <f t="shared" si="51"/>
        <v>30000</v>
      </c>
      <c r="E95" s="21"/>
      <c r="F95" s="21">
        <f t="shared" ref="F95:J95" si="52">SUM(F90:F93)</f>
        <v>30000</v>
      </c>
      <c r="G95" s="21">
        <f t="shared" si="52"/>
        <v>28000</v>
      </c>
      <c r="H95" s="21">
        <f t="shared" si="52"/>
        <v>28000</v>
      </c>
      <c r="I95" s="21">
        <f t="shared" si="52"/>
        <v>28000</v>
      </c>
      <c r="J95" s="21">
        <f t="shared" si="52"/>
        <v>0</v>
      </c>
      <c r="K95" s="20" t="s">
        <v>15</v>
      </c>
      <c r="L95" s="21">
        <f>SUM(L90:L93)</f>
        <v>213000</v>
      </c>
    </row>
    <row r="96">
      <c r="A96" s="23" t="s">
        <v>16</v>
      </c>
      <c r="B96" s="24">
        <v>10800.0</v>
      </c>
      <c r="C96" s="24">
        <v>9770.0</v>
      </c>
      <c r="D96" s="24">
        <v>9400.0</v>
      </c>
      <c r="E96" s="24"/>
      <c r="F96" s="24">
        <v>9400.0</v>
      </c>
      <c r="G96" s="24">
        <v>10800.0</v>
      </c>
      <c r="H96" s="24">
        <v>10800.0</v>
      </c>
      <c r="I96" s="24"/>
      <c r="J96" s="24"/>
      <c r="K96" s="21"/>
      <c r="L96" s="22"/>
    </row>
    <row r="97">
      <c r="A97" s="57" t="s">
        <v>17</v>
      </c>
      <c r="B97" s="58">
        <f t="shared" ref="B97:D97" si="53">B95-(B96)</f>
        <v>27200</v>
      </c>
      <c r="C97" s="58">
        <f t="shared" si="53"/>
        <v>21230</v>
      </c>
      <c r="D97" s="58">
        <f t="shared" si="53"/>
        <v>20600</v>
      </c>
      <c r="E97" s="58"/>
      <c r="F97" s="58">
        <f t="shared" ref="F97:H97" si="54">F95-(F96)</f>
        <v>20600</v>
      </c>
      <c r="G97" s="58">
        <f t="shared" si="54"/>
        <v>17200</v>
      </c>
      <c r="H97" s="58">
        <f t="shared" si="54"/>
        <v>17200</v>
      </c>
      <c r="I97" s="58">
        <f t="shared" ref="I97:J97" si="55">I94-(I96)</f>
        <v>0</v>
      </c>
      <c r="J97" s="58">
        <f t="shared" si="55"/>
        <v>0</v>
      </c>
      <c r="K97" s="25"/>
      <c r="L97" s="26">
        <f t="shared" ref="L97:L100" si="56">SUM(B97:K97)</f>
        <v>124030</v>
      </c>
    </row>
    <row r="98">
      <c r="A98" s="27" t="s">
        <v>40</v>
      </c>
      <c r="B98" s="28"/>
      <c r="C98" s="28">
        <v>600.0</v>
      </c>
      <c r="D98" s="28">
        <v>1800.0</v>
      </c>
      <c r="E98" s="28"/>
      <c r="F98" s="28">
        <v>1000.0</v>
      </c>
      <c r="G98" s="28"/>
      <c r="H98" s="28">
        <f>600*6</f>
        <v>3600</v>
      </c>
      <c r="I98" s="28"/>
      <c r="J98" s="28"/>
      <c r="K98" s="28"/>
      <c r="L98" s="30">
        <f t="shared" si="56"/>
        <v>7000</v>
      </c>
    </row>
    <row r="99">
      <c r="A99" s="23" t="s">
        <v>41</v>
      </c>
      <c r="B99" s="24"/>
      <c r="C99" s="24">
        <v>1000.0</v>
      </c>
      <c r="D99" s="24">
        <v>1000.0</v>
      </c>
      <c r="E99" s="24"/>
      <c r="F99" s="24">
        <v>1000.0</v>
      </c>
      <c r="G99" s="24">
        <v>1000.0</v>
      </c>
      <c r="H99" s="24">
        <v>1000.0</v>
      </c>
      <c r="I99" s="24">
        <v>1000.0</v>
      </c>
      <c r="J99" s="24"/>
      <c r="K99" s="24"/>
      <c r="L99" s="26">
        <f t="shared" si="56"/>
        <v>6000</v>
      </c>
    </row>
    <row r="100">
      <c r="A100" s="23" t="s">
        <v>42</v>
      </c>
      <c r="B100" s="24">
        <v>1000.0</v>
      </c>
      <c r="C100" s="24">
        <v>1000.0</v>
      </c>
      <c r="D100" s="24">
        <v>1000.0</v>
      </c>
      <c r="E100" s="24"/>
      <c r="F100" s="24">
        <v>1000.0</v>
      </c>
      <c r="G100" s="24">
        <v>1000.0</v>
      </c>
      <c r="H100" s="24">
        <v>1000.0</v>
      </c>
      <c r="I100" s="24">
        <v>1000.0</v>
      </c>
      <c r="J100" s="24">
        <v>1000.0</v>
      </c>
      <c r="K100" s="24"/>
      <c r="L100" s="26">
        <f t="shared" si="56"/>
        <v>8000</v>
      </c>
    </row>
    <row r="101">
      <c r="A101" s="39" t="s">
        <v>22</v>
      </c>
      <c r="B101" s="40"/>
      <c r="C101" s="41"/>
      <c r="D101" s="41"/>
      <c r="E101" s="41"/>
      <c r="F101" s="41"/>
      <c r="G101" s="41"/>
      <c r="H101" s="41"/>
      <c r="I101" s="41"/>
      <c r="J101" s="41"/>
      <c r="K101" s="41"/>
      <c r="L101" s="41"/>
    </row>
    <row r="102">
      <c r="A102" s="59" t="s">
        <v>36</v>
      </c>
      <c r="B102" s="43"/>
      <c r="C102" s="44"/>
      <c r="D102" s="44"/>
      <c r="E102" s="45"/>
      <c r="F102" s="45"/>
      <c r="G102" s="44"/>
      <c r="H102" s="45"/>
      <c r="I102" s="45"/>
      <c r="J102" s="44"/>
      <c r="K102" s="44"/>
      <c r="L102" s="44"/>
    </row>
    <row r="103">
      <c r="A103" s="64">
        <v>44474.0</v>
      </c>
      <c r="B103" s="46"/>
      <c r="C103" s="45"/>
      <c r="D103" s="45"/>
      <c r="E103" s="45"/>
      <c r="F103" s="45">
        <v>500.0</v>
      </c>
      <c r="G103" s="45"/>
      <c r="H103" s="44"/>
      <c r="I103" s="45"/>
      <c r="J103" s="44"/>
      <c r="K103" s="44"/>
      <c r="L103" s="44"/>
    </row>
    <row r="104">
      <c r="A104" s="60" t="s">
        <v>37</v>
      </c>
      <c r="B104" s="43"/>
      <c r="C104" s="45">
        <v>1000.0</v>
      </c>
      <c r="D104" s="44"/>
      <c r="E104" s="45"/>
      <c r="F104" s="45">
        <v>300.0</v>
      </c>
      <c r="G104" s="44"/>
      <c r="H104" s="44"/>
      <c r="I104" s="45"/>
      <c r="J104" s="44"/>
      <c r="K104" s="44"/>
      <c r="L104" s="44"/>
    </row>
    <row r="105">
      <c r="A105" s="60" t="s">
        <v>38</v>
      </c>
      <c r="B105" s="46"/>
      <c r="C105" s="45"/>
      <c r="D105" s="44"/>
      <c r="E105" s="45"/>
      <c r="F105" s="45">
        <v>300.0</v>
      </c>
      <c r="G105" s="44"/>
      <c r="H105" s="45">
        <v>340.0</v>
      </c>
      <c r="I105" s="45"/>
      <c r="J105" s="44"/>
      <c r="K105" s="44"/>
      <c r="L105" s="44"/>
    </row>
    <row r="106">
      <c r="A106" s="64">
        <v>44222.0</v>
      </c>
      <c r="B106" s="46"/>
      <c r="C106" s="44"/>
      <c r="D106" s="44"/>
      <c r="E106" s="45"/>
      <c r="F106" s="45"/>
      <c r="G106" s="44"/>
      <c r="H106" s="45"/>
      <c r="I106" s="45"/>
      <c r="J106" s="44"/>
      <c r="K106" s="44"/>
      <c r="L106" s="44"/>
    </row>
    <row r="107">
      <c r="A107" s="37"/>
      <c r="B107" s="38"/>
      <c r="C107" s="37"/>
      <c r="D107" s="37"/>
      <c r="E107" s="37"/>
      <c r="F107" s="37"/>
      <c r="G107" s="37"/>
      <c r="H107" s="37"/>
      <c r="I107" s="37"/>
      <c r="J107" s="37"/>
      <c r="K107" s="37"/>
      <c r="L107" s="37"/>
    </row>
    <row r="108">
      <c r="A108" s="47" t="s">
        <v>23</v>
      </c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7" t="s">
        <v>24</v>
      </c>
    </row>
    <row r="109">
      <c r="A109" s="61" t="s">
        <v>36</v>
      </c>
      <c r="B109" s="51">
        <f>(B97/3)-B102</f>
        <v>9066.666667</v>
      </c>
      <c r="C109" s="52">
        <f t="shared" ref="C109:D109" si="57">(C97/3)-C102+C99</f>
        <v>8076.666667</v>
      </c>
      <c r="D109" s="62">
        <f t="shared" si="57"/>
        <v>7866.666667</v>
      </c>
      <c r="E109" s="52"/>
      <c r="F109" s="52">
        <f>(F97/3)-F102+F98+F99</f>
        <v>8866.666667</v>
      </c>
      <c r="G109" s="52">
        <f t="shared" ref="G109:H109" si="58">(G97/3)-G102+G99</f>
        <v>6733.333333</v>
      </c>
      <c r="H109" s="62">
        <f t="shared" si="58"/>
        <v>6733.333333</v>
      </c>
      <c r="I109" s="52">
        <f>(I95/4)-I102+I99</f>
        <v>8000</v>
      </c>
      <c r="J109" s="52"/>
      <c r="K109" s="52"/>
      <c r="L109" s="53">
        <f t="shared" ref="L109:L111" si="60">SUM(B109:K109)</f>
        <v>55343.33333</v>
      </c>
    </row>
    <row r="110">
      <c r="A110" s="65">
        <v>44474.0</v>
      </c>
      <c r="B110" s="51">
        <f t="shared" ref="B110:C110" si="59">B97/3</f>
        <v>9066.666667</v>
      </c>
      <c r="C110" s="52">
        <f t="shared" si="59"/>
        <v>7076.666667</v>
      </c>
      <c r="D110" s="52">
        <f>D97/3+D98</f>
        <v>8666.666667</v>
      </c>
      <c r="E110" s="52"/>
      <c r="F110" s="52">
        <f>(F97/3)-F103</f>
        <v>6366.666667</v>
      </c>
      <c r="G110" s="52">
        <f>(G97/3)+G104</f>
        <v>5733.333333</v>
      </c>
      <c r="H110" s="52">
        <f>H97/3</f>
        <v>5733.333333</v>
      </c>
      <c r="I110" s="62">
        <v>7000.0</v>
      </c>
      <c r="J110" s="52"/>
      <c r="K110" s="52"/>
      <c r="L110" s="53">
        <f t="shared" si="60"/>
        <v>49643.33333</v>
      </c>
    </row>
    <row r="111">
      <c r="A111" s="63" t="s">
        <v>37</v>
      </c>
      <c r="B111" s="66">
        <f>(B95-B109-B110)/2</f>
        <v>9933.333333</v>
      </c>
      <c r="C111" s="67">
        <f>(C95-7076-7076)/2-C104</f>
        <v>7424</v>
      </c>
      <c r="D111" s="67">
        <f>(D95-6866-6866)/2</f>
        <v>8134</v>
      </c>
      <c r="E111" s="67"/>
      <c r="F111" s="67">
        <f>(F95-6866-6866)/2-F104</f>
        <v>7834</v>
      </c>
      <c r="G111" s="67">
        <f t="shared" ref="G111:H111" si="61">(G95-5733-5733)/2</f>
        <v>8267</v>
      </c>
      <c r="H111" s="67">
        <f t="shared" si="61"/>
        <v>8267</v>
      </c>
      <c r="I111" s="62">
        <f>I95/4</f>
        <v>7000</v>
      </c>
      <c r="J111" s="52"/>
      <c r="K111" s="52"/>
      <c r="L111" s="53">
        <f t="shared" si="60"/>
        <v>56859.33333</v>
      </c>
    </row>
    <row r="112">
      <c r="A112" s="63" t="s">
        <v>38</v>
      </c>
      <c r="B112" s="68">
        <f>B111-B105</f>
        <v>9933.333333</v>
      </c>
      <c r="C112" s="62">
        <f>8424-C105</f>
        <v>8424</v>
      </c>
      <c r="D112" s="52">
        <f>8134-D105</f>
        <v>8134</v>
      </c>
      <c r="E112" s="52"/>
      <c r="F112" s="52">
        <f>8134-F105</f>
        <v>7834</v>
      </c>
      <c r="G112" s="52">
        <f t="shared" ref="G112:H112" si="62">8267-G105</f>
        <v>8267</v>
      </c>
      <c r="H112" s="52">
        <f t="shared" si="62"/>
        <v>7927</v>
      </c>
      <c r="I112" s="52">
        <f>I95/4</f>
        <v>7000</v>
      </c>
      <c r="J112" s="52"/>
      <c r="K112" s="52"/>
      <c r="L112" s="53">
        <f>SUM(B112:I112)</f>
        <v>57519.33333</v>
      </c>
    </row>
    <row r="113">
      <c r="A113" s="65">
        <v>44222.0</v>
      </c>
      <c r="B113" s="54">
        <f>B93+B100</f>
        <v>10500</v>
      </c>
      <c r="C113" s="52">
        <f>C93+C100+C98</f>
        <v>9350</v>
      </c>
      <c r="D113" s="52">
        <f>D93+D100</f>
        <v>8500</v>
      </c>
      <c r="E113" s="52"/>
      <c r="F113" s="52">
        <f>F93</f>
        <v>7500</v>
      </c>
      <c r="G113" s="62" t="s">
        <v>43</v>
      </c>
      <c r="H113" s="52">
        <f>H93+H98+H100</f>
        <v>11600</v>
      </c>
      <c r="I113" s="52">
        <f>I93+I100</f>
        <v>8000</v>
      </c>
      <c r="J113" s="52">
        <f>(1000*4)+J100</f>
        <v>5000</v>
      </c>
      <c r="K113" s="52"/>
      <c r="L113" s="53">
        <f>SUM(B113:K113)</f>
        <v>60450</v>
      </c>
    </row>
    <row r="116">
      <c r="A116" s="1" t="s">
        <v>0</v>
      </c>
      <c r="B116" s="2" t="s">
        <v>1</v>
      </c>
      <c r="C116" s="3" t="s">
        <v>2</v>
      </c>
      <c r="D116" s="3" t="s">
        <v>3</v>
      </c>
      <c r="E116" s="3"/>
      <c r="F116" s="3" t="s">
        <v>4</v>
      </c>
      <c r="G116" s="3" t="s">
        <v>34</v>
      </c>
      <c r="H116" s="3" t="s">
        <v>6</v>
      </c>
      <c r="I116" s="1" t="s">
        <v>10</v>
      </c>
      <c r="J116" s="4"/>
      <c r="K116" s="4"/>
      <c r="L116" s="1" t="s">
        <v>0</v>
      </c>
    </row>
    <row r="117">
      <c r="A117" s="6" t="s">
        <v>44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8"/>
    </row>
    <row r="118">
      <c r="A118" s="55" t="s">
        <v>45</v>
      </c>
      <c r="B118" s="10">
        <v>9500.0</v>
      </c>
      <c r="C118" s="10">
        <v>7750.0</v>
      </c>
      <c r="D118" s="10">
        <v>7500.0</v>
      </c>
      <c r="E118" s="10"/>
      <c r="F118" s="10">
        <v>7500.0</v>
      </c>
      <c r="G118" s="10">
        <v>7000.0</v>
      </c>
      <c r="H118" s="10">
        <v>7000.0</v>
      </c>
      <c r="I118" s="10">
        <v>7000.0</v>
      </c>
      <c r="J118" s="11">
        <v>0.0</v>
      </c>
      <c r="K118" s="12"/>
      <c r="L118" s="13">
        <f>SUM(B118:K118)</f>
        <v>53250</v>
      </c>
    </row>
    <row r="119">
      <c r="A119" s="15" t="s">
        <v>46</v>
      </c>
      <c r="B119" s="10">
        <v>9500.0</v>
      </c>
      <c r="C119" s="10">
        <v>7750.0</v>
      </c>
      <c r="D119" s="10">
        <v>7500.0</v>
      </c>
      <c r="E119" s="10"/>
      <c r="F119" s="10">
        <v>7500.0</v>
      </c>
      <c r="G119" s="10">
        <v>7000.0</v>
      </c>
      <c r="H119" s="10">
        <v>7000.0</v>
      </c>
      <c r="I119" s="10">
        <v>7000.0</v>
      </c>
      <c r="J119" s="11">
        <v>0.0</v>
      </c>
      <c r="K119" s="12"/>
      <c r="L119" s="13">
        <f t="shared" ref="L119:L122" si="63">SUM(B119:J119)</f>
        <v>53250</v>
      </c>
    </row>
    <row r="120">
      <c r="A120" s="15" t="s">
        <v>47</v>
      </c>
      <c r="B120" s="10">
        <v>9500.0</v>
      </c>
      <c r="C120" s="10">
        <v>7750.0</v>
      </c>
      <c r="D120" s="10">
        <v>7500.0</v>
      </c>
      <c r="E120" s="10"/>
      <c r="F120" s="10">
        <v>7500.0</v>
      </c>
      <c r="G120" s="10">
        <v>7000.0</v>
      </c>
      <c r="H120" s="10">
        <v>7000.0</v>
      </c>
      <c r="I120" s="10">
        <v>7000.0</v>
      </c>
      <c r="J120" s="11">
        <v>0.0</v>
      </c>
      <c r="K120" s="12"/>
      <c r="L120" s="13">
        <f t="shared" si="63"/>
        <v>53250</v>
      </c>
    </row>
    <row r="121">
      <c r="A121" s="15" t="s">
        <v>48</v>
      </c>
      <c r="B121" s="16">
        <v>9500.0</v>
      </c>
      <c r="C121" s="16">
        <v>7750.0</v>
      </c>
      <c r="D121" s="16">
        <v>7500.0</v>
      </c>
      <c r="E121" s="16"/>
      <c r="F121" s="16">
        <v>7500.0</v>
      </c>
      <c r="G121" s="16">
        <v>7000.0</v>
      </c>
      <c r="H121" s="16">
        <v>7000.0</v>
      </c>
      <c r="I121" s="16">
        <v>7000.0</v>
      </c>
      <c r="J121" s="17">
        <v>0.0</v>
      </c>
      <c r="K121" s="18"/>
      <c r="L121" s="19">
        <f t="shared" si="63"/>
        <v>53250</v>
      </c>
    </row>
    <row r="122">
      <c r="A122" s="15"/>
      <c r="B122" s="16"/>
      <c r="C122" s="16"/>
      <c r="D122" s="16"/>
      <c r="E122" s="16"/>
      <c r="F122" s="16"/>
      <c r="G122" s="16"/>
      <c r="H122" s="16"/>
      <c r="I122" s="16"/>
      <c r="J122" s="17">
        <v>0.0</v>
      </c>
      <c r="K122" s="18"/>
      <c r="L122" s="19">
        <f t="shared" si="63"/>
        <v>0</v>
      </c>
    </row>
    <row r="123">
      <c r="A123" s="20" t="s">
        <v>15</v>
      </c>
      <c r="B123" s="21">
        <v>48800.0</v>
      </c>
      <c r="C123" s="21">
        <f t="shared" ref="C123:D123" si="64">SUM(C118:C121)</f>
        <v>31000</v>
      </c>
      <c r="D123" s="21">
        <f t="shared" si="64"/>
        <v>30000</v>
      </c>
      <c r="E123" s="21"/>
      <c r="F123" s="21">
        <f t="shared" ref="F123:J123" si="65">SUM(F118:F121)</f>
        <v>30000</v>
      </c>
      <c r="G123" s="21">
        <f t="shared" si="65"/>
        <v>28000</v>
      </c>
      <c r="H123" s="21">
        <f t="shared" si="65"/>
        <v>28000</v>
      </c>
      <c r="I123" s="21">
        <f t="shared" si="65"/>
        <v>28000</v>
      </c>
      <c r="J123" s="21">
        <f t="shared" si="65"/>
        <v>0</v>
      </c>
      <c r="K123" s="20" t="s">
        <v>15</v>
      </c>
      <c r="L123" s="21">
        <f>SUM(L118:L121)</f>
        <v>213000</v>
      </c>
    </row>
    <row r="124">
      <c r="A124" s="23" t="s">
        <v>16</v>
      </c>
      <c r="B124" s="24">
        <v>10800.0</v>
      </c>
      <c r="C124" s="24">
        <v>9770.0</v>
      </c>
      <c r="D124" s="24">
        <v>9400.0</v>
      </c>
      <c r="E124" s="24"/>
      <c r="F124" s="24">
        <v>9400.0</v>
      </c>
      <c r="G124" s="24">
        <v>10800.0</v>
      </c>
      <c r="H124" s="24">
        <v>10800.0</v>
      </c>
      <c r="I124" s="24"/>
      <c r="J124" s="24"/>
      <c r="K124" s="21"/>
      <c r="L124" s="22"/>
    </row>
    <row r="125">
      <c r="A125" s="57" t="s">
        <v>17</v>
      </c>
      <c r="B125" s="58">
        <f t="shared" ref="B125:D125" si="66">B123-(B124)</f>
        <v>38000</v>
      </c>
      <c r="C125" s="58">
        <f t="shared" si="66"/>
        <v>21230</v>
      </c>
      <c r="D125" s="58">
        <f t="shared" si="66"/>
        <v>20600</v>
      </c>
      <c r="E125" s="58"/>
      <c r="F125" s="58">
        <f>F123-(F124)</f>
        <v>20600</v>
      </c>
      <c r="G125" s="58"/>
      <c r="H125" s="58">
        <f>H123-(H124)</f>
        <v>17200</v>
      </c>
      <c r="I125" s="58">
        <f t="shared" ref="I125:J125" si="67">I122-(I124)</f>
        <v>0</v>
      </c>
      <c r="J125" s="58">
        <f t="shared" si="67"/>
        <v>0</v>
      </c>
      <c r="K125" s="25"/>
      <c r="L125" s="26">
        <f t="shared" ref="L125:L128" si="68">SUM(B125:K125)</f>
        <v>117630</v>
      </c>
    </row>
    <row r="126">
      <c r="A126" s="27" t="s">
        <v>40</v>
      </c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30">
        <f t="shared" si="68"/>
        <v>0</v>
      </c>
    </row>
    <row r="127">
      <c r="A127" s="23" t="s">
        <v>49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6">
        <f t="shared" si="68"/>
        <v>0</v>
      </c>
    </row>
    <row r="128">
      <c r="A128" s="23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6">
        <f t="shared" si="68"/>
        <v>0</v>
      </c>
    </row>
    <row r="129">
      <c r="A129" s="39" t="s">
        <v>22</v>
      </c>
      <c r="B129" s="40"/>
      <c r="C129" s="41"/>
      <c r="D129" s="41"/>
      <c r="E129" s="41"/>
      <c r="F129" s="41"/>
      <c r="G129" s="41"/>
      <c r="H129" s="41"/>
      <c r="I129" s="41"/>
      <c r="J129" s="41"/>
      <c r="K129" s="41"/>
      <c r="L129" s="41"/>
    </row>
    <row r="130">
      <c r="A130" s="59" t="s">
        <v>45</v>
      </c>
      <c r="B130" s="43"/>
      <c r="C130" s="44"/>
      <c r="D130" s="44"/>
      <c r="E130" s="45"/>
      <c r="F130" s="45"/>
      <c r="G130" s="44"/>
      <c r="H130" s="45"/>
      <c r="I130" s="45"/>
      <c r="J130" s="44"/>
      <c r="K130" s="44"/>
      <c r="L130" s="44"/>
    </row>
    <row r="131">
      <c r="A131" s="60" t="s">
        <v>46</v>
      </c>
      <c r="B131" s="46"/>
      <c r="C131" s="45"/>
      <c r="D131" s="45"/>
      <c r="E131" s="45"/>
      <c r="F131" s="45"/>
      <c r="G131" s="45"/>
      <c r="H131" s="44"/>
      <c r="I131" s="45"/>
      <c r="J131" s="44"/>
      <c r="K131" s="44"/>
      <c r="L131" s="44"/>
    </row>
    <row r="132">
      <c r="A132" s="60" t="s">
        <v>47</v>
      </c>
      <c r="B132" s="43"/>
      <c r="C132" s="45"/>
      <c r="D132" s="44"/>
      <c r="E132" s="45"/>
      <c r="F132" s="45"/>
      <c r="G132" s="44"/>
      <c r="H132" s="44"/>
      <c r="I132" s="45"/>
      <c r="J132" s="44"/>
      <c r="K132" s="44"/>
      <c r="L132" s="44"/>
    </row>
    <row r="133">
      <c r="A133" s="60" t="s">
        <v>48</v>
      </c>
      <c r="B133" s="46"/>
      <c r="C133" s="45"/>
      <c r="D133" s="44"/>
      <c r="E133" s="45"/>
      <c r="F133" s="45"/>
      <c r="G133" s="44"/>
      <c r="H133" s="45"/>
      <c r="I133" s="45">
        <v>2000.0</v>
      </c>
      <c r="J133" s="44"/>
      <c r="K133" s="44"/>
      <c r="L133" s="44"/>
    </row>
    <row r="134">
      <c r="A134" s="47" t="s">
        <v>23</v>
      </c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7" t="s">
        <v>24</v>
      </c>
    </row>
    <row r="135">
      <c r="A135" s="61" t="s">
        <v>45</v>
      </c>
      <c r="B135" s="54">
        <v>9500.0</v>
      </c>
      <c r="C135" s="52"/>
      <c r="D135" s="62"/>
      <c r="E135" s="52"/>
      <c r="F135" s="52"/>
      <c r="G135" s="52"/>
      <c r="H135" s="62"/>
      <c r="I135" s="52"/>
      <c r="J135" s="52"/>
      <c r="K135" s="52"/>
      <c r="L135" s="53">
        <f t="shared" ref="L135:L137" si="69">SUM(B135:K135)</f>
        <v>9500</v>
      </c>
    </row>
    <row r="136">
      <c r="A136" s="63" t="s">
        <v>46</v>
      </c>
      <c r="B136" s="51"/>
      <c r="C136" s="52"/>
      <c r="D136" s="52"/>
      <c r="E136" s="52"/>
      <c r="F136" s="52"/>
      <c r="G136" s="52"/>
      <c r="H136" s="52"/>
      <c r="I136" s="62"/>
      <c r="J136" s="52"/>
      <c r="K136" s="52"/>
      <c r="L136" s="53">
        <f t="shared" si="69"/>
        <v>0</v>
      </c>
    </row>
    <row r="137">
      <c r="A137" s="63" t="s">
        <v>47</v>
      </c>
      <c r="B137" s="67">
        <f>(B125-B118)/2</f>
        <v>14250</v>
      </c>
      <c r="C137" s="67">
        <f t="shared" ref="C137:D137" si="70">(C125-C118)/2+1000</f>
        <v>7740</v>
      </c>
      <c r="D137" s="67">
        <f t="shared" si="70"/>
        <v>7550</v>
      </c>
      <c r="E137" s="67"/>
      <c r="F137" s="67">
        <f>(F125-F119)/2+1000</f>
        <v>7550</v>
      </c>
      <c r="G137" s="67">
        <f>G119</f>
        <v>7000</v>
      </c>
      <c r="H137" s="67">
        <f>(H125-H118)/2+2900</f>
        <v>8000</v>
      </c>
      <c r="I137" s="62">
        <f>I119+1000</f>
        <v>8000</v>
      </c>
      <c r="J137" s="52"/>
      <c r="K137" s="52"/>
      <c r="L137" s="52">
        <f t="shared" si="69"/>
        <v>60090</v>
      </c>
    </row>
    <row r="138">
      <c r="A138" s="63" t="s">
        <v>48</v>
      </c>
      <c r="B138" s="69">
        <v>14250.0</v>
      </c>
      <c r="C138" s="62">
        <v>7740.0</v>
      </c>
      <c r="D138" s="62">
        <v>7550.0</v>
      </c>
      <c r="E138" s="62"/>
      <c r="F138" s="62">
        <v>7550.0</v>
      </c>
      <c r="G138" s="62">
        <v>7000.0</v>
      </c>
      <c r="H138" s="62">
        <v>8000.0</v>
      </c>
      <c r="I138" s="52">
        <f>(I121-I133)+1000</f>
        <v>6000</v>
      </c>
      <c r="J138" s="52"/>
      <c r="K138" s="52"/>
      <c r="L138" s="52">
        <f>SUM(B138:I138)</f>
        <v>58090</v>
      </c>
    </row>
    <row r="139">
      <c r="A139" s="65"/>
      <c r="B139" s="54"/>
      <c r="C139" s="52"/>
      <c r="D139" s="52"/>
      <c r="E139" s="52"/>
      <c r="F139" s="52"/>
      <c r="G139" s="62"/>
      <c r="H139" s="52"/>
      <c r="I139" s="52"/>
      <c r="J139" s="52"/>
      <c r="K139" s="52"/>
      <c r="L139" s="53">
        <f>SUM(B139:K139)</f>
        <v>0</v>
      </c>
    </row>
    <row r="142">
      <c r="A142" s="1" t="s">
        <v>0</v>
      </c>
      <c r="B142" s="2" t="s">
        <v>1</v>
      </c>
      <c r="C142" s="3" t="s">
        <v>2</v>
      </c>
      <c r="D142" s="3" t="s">
        <v>3</v>
      </c>
      <c r="E142" s="3"/>
      <c r="F142" s="3" t="s">
        <v>4</v>
      </c>
      <c r="G142" s="3" t="s">
        <v>34</v>
      </c>
      <c r="H142" s="3" t="s">
        <v>6</v>
      </c>
      <c r="I142" s="1" t="s">
        <v>10</v>
      </c>
      <c r="J142" s="4" t="s">
        <v>50</v>
      </c>
      <c r="K142" s="4" t="s">
        <v>51</v>
      </c>
      <c r="L142" s="1" t="s">
        <v>0</v>
      </c>
    </row>
    <row r="143">
      <c r="A143" s="6" t="s">
        <v>52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8"/>
    </row>
    <row r="144">
      <c r="A144" s="55" t="s">
        <v>53</v>
      </c>
      <c r="B144" s="10">
        <v>9500.0</v>
      </c>
      <c r="C144" s="10">
        <f t="shared" ref="C144:D144" si="71">C151/4</f>
        <v>6144.25</v>
      </c>
      <c r="D144" s="10">
        <f t="shared" si="71"/>
        <v>6000</v>
      </c>
      <c r="E144" s="10"/>
      <c r="F144" s="10">
        <f>F151/4</f>
        <v>6000</v>
      </c>
      <c r="G144" s="10">
        <v>7000.0</v>
      </c>
      <c r="H144" s="10">
        <f>H151/4</f>
        <v>5085</v>
      </c>
      <c r="I144" s="10">
        <f>I149/4</f>
        <v>8000</v>
      </c>
      <c r="J144" s="11"/>
      <c r="K144" s="12"/>
      <c r="L144" s="13">
        <f>SUM(B144:K144)</f>
        <v>47729.25</v>
      </c>
    </row>
    <row r="145">
      <c r="A145" s="15" t="s">
        <v>54</v>
      </c>
      <c r="B145" s="10">
        <v>9500.0</v>
      </c>
      <c r="C145" s="10">
        <f t="shared" ref="C145:D145" si="72">C151/4</f>
        <v>6144.25</v>
      </c>
      <c r="D145" s="10">
        <f t="shared" si="72"/>
        <v>6000</v>
      </c>
      <c r="E145" s="10"/>
      <c r="F145" s="10">
        <f>F151/4</f>
        <v>6000</v>
      </c>
      <c r="G145" s="10">
        <v>7000.0</v>
      </c>
      <c r="H145" s="10">
        <f>H151/4</f>
        <v>5085</v>
      </c>
      <c r="I145" s="10">
        <f>I149/4</f>
        <v>8000</v>
      </c>
      <c r="J145" s="11">
        <v>0.0</v>
      </c>
      <c r="K145" s="12"/>
      <c r="L145" s="13">
        <f t="shared" ref="L145:L148" si="74">SUM(B145:J145)</f>
        <v>47729.25</v>
      </c>
    </row>
    <row r="146">
      <c r="A146" s="15" t="s">
        <v>55</v>
      </c>
      <c r="B146" s="10">
        <v>9500.0</v>
      </c>
      <c r="C146" s="10">
        <f t="shared" ref="C146:D146" si="73">C151/4</f>
        <v>6144.25</v>
      </c>
      <c r="D146" s="10">
        <f t="shared" si="73"/>
        <v>6000</v>
      </c>
      <c r="E146" s="10"/>
      <c r="F146" s="10">
        <f>F151/4</f>
        <v>6000</v>
      </c>
      <c r="G146" s="10">
        <v>7000.0</v>
      </c>
      <c r="H146" s="10">
        <f>H151/4</f>
        <v>5085</v>
      </c>
      <c r="I146" s="10">
        <f>I149/4</f>
        <v>8000</v>
      </c>
      <c r="J146" s="11">
        <v>0.0</v>
      </c>
      <c r="K146" s="12"/>
      <c r="L146" s="13">
        <f t="shared" si="74"/>
        <v>47729.25</v>
      </c>
    </row>
    <row r="147">
      <c r="A147" s="15" t="s">
        <v>56</v>
      </c>
      <c r="B147" s="16">
        <v>9500.0</v>
      </c>
      <c r="C147" s="16">
        <f t="shared" ref="C147:D147" si="75">C151/4</f>
        <v>6144.25</v>
      </c>
      <c r="D147" s="16">
        <f t="shared" si="75"/>
        <v>6000</v>
      </c>
      <c r="E147" s="16"/>
      <c r="F147" s="16">
        <f>F151/4</f>
        <v>6000</v>
      </c>
      <c r="G147" s="16">
        <v>7000.0</v>
      </c>
      <c r="H147" s="16">
        <f>H151/4</f>
        <v>5085</v>
      </c>
      <c r="I147" s="16">
        <f>I149/4</f>
        <v>8000</v>
      </c>
      <c r="J147" s="17">
        <v>0.0</v>
      </c>
      <c r="K147" s="18"/>
      <c r="L147" s="19">
        <f t="shared" si="74"/>
        <v>47729.25</v>
      </c>
    </row>
    <row r="148">
      <c r="A148" s="15"/>
      <c r="B148" s="16"/>
      <c r="C148" s="16"/>
      <c r="D148" s="16"/>
      <c r="E148" s="16"/>
      <c r="F148" s="16"/>
      <c r="G148" s="16"/>
      <c r="H148" s="16"/>
      <c r="I148" s="16"/>
      <c r="J148" s="17">
        <v>0.0</v>
      </c>
      <c r="K148" s="18"/>
      <c r="L148" s="19">
        <f t="shared" si="74"/>
        <v>0</v>
      </c>
    </row>
    <row r="149">
      <c r="A149" s="20" t="s">
        <v>15</v>
      </c>
      <c r="B149" s="21">
        <v>48800.0</v>
      </c>
      <c r="C149" s="21">
        <v>35000.0</v>
      </c>
      <c r="D149" s="21">
        <v>34000.0</v>
      </c>
      <c r="E149" s="21"/>
      <c r="F149" s="21">
        <v>34000.0</v>
      </c>
      <c r="G149" s="21">
        <f>SUM(G144:G147)</f>
        <v>28000</v>
      </c>
      <c r="H149" s="21">
        <v>32000.0</v>
      </c>
      <c r="I149" s="21">
        <v>32000.0</v>
      </c>
      <c r="J149" s="21">
        <f>SUM(J144:J147)</f>
        <v>0</v>
      </c>
      <c r="K149" s="20" t="s">
        <v>15</v>
      </c>
      <c r="L149" s="21">
        <f>SUM(L144:L147)</f>
        <v>190917</v>
      </c>
    </row>
    <row r="150">
      <c r="A150" s="23" t="s">
        <v>16</v>
      </c>
      <c r="B150" s="24">
        <v>11660.0</v>
      </c>
      <c r="C150" s="24">
        <v>10423.0</v>
      </c>
      <c r="D150" s="24">
        <v>10000.0</v>
      </c>
      <c r="E150" s="24"/>
      <c r="F150" s="24">
        <v>10000.0</v>
      </c>
      <c r="G150" s="24"/>
      <c r="H150" s="24">
        <v>11660.0</v>
      </c>
      <c r="I150" s="24"/>
      <c r="J150" s="24"/>
      <c r="K150" s="21"/>
      <c r="L150" s="22"/>
    </row>
    <row r="151">
      <c r="A151" s="57" t="s">
        <v>17</v>
      </c>
      <c r="B151" s="58">
        <f t="shared" ref="B151:D151" si="76">B149-(B150)</f>
        <v>37140</v>
      </c>
      <c r="C151" s="58">
        <f t="shared" si="76"/>
        <v>24577</v>
      </c>
      <c r="D151" s="58">
        <f t="shared" si="76"/>
        <v>24000</v>
      </c>
      <c r="E151" s="58"/>
      <c r="F151" s="58">
        <f>F149-(F150)</f>
        <v>24000</v>
      </c>
      <c r="G151" s="58"/>
      <c r="H151" s="58">
        <f>H149-(H150)</f>
        <v>20340</v>
      </c>
      <c r="I151" s="58">
        <f t="shared" ref="I151:J151" si="77">I148-(I150)</f>
        <v>0</v>
      </c>
      <c r="J151" s="58">
        <f t="shared" si="77"/>
        <v>0</v>
      </c>
      <c r="K151" s="25"/>
      <c r="L151" s="26">
        <f t="shared" ref="L151:L154" si="78">SUM(B151:K151)</f>
        <v>130057</v>
      </c>
    </row>
    <row r="152">
      <c r="A152" s="27" t="s">
        <v>40</v>
      </c>
      <c r="B152" s="28">
        <v>3000.0</v>
      </c>
      <c r="C152" s="28"/>
      <c r="D152" s="28">
        <v>3000.0</v>
      </c>
      <c r="E152" s="28"/>
      <c r="F152" s="28"/>
      <c r="G152" s="28"/>
      <c r="H152" s="28"/>
      <c r="I152" s="28"/>
      <c r="J152" s="28"/>
      <c r="K152" s="28"/>
      <c r="L152" s="30">
        <f t="shared" si="78"/>
        <v>6000</v>
      </c>
    </row>
    <row r="153">
      <c r="A153" s="23" t="s">
        <v>57</v>
      </c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6">
        <f t="shared" si="78"/>
        <v>0</v>
      </c>
    </row>
    <row r="154">
      <c r="A154" s="23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6">
        <f t="shared" si="78"/>
        <v>0</v>
      </c>
    </row>
    <row r="155">
      <c r="A155" s="39" t="s">
        <v>22</v>
      </c>
      <c r="B155" s="40"/>
      <c r="C155" s="41"/>
      <c r="D155" s="41"/>
      <c r="E155" s="41"/>
      <c r="F155" s="41"/>
      <c r="G155" s="41"/>
      <c r="H155" s="41"/>
      <c r="I155" s="41"/>
      <c r="J155" s="41"/>
      <c r="K155" s="41"/>
      <c r="L155" s="41"/>
    </row>
    <row r="156">
      <c r="A156" s="59" t="s">
        <v>53</v>
      </c>
      <c r="B156" s="43"/>
      <c r="C156" s="44"/>
      <c r="D156" s="44"/>
      <c r="E156" s="45"/>
      <c r="F156" s="45"/>
      <c r="G156" s="45">
        <v>360.0</v>
      </c>
      <c r="H156" s="45"/>
      <c r="I156" s="45"/>
      <c r="J156" s="44"/>
      <c r="K156" s="44"/>
      <c r="L156" s="44"/>
    </row>
    <row r="157">
      <c r="A157" s="60" t="s">
        <v>54</v>
      </c>
      <c r="B157" s="46"/>
      <c r="C157" s="45"/>
      <c r="D157" s="45"/>
      <c r="E157" s="45"/>
      <c r="F157" s="45"/>
      <c r="G157" s="45"/>
      <c r="H157" s="44"/>
      <c r="I157" s="45"/>
      <c r="J157" s="44"/>
      <c r="K157" s="44"/>
      <c r="L157" s="44"/>
    </row>
    <row r="158">
      <c r="A158" s="60" t="s">
        <v>55</v>
      </c>
      <c r="B158" s="43"/>
      <c r="C158" s="45"/>
      <c r="D158" s="44"/>
      <c r="E158" s="45"/>
      <c r="F158" s="45"/>
      <c r="G158" s="44"/>
      <c r="H158" s="44"/>
      <c r="I158" s="45">
        <v>1500.0</v>
      </c>
      <c r="J158" s="44"/>
      <c r="K158" s="44"/>
      <c r="L158" s="44"/>
    </row>
    <row r="159">
      <c r="A159" s="60" t="s">
        <v>56</v>
      </c>
      <c r="B159" s="46"/>
      <c r="C159" s="45"/>
      <c r="D159" s="44"/>
      <c r="E159" s="45"/>
      <c r="F159" s="45"/>
      <c r="G159" s="44"/>
      <c r="H159" s="45"/>
      <c r="I159" s="45"/>
      <c r="J159" s="44"/>
      <c r="K159" s="44"/>
      <c r="L159" s="44"/>
    </row>
    <row r="160">
      <c r="A160" s="47" t="s">
        <v>23</v>
      </c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7" t="s">
        <v>24</v>
      </c>
    </row>
    <row r="161">
      <c r="A161" s="61" t="s">
        <v>53</v>
      </c>
      <c r="B161" s="54">
        <f t="shared" ref="B161:D161" si="79">B151/3</f>
        <v>12380</v>
      </c>
      <c r="C161" s="52">
        <f t="shared" si="79"/>
        <v>8192.333333</v>
      </c>
      <c r="D161" s="62">
        <f t="shared" si="79"/>
        <v>8000</v>
      </c>
      <c r="E161" s="52"/>
      <c r="F161" s="52">
        <f>F151/3-(2*1300)+500</f>
        <v>5900</v>
      </c>
      <c r="G161" s="62">
        <f>G144-G156</f>
        <v>6640</v>
      </c>
      <c r="H161" s="62">
        <f>H151/3</f>
        <v>6780</v>
      </c>
      <c r="I161" s="52">
        <f>I144</f>
        <v>8000</v>
      </c>
      <c r="J161" s="52"/>
      <c r="K161" s="52"/>
      <c r="L161" s="53">
        <f t="shared" ref="L161:L165" si="80">SUM(B161:K161)</f>
        <v>55892.33333</v>
      </c>
    </row>
    <row r="162">
      <c r="A162" s="63" t="s">
        <v>54</v>
      </c>
      <c r="B162" s="51"/>
      <c r="C162" s="52"/>
      <c r="D162" s="52"/>
      <c r="E162" s="52"/>
      <c r="F162" s="52"/>
      <c r="G162" s="62">
        <v>7000.0</v>
      </c>
      <c r="H162" s="52"/>
      <c r="I162" s="62">
        <v>8000.0</v>
      </c>
      <c r="J162" s="62">
        <v>20200.0</v>
      </c>
      <c r="K162" s="62">
        <v>11000.0</v>
      </c>
      <c r="L162" s="53">
        <f t="shared" si="80"/>
        <v>46200</v>
      </c>
    </row>
    <row r="163">
      <c r="A163" s="63" t="s">
        <v>55</v>
      </c>
      <c r="B163" s="67">
        <f>B151/3</f>
        <v>12380</v>
      </c>
      <c r="C163" s="67"/>
      <c r="D163" s="67">
        <f>D151/3+3200</f>
        <v>11200</v>
      </c>
      <c r="E163" s="67"/>
      <c r="F163" s="67"/>
      <c r="G163" s="69">
        <f>7000+600</f>
        <v>7600</v>
      </c>
      <c r="H163" s="67">
        <f>H151/3+1000</f>
        <v>7780</v>
      </c>
      <c r="I163" s="62">
        <f>I146-I158</f>
        <v>6500</v>
      </c>
      <c r="J163" s="62">
        <v>16400.0</v>
      </c>
      <c r="K163" s="62">
        <v>11400.0</v>
      </c>
      <c r="L163" s="52">
        <f t="shared" si="80"/>
        <v>73260</v>
      </c>
    </row>
    <row r="164">
      <c r="A164" s="63" t="s">
        <v>56</v>
      </c>
      <c r="B164" s="69">
        <f>B151/3</f>
        <v>12380</v>
      </c>
      <c r="C164" s="62"/>
      <c r="D164" s="62">
        <f>D151/3+3200</f>
        <v>11200</v>
      </c>
      <c r="E164" s="62"/>
      <c r="F164" s="62"/>
      <c r="G164" s="62">
        <f>7000+1000</f>
        <v>8000</v>
      </c>
      <c r="H164" s="62">
        <f>H151/3+1000</f>
        <v>7780</v>
      </c>
      <c r="I164" s="62">
        <v>8000.0</v>
      </c>
      <c r="J164" s="52"/>
      <c r="K164" s="62">
        <v>7000.0</v>
      </c>
      <c r="L164" s="52">
        <f t="shared" si="80"/>
        <v>54360</v>
      </c>
    </row>
    <row r="165">
      <c r="A165" s="65"/>
      <c r="B165" s="54"/>
      <c r="C165" s="52"/>
      <c r="D165" s="52"/>
      <c r="E165" s="52"/>
      <c r="F165" s="52"/>
      <c r="G165" s="62"/>
      <c r="H165" s="52"/>
      <c r="I165" s="52"/>
      <c r="J165" s="52"/>
      <c r="K165" s="52"/>
      <c r="L165" s="53">
        <f t="shared" si="80"/>
        <v>0</v>
      </c>
    </row>
    <row r="168">
      <c r="A168" s="1" t="s">
        <v>0</v>
      </c>
      <c r="B168" s="2" t="s">
        <v>1</v>
      </c>
      <c r="C168" s="3"/>
      <c r="D168" s="3" t="s">
        <v>3</v>
      </c>
      <c r="E168" s="3"/>
      <c r="F168" s="3" t="s">
        <v>58</v>
      </c>
      <c r="G168" s="3" t="s">
        <v>34</v>
      </c>
      <c r="H168" s="3" t="s">
        <v>6</v>
      </c>
      <c r="I168" s="1" t="s">
        <v>515</v>
      </c>
      <c r="J168" s="4" t="s">
        <v>50</v>
      </c>
      <c r="K168" s="4" t="s">
        <v>51</v>
      </c>
      <c r="L168" s="1" t="s">
        <v>0</v>
      </c>
    </row>
    <row r="169">
      <c r="A169" s="6" t="s">
        <v>59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8"/>
    </row>
    <row r="170">
      <c r="A170" s="55" t="s">
        <v>60</v>
      </c>
      <c r="B170" s="10">
        <v>9500.0</v>
      </c>
      <c r="C170" s="10"/>
      <c r="D170" s="10">
        <f>D177/4</f>
        <v>6000</v>
      </c>
      <c r="E170" s="10"/>
      <c r="F170" s="10"/>
      <c r="G170" s="10">
        <v>7000.0</v>
      </c>
      <c r="H170" s="10">
        <f>H177/4</f>
        <v>5085</v>
      </c>
      <c r="I170" s="10">
        <f>I175/4</f>
        <v>8000</v>
      </c>
      <c r="J170" s="11"/>
      <c r="K170" s="12"/>
      <c r="L170" s="13">
        <f>SUM(B170:K170)</f>
        <v>35585</v>
      </c>
    </row>
    <row r="171">
      <c r="A171" s="15" t="s">
        <v>61</v>
      </c>
      <c r="B171" s="10">
        <v>9500.0</v>
      </c>
      <c r="C171" s="10"/>
      <c r="D171" s="10">
        <f>D177/4</f>
        <v>6000</v>
      </c>
      <c r="E171" s="10"/>
      <c r="F171" s="10"/>
      <c r="G171" s="10">
        <v>7000.0</v>
      </c>
      <c r="H171" s="10">
        <f>H177/4</f>
        <v>5085</v>
      </c>
      <c r="I171" s="10">
        <f>I175/4</f>
        <v>8000</v>
      </c>
      <c r="J171" s="11">
        <v>0.0</v>
      </c>
      <c r="K171" s="12"/>
      <c r="L171" s="13">
        <f t="shared" ref="L171:L174" si="81">SUM(B171:J171)</f>
        <v>35585</v>
      </c>
    </row>
    <row r="172">
      <c r="A172" s="15"/>
      <c r="B172" s="10">
        <v>9500.0</v>
      </c>
      <c r="C172" s="10"/>
      <c r="D172" s="10">
        <f>D177/4</f>
        <v>6000</v>
      </c>
      <c r="E172" s="10"/>
      <c r="F172" s="10"/>
      <c r="G172" s="10">
        <v>7000.0</v>
      </c>
      <c r="H172" s="10">
        <f>H177/4</f>
        <v>5085</v>
      </c>
      <c r="I172" s="10">
        <f>I175/4</f>
        <v>8000</v>
      </c>
      <c r="J172" s="11">
        <v>0.0</v>
      </c>
      <c r="K172" s="12"/>
      <c r="L172" s="13">
        <f t="shared" si="81"/>
        <v>35585</v>
      </c>
    </row>
    <row r="173">
      <c r="A173" s="15"/>
      <c r="B173" s="16">
        <v>9500.0</v>
      </c>
      <c r="C173" s="16"/>
      <c r="D173" s="16">
        <f>D177/4</f>
        <v>6000</v>
      </c>
      <c r="E173" s="16"/>
      <c r="F173" s="16"/>
      <c r="G173" s="16">
        <v>7000.0</v>
      </c>
      <c r="H173" s="16">
        <f>H177/4</f>
        <v>5085</v>
      </c>
      <c r="I173" s="16">
        <f>I175/4</f>
        <v>8000</v>
      </c>
      <c r="J173" s="17">
        <v>0.0</v>
      </c>
      <c r="K173" s="18"/>
      <c r="L173" s="19">
        <f t="shared" si="81"/>
        <v>35585</v>
      </c>
    </row>
    <row r="174">
      <c r="A174" s="15"/>
      <c r="B174" s="16"/>
      <c r="C174" s="16"/>
      <c r="D174" s="16"/>
      <c r="E174" s="16"/>
      <c r="F174" s="16"/>
      <c r="G174" s="16"/>
      <c r="H174" s="16"/>
      <c r="I174" s="16"/>
      <c r="J174" s="17">
        <v>0.0</v>
      </c>
      <c r="K174" s="18"/>
      <c r="L174" s="19">
        <f t="shared" si="81"/>
        <v>0</v>
      </c>
    </row>
    <row r="175">
      <c r="A175" s="20" t="s">
        <v>15</v>
      </c>
      <c r="B175" s="21">
        <v>48800.0</v>
      </c>
      <c r="C175" s="21"/>
      <c r="D175" s="21">
        <v>34000.0</v>
      </c>
      <c r="E175" s="21"/>
      <c r="F175" s="21">
        <v>32000.0</v>
      </c>
      <c r="G175" s="21">
        <f>SUM(G170:G173)</f>
        <v>28000</v>
      </c>
      <c r="H175" s="21">
        <v>32000.0</v>
      </c>
      <c r="I175" s="21">
        <v>32000.0</v>
      </c>
      <c r="J175" s="21">
        <f>SUM(J170:J173)</f>
        <v>0</v>
      </c>
      <c r="K175" s="20" t="s">
        <v>15</v>
      </c>
      <c r="L175" s="21">
        <f>SUM(L170:L173)</f>
        <v>142340</v>
      </c>
    </row>
    <row r="176">
      <c r="A176" s="23" t="s">
        <v>16</v>
      </c>
      <c r="B176" s="24">
        <v>11660.0</v>
      </c>
      <c r="C176" s="24"/>
      <c r="D176" s="24">
        <v>10000.0</v>
      </c>
      <c r="E176" s="24"/>
      <c r="F176" s="24"/>
      <c r="G176" s="24"/>
      <c r="H176" s="24">
        <v>11660.0</v>
      </c>
      <c r="I176" s="24"/>
      <c r="J176" s="24"/>
      <c r="K176" s="21"/>
      <c r="L176" s="22"/>
    </row>
    <row r="177">
      <c r="A177" s="57" t="s">
        <v>17</v>
      </c>
      <c r="B177" s="58">
        <f>B175-(B176)</f>
        <v>37140</v>
      </c>
      <c r="C177" s="58"/>
      <c r="D177" s="58">
        <f>D175-(D176)</f>
        <v>24000</v>
      </c>
      <c r="E177" s="58"/>
      <c r="F177" s="58">
        <v>32000.0</v>
      </c>
      <c r="G177" s="58"/>
      <c r="H177" s="58">
        <f>H175-(H176)</f>
        <v>20340</v>
      </c>
      <c r="I177" s="58">
        <f t="shared" ref="I177:J177" si="82">I174-(I176)</f>
        <v>0</v>
      </c>
      <c r="J177" s="58">
        <f t="shared" si="82"/>
        <v>0</v>
      </c>
      <c r="K177" s="25"/>
      <c r="L177" s="26">
        <f t="shared" ref="L177:L180" si="83">SUM(B177:K177)</f>
        <v>113480</v>
      </c>
    </row>
    <row r="178">
      <c r="A178" s="27" t="s">
        <v>40</v>
      </c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30">
        <f t="shared" si="83"/>
        <v>0</v>
      </c>
    </row>
    <row r="179">
      <c r="A179" s="23" t="s">
        <v>62</v>
      </c>
      <c r="B179" s="24">
        <f>(B175/2)-14000</f>
        <v>10400</v>
      </c>
      <c r="C179" s="24"/>
      <c r="D179" s="24">
        <f>(D175/2)-12000</f>
        <v>5000</v>
      </c>
      <c r="E179" s="24"/>
      <c r="F179" s="24"/>
      <c r="G179" s="24"/>
      <c r="H179" s="24">
        <f>(H175/2)-10000</f>
        <v>6000</v>
      </c>
      <c r="I179" s="24"/>
      <c r="J179" s="24"/>
      <c r="K179" s="24"/>
      <c r="L179" s="26">
        <f t="shared" si="83"/>
        <v>21400</v>
      </c>
    </row>
    <row r="180">
      <c r="A180" s="23" t="s">
        <v>63</v>
      </c>
      <c r="B180" s="24"/>
      <c r="C180" s="24"/>
      <c r="D180" s="24">
        <v>1000.0</v>
      </c>
      <c r="E180" s="24"/>
      <c r="F180" s="24"/>
      <c r="G180" s="24">
        <v>1000.0</v>
      </c>
      <c r="H180" s="24"/>
      <c r="I180" s="24"/>
      <c r="J180" s="24"/>
      <c r="K180" s="24"/>
      <c r="L180" s="26">
        <f t="shared" si="83"/>
        <v>2000</v>
      </c>
    </row>
    <row r="181">
      <c r="A181" s="39" t="s">
        <v>22</v>
      </c>
      <c r="B181" s="40"/>
      <c r="C181" s="41"/>
      <c r="D181" s="41"/>
      <c r="E181" s="41"/>
      <c r="F181" s="41"/>
      <c r="G181" s="41"/>
      <c r="H181" s="41"/>
      <c r="I181" s="41"/>
      <c r="J181" s="41"/>
      <c r="K181" s="41"/>
      <c r="L181" s="41"/>
    </row>
    <row r="182">
      <c r="A182" s="59" t="s">
        <v>60</v>
      </c>
      <c r="B182" s="43"/>
      <c r="C182" s="44"/>
      <c r="D182" s="44"/>
      <c r="E182" s="45"/>
      <c r="F182" s="45"/>
      <c r="G182" s="45"/>
      <c r="H182" s="45"/>
      <c r="I182" s="45"/>
      <c r="J182" s="44"/>
      <c r="K182" s="44"/>
      <c r="L182" s="44"/>
    </row>
    <row r="183">
      <c r="A183" s="60" t="s">
        <v>61</v>
      </c>
      <c r="B183" s="46"/>
      <c r="C183" s="45"/>
      <c r="D183" s="45"/>
      <c r="E183" s="45"/>
      <c r="F183" s="45"/>
      <c r="G183" s="45"/>
      <c r="H183" s="44"/>
      <c r="I183" s="45"/>
      <c r="J183" s="44"/>
      <c r="K183" s="44"/>
      <c r="L183" s="44"/>
    </row>
    <row r="184">
      <c r="A184" s="60" t="s">
        <v>64</v>
      </c>
      <c r="B184" s="43"/>
      <c r="C184" s="45"/>
      <c r="D184" s="45">
        <v>500.0</v>
      </c>
      <c r="E184" s="45"/>
      <c r="F184" s="45"/>
      <c r="G184" s="44"/>
      <c r="H184" s="44"/>
      <c r="I184" s="45"/>
      <c r="J184" s="44"/>
      <c r="K184" s="44"/>
      <c r="L184" s="44"/>
    </row>
    <row r="185">
      <c r="A185" s="60"/>
      <c r="B185" s="46"/>
      <c r="C185" s="45"/>
      <c r="D185" s="44"/>
      <c r="E185" s="45"/>
      <c r="F185" s="45"/>
      <c r="G185" s="44"/>
      <c r="H185" s="45"/>
      <c r="I185" s="45"/>
      <c r="J185" s="44"/>
      <c r="K185" s="44"/>
      <c r="L185" s="44"/>
    </row>
    <row r="186">
      <c r="A186" s="47" t="s">
        <v>23</v>
      </c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7" t="s">
        <v>24</v>
      </c>
    </row>
    <row r="187">
      <c r="A187" s="61" t="s">
        <v>60</v>
      </c>
      <c r="B187" s="54">
        <f>B177/3</f>
        <v>12380</v>
      </c>
      <c r="C187" s="52"/>
      <c r="D187" s="62">
        <f>D177/3+4000</f>
        <v>12000</v>
      </c>
      <c r="E187" s="52"/>
      <c r="F187" s="52"/>
      <c r="G187" s="62">
        <f>G170-G182</f>
        <v>7000</v>
      </c>
      <c r="H187" s="62">
        <f>H177/3+1000+220</f>
        <v>8000</v>
      </c>
      <c r="I187" s="52">
        <f>I170</f>
        <v>8000</v>
      </c>
      <c r="J187" s="52"/>
      <c r="K187" s="62">
        <v>10000.0</v>
      </c>
      <c r="L187" s="53">
        <f t="shared" ref="L187:L192" si="84">SUM(B187:K187)</f>
        <v>57380</v>
      </c>
    </row>
    <row r="188">
      <c r="A188" s="63" t="s">
        <v>61</v>
      </c>
      <c r="B188" s="54">
        <v>17000.0</v>
      </c>
      <c r="C188" s="52"/>
      <c r="D188" s="62">
        <f>(12000+1500)</f>
        <v>13500</v>
      </c>
      <c r="E188" s="52"/>
      <c r="F188" s="52"/>
      <c r="G188" s="62">
        <f>7000+1000</f>
        <v>8000</v>
      </c>
      <c r="H188" s="52">
        <f>(10000+1000+500)</f>
        <v>11500</v>
      </c>
      <c r="I188" s="62">
        <f>(8000+1000+500)</f>
        <v>9500</v>
      </c>
      <c r="J188" s="62"/>
      <c r="K188" s="62">
        <v>8250.0</v>
      </c>
      <c r="L188" s="53">
        <f t="shared" si="84"/>
        <v>67750</v>
      </c>
    </row>
    <row r="189">
      <c r="A189" s="63" t="s">
        <v>65</v>
      </c>
      <c r="B189" s="70">
        <f>B177/3</f>
        <v>12380</v>
      </c>
      <c r="C189" s="67"/>
      <c r="D189" s="69">
        <v>12000.0</v>
      </c>
      <c r="E189" s="67"/>
      <c r="F189" s="67"/>
      <c r="G189" s="69">
        <v>7000.0</v>
      </c>
      <c r="H189" s="67">
        <f>H177/3+1220</f>
        <v>8000</v>
      </c>
      <c r="I189" s="62">
        <v>8000.0</v>
      </c>
      <c r="J189" s="62"/>
      <c r="K189" s="62">
        <v>8550.0</v>
      </c>
      <c r="L189" s="52">
        <f t="shared" si="84"/>
        <v>55930</v>
      </c>
    </row>
    <row r="190">
      <c r="A190" s="63" t="s">
        <v>66</v>
      </c>
      <c r="B190" s="71">
        <f>SUM(B189+B179)</f>
        <v>22780</v>
      </c>
      <c r="C190" s="62"/>
      <c r="D190" s="62">
        <f>(D177/3)+1000+5000</f>
        <v>14000</v>
      </c>
      <c r="E190" s="62"/>
      <c r="F190" s="62"/>
      <c r="G190" s="62">
        <v>7000.0</v>
      </c>
      <c r="H190" s="62">
        <f>8000+6000</f>
        <v>14000</v>
      </c>
      <c r="I190" s="62">
        <v>8000.0</v>
      </c>
      <c r="J190" s="52"/>
      <c r="K190" s="62"/>
      <c r="L190" s="52">
        <f t="shared" si="84"/>
        <v>65780</v>
      </c>
    </row>
    <row r="191">
      <c r="A191" s="63" t="s">
        <v>67</v>
      </c>
      <c r="B191" s="54">
        <v>14000.0</v>
      </c>
      <c r="C191" s="52"/>
      <c r="D191" s="62">
        <f t="shared" ref="D191:D192" si="85">8000+2000</f>
        <v>10000</v>
      </c>
      <c r="E191" s="62"/>
      <c r="F191" s="62">
        <v>8000.0</v>
      </c>
      <c r="G191" s="62">
        <v>7000.0</v>
      </c>
      <c r="H191" s="62">
        <f t="shared" ref="H191:H192" si="86">8000+1000</f>
        <v>9000</v>
      </c>
      <c r="I191" s="62">
        <v>8000.0</v>
      </c>
      <c r="J191" s="52"/>
      <c r="K191" s="62">
        <v>8550.0</v>
      </c>
      <c r="L191" s="53">
        <f t="shared" si="84"/>
        <v>64550</v>
      </c>
    </row>
    <row r="192">
      <c r="A192" s="63" t="s">
        <v>68</v>
      </c>
      <c r="B192" s="54">
        <v>14000.0</v>
      </c>
      <c r="C192" s="52"/>
      <c r="D192" s="62">
        <f t="shared" si="85"/>
        <v>10000</v>
      </c>
      <c r="E192" s="62"/>
      <c r="F192" s="62">
        <f>8000+2000</f>
        <v>10000</v>
      </c>
      <c r="G192" s="62">
        <v>7000.0</v>
      </c>
      <c r="H192" s="62">
        <f t="shared" si="86"/>
        <v>9000</v>
      </c>
      <c r="I192" s="62">
        <v>8000.0</v>
      </c>
      <c r="J192" s="52"/>
      <c r="K192" s="62">
        <v>8550.0</v>
      </c>
      <c r="L192" s="53">
        <f t="shared" si="84"/>
        <v>66550</v>
      </c>
    </row>
    <row r="193">
      <c r="B193" s="72" t="s">
        <v>69</v>
      </c>
      <c r="D193" s="72" t="s">
        <v>70</v>
      </c>
      <c r="E193" s="72"/>
      <c r="F193" s="72" t="s">
        <v>71</v>
      </c>
      <c r="H193" s="72" t="s">
        <v>72</v>
      </c>
      <c r="J193" s="73">
        <v>44318.0</v>
      </c>
    </row>
    <row r="194">
      <c r="B194" s="72" t="s">
        <v>73</v>
      </c>
      <c r="D194" s="72" t="s">
        <v>74</v>
      </c>
      <c r="H194" s="72" t="s">
        <v>75</v>
      </c>
      <c r="J194" s="72">
        <v>1.0</v>
      </c>
    </row>
    <row r="195">
      <c r="B195" s="72" t="s">
        <v>76</v>
      </c>
      <c r="D195" s="72" t="s">
        <v>77</v>
      </c>
      <c r="J195" s="72">
        <v>1.0</v>
      </c>
    </row>
    <row r="196">
      <c r="J196" s="72">
        <v>3.0</v>
      </c>
    </row>
    <row r="198">
      <c r="A198" s="1" t="s">
        <v>0</v>
      </c>
      <c r="B198" s="2" t="s">
        <v>1</v>
      </c>
      <c r="C198" s="3"/>
      <c r="D198" s="3" t="s">
        <v>3</v>
      </c>
      <c r="E198" s="3"/>
      <c r="F198" s="3" t="s">
        <v>58</v>
      </c>
      <c r="G198" s="3" t="s">
        <v>34</v>
      </c>
      <c r="H198" s="3" t="s">
        <v>6</v>
      </c>
      <c r="I198" s="1" t="s">
        <v>515</v>
      </c>
      <c r="J198" s="4" t="s">
        <v>78</v>
      </c>
      <c r="K198" s="4" t="s">
        <v>79</v>
      </c>
      <c r="L198" s="1" t="s">
        <v>0</v>
      </c>
    </row>
    <row r="199">
      <c r="A199" s="6" t="s">
        <v>80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8"/>
    </row>
    <row r="200">
      <c r="A200" s="55" t="s">
        <v>81</v>
      </c>
      <c r="B200" s="10">
        <f>B205/4</f>
        <v>12200</v>
      </c>
      <c r="C200" s="10"/>
      <c r="D200" s="10">
        <f>D205/4</f>
        <v>10000</v>
      </c>
      <c r="E200" s="10"/>
      <c r="F200" s="10">
        <v>8000.0</v>
      </c>
      <c r="G200" s="10">
        <v>7000.0</v>
      </c>
      <c r="H200" s="10">
        <f t="shared" ref="H200:J200" si="87">H205/4</f>
        <v>10000</v>
      </c>
      <c r="I200" s="10">
        <f t="shared" si="87"/>
        <v>8000</v>
      </c>
      <c r="J200" s="10">
        <f t="shared" si="87"/>
        <v>12000</v>
      </c>
      <c r="K200" s="12"/>
      <c r="L200" s="13">
        <f>SUM(B200:K200)</f>
        <v>67200</v>
      </c>
    </row>
    <row r="201">
      <c r="A201" s="15" t="s">
        <v>82</v>
      </c>
      <c r="B201" s="10">
        <f>B205/4</f>
        <v>12200</v>
      </c>
      <c r="C201" s="10"/>
      <c r="D201" s="10">
        <f>D205/4</f>
        <v>10000</v>
      </c>
      <c r="E201" s="10"/>
      <c r="F201" s="10">
        <v>8000.0</v>
      </c>
      <c r="G201" s="10">
        <v>7000.0</v>
      </c>
      <c r="H201" s="10">
        <f t="shared" ref="H201:J201" si="88">H205/4</f>
        <v>10000</v>
      </c>
      <c r="I201" s="10">
        <f t="shared" si="88"/>
        <v>8000</v>
      </c>
      <c r="J201" s="10">
        <f t="shared" si="88"/>
        <v>12000</v>
      </c>
      <c r="K201" s="12"/>
      <c r="L201" s="13">
        <f t="shared" ref="L201:L204" si="90">SUM(B201:J201)</f>
        <v>67200</v>
      </c>
    </row>
    <row r="202">
      <c r="A202" s="15" t="s">
        <v>83</v>
      </c>
      <c r="B202" s="10">
        <f>B205/4</f>
        <v>12200</v>
      </c>
      <c r="C202" s="10"/>
      <c r="D202" s="10">
        <f>D205/4</f>
        <v>10000</v>
      </c>
      <c r="E202" s="10"/>
      <c r="F202" s="10">
        <v>8000.0</v>
      </c>
      <c r="G202" s="10">
        <v>7000.0</v>
      </c>
      <c r="H202" s="10">
        <f t="shared" ref="H202:J202" si="89">H205/4</f>
        <v>10000</v>
      </c>
      <c r="I202" s="10">
        <f t="shared" si="89"/>
        <v>8000</v>
      </c>
      <c r="J202" s="10">
        <f t="shared" si="89"/>
        <v>12000</v>
      </c>
      <c r="K202" s="12"/>
      <c r="L202" s="13">
        <f t="shared" si="90"/>
        <v>67200</v>
      </c>
    </row>
    <row r="203">
      <c r="A203" s="15" t="s">
        <v>84</v>
      </c>
      <c r="B203" s="16">
        <f>B205/4</f>
        <v>12200</v>
      </c>
      <c r="C203" s="16"/>
      <c r="D203" s="16">
        <f>D205/4</f>
        <v>10000</v>
      </c>
      <c r="E203" s="16"/>
      <c r="F203" s="16">
        <v>8000.0</v>
      </c>
      <c r="G203" s="16">
        <v>7000.0</v>
      </c>
      <c r="H203" s="16">
        <f t="shared" ref="H203:J203" si="91">H205/4</f>
        <v>10000</v>
      </c>
      <c r="I203" s="16">
        <f t="shared" si="91"/>
        <v>8000</v>
      </c>
      <c r="J203" s="16">
        <f t="shared" si="91"/>
        <v>12000</v>
      </c>
      <c r="K203" s="18"/>
      <c r="L203" s="19">
        <f t="shared" si="90"/>
        <v>67200</v>
      </c>
    </row>
    <row r="204">
      <c r="A204" s="15"/>
      <c r="B204" s="16"/>
      <c r="C204" s="16"/>
      <c r="D204" s="16"/>
      <c r="E204" s="16"/>
      <c r="F204" s="16"/>
      <c r="G204" s="16"/>
      <c r="H204" s="16"/>
      <c r="I204" s="16"/>
      <c r="J204" s="16"/>
      <c r="K204" s="18"/>
      <c r="L204" s="19">
        <f t="shared" si="90"/>
        <v>0</v>
      </c>
    </row>
    <row r="205">
      <c r="A205" s="20" t="s">
        <v>15</v>
      </c>
      <c r="B205" s="21">
        <v>48800.0</v>
      </c>
      <c r="C205" s="21"/>
      <c r="D205" s="21">
        <v>40000.0</v>
      </c>
      <c r="E205" s="21"/>
      <c r="F205" s="21">
        <v>32000.0</v>
      </c>
      <c r="G205" s="21">
        <f>SUM(G200:G203)</f>
        <v>28000</v>
      </c>
      <c r="H205" s="21">
        <v>40000.0</v>
      </c>
      <c r="I205" s="21">
        <v>32000.0</v>
      </c>
      <c r="J205" s="21">
        <v>48000.0</v>
      </c>
      <c r="K205" s="20"/>
      <c r="L205" s="21">
        <f>SUM(L200:L203)</f>
        <v>268800</v>
      </c>
    </row>
    <row r="206">
      <c r="A206" s="23" t="s">
        <v>16</v>
      </c>
      <c r="B206" s="24">
        <v>11563.0</v>
      </c>
      <c r="C206" s="24"/>
      <c r="D206" s="24">
        <v>9931.0</v>
      </c>
      <c r="E206" s="24"/>
      <c r="F206" s="24" t="s">
        <v>85</v>
      </c>
      <c r="G206" s="24" t="s">
        <v>85</v>
      </c>
      <c r="H206" s="24">
        <v>11563.0</v>
      </c>
      <c r="I206" s="24"/>
      <c r="J206" s="24"/>
      <c r="K206" s="74"/>
      <c r="L206" s="75"/>
    </row>
    <row r="207">
      <c r="A207" s="57" t="s">
        <v>17</v>
      </c>
      <c r="B207" s="58">
        <f>B205-(B206)</f>
        <v>37237</v>
      </c>
      <c r="C207" s="58"/>
      <c r="D207" s="58">
        <f>D205-(D206)</f>
        <v>30069</v>
      </c>
      <c r="E207" s="58"/>
      <c r="F207" s="58">
        <v>32000.0</v>
      </c>
      <c r="G207" s="58">
        <f>G205</f>
        <v>28000</v>
      </c>
      <c r="H207" s="58">
        <f>H205-(H206)</f>
        <v>28437</v>
      </c>
      <c r="I207" s="58">
        <f>I205</f>
        <v>32000</v>
      </c>
      <c r="J207" s="58">
        <f>J204-(J206)</f>
        <v>0</v>
      </c>
      <c r="K207" s="25"/>
      <c r="L207" s="26">
        <f t="shared" ref="L207:L209" si="92">SUM(B207:K207)</f>
        <v>187743</v>
      </c>
    </row>
    <row r="208">
      <c r="A208" s="27" t="s">
        <v>40</v>
      </c>
      <c r="B208" s="28" t="s">
        <v>86</v>
      </c>
      <c r="C208" s="28"/>
      <c r="D208" s="28"/>
      <c r="E208" s="28"/>
      <c r="F208" s="28" t="s">
        <v>87</v>
      </c>
      <c r="G208" s="28"/>
      <c r="H208" s="28"/>
      <c r="I208" s="28"/>
      <c r="J208" s="28"/>
      <c r="K208" s="28"/>
      <c r="L208" s="30">
        <f t="shared" si="92"/>
        <v>0</v>
      </c>
    </row>
    <row r="209">
      <c r="A209" s="23" t="s">
        <v>88</v>
      </c>
      <c r="B209" s="24"/>
      <c r="C209" s="24"/>
      <c r="D209" s="24"/>
      <c r="E209" s="24"/>
      <c r="F209" s="24"/>
      <c r="G209" s="24">
        <v>1000.0</v>
      </c>
      <c r="H209" s="24">
        <v>1000.0</v>
      </c>
      <c r="I209" s="24"/>
      <c r="J209" s="24">
        <v>1000.0</v>
      </c>
      <c r="K209" s="24"/>
      <c r="L209" s="26">
        <f t="shared" si="92"/>
        <v>3000</v>
      </c>
    </row>
    <row r="210">
      <c r="A210" s="39" t="s">
        <v>22</v>
      </c>
      <c r="B210" s="40"/>
      <c r="C210" s="41"/>
      <c r="D210" s="41"/>
      <c r="E210" s="41"/>
      <c r="F210" s="41"/>
      <c r="G210" s="41"/>
      <c r="H210" s="41"/>
      <c r="I210" s="41"/>
      <c r="J210" s="41"/>
      <c r="K210" s="41"/>
      <c r="L210" s="41"/>
    </row>
    <row r="211">
      <c r="A211" s="59" t="s">
        <v>81</v>
      </c>
      <c r="B211" s="43"/>
      <c r="C211" s="44"/>
      <c r="D211" s="44"/>
      <c r="E211" s="45"/>
      <c r="F211" s="45"/>
      <c r="G211" s="45"/>
      <c r="H211" s="45"/>
      <c r="I211" s="45"/>
      <c r="J211" s="44"/>
      <c r="K211" s="44"/>
      <c r="L211" s="44"/>
    </row>
    <row r="212">
      <c r="A212" s="60" t="s">
        <v>82</v>
      </c>
      <c r="B212" s="46"/>
      <c r="C212" s="45"/>
      <c r="D212" s="45"/>
      <c r="E212" s="45"/>
      <c r="F212" s="45"/>
      <c r="G212" s="45"/>
      <c r="H212" s="44"/>
      <c r="I212" s="45"/>
      <c r="J212" s="44"/>
      <c r="K212" s="44"/>
      <c r="L212" s="44"/>
    </row>
    <row r="213">
      <c r="A213" s="60" t="s">
        <v>83</v>
      </c>
      <c r="B213" s="43"/>
      <c r="C213" s="45"/>
      <c r="D213" s="45"/>
      <c r="E213" s="45"/>
      <c r="F213" s="45"/>
      <c r="G213" s="44"/>
      <c r="H213" s="44"/>
      <c r="I213" s="45"/>
      <c r="J213" s="44"/>
      <c r="K213" s="44"/>
      <c r="L213" s="44"/>
    </row>
    <row r="214">
      <c r="A214" s="60" t="s">
        <v>84</v>
      </c>
      <c r="B214" s="46"/>
      <c r="C214" s="45"/>
      <c r="D214" s="44"/>
      <c r="E214" s="45"/>
      <c r="F214" s="45"/>
      <c r="G214" s="44"/>
      <c r="H214" s="45"/>
      <c r="I214" s="45"/>
      <c r="J214" s="44"/>
      <c r="K214" s="44"/>
      <c r="L214" s="44"/>
    </row>
    <row r="215">
      <c r="A215" s="47" t="s">
        <v>23</v>
      </c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7" t="s">
        <v>24</v>
      </c>
    </row>
    <row r="216">
      <c r="A216" s="61" t="s">
        <v>81</v>
      </c>
      <c r="B216" s="54">
        <f>B207/3</f>
        <v>12412.33333</v>
      </c>
      <c r="C216" s="52"/>
      <c r="D216" s="62">
        <f>D207/3</f>
        <v>10023</v>
      </c>
      <c r="E216" s="52"/>
      <c r="F216" s="52">
        <f t="shared" ref="F216:G216" si="93">F207/4</f>
        <v>8000</v>
      </c>
      <c r="G216" s="62">
        <f t="shared" si="93"/>
        <v>7000</v>
      </c>
      <c r="H216" s="62">
        <f>H207/3</f>
        <v>9479</v>
      </c>
      <c r="I216" s="52">
        <f>I207/4</f>
        <v>8000</v>
      </c>
      <c r="J216" s="52">
        <f>J205/4</f>
        <v>12000</v>
      </c>
      <c r="K216" s="62"/>
      <c r="L216" s="53">
        <f t="shared" ref="L216:L221" si="94">SUM(B216:K216)</f>
        <v>66914.33333</v>
      </c>
    </row>
    <row r="217">
      <c r="A217" s="63" t="s">
        <v>82</v>
      </c>
      <c r="B217" s="54" t="s">
        <v>89</v>
      </c>
      <c r="C217" s="52"/>
      <c r="D217" s="62" t="s">
        <v>89</v>
      </c>
      <c r="E217" s="52"/>
      <c r="F217" s="52">
        <f>(F207/4)-F212+1000</f>
        <v>9000</v>
      </c>
      <c r="G217" s="62">
        <f>(G207/4)-G212</f>
        <v>7000</v>
      </c>
      <c r="H217" s="62" t="s">
        <v>89</v>
      </c>
      <c r="I217" s="62">
        <f>I207/4</f>
        <v>8000</v>
      </c>
      <c r="J217" s="62">
        <f>J205/4</f>
        <v>12000</v>
      </c>
      <c r="K217" s="62"/>
      <c r="L217" s="53">
        <f t="shared" si="94"/>
        <v>36000</v>
      </c>
    </row>
    <row r="218">
      <c r="A218" s="63" t="s">
        <v>83</v>
      </c>
      <c r="B218" s="54">
        <f>(B207/3)+1000</f>
        <v>13412.33333</v>
      </c>
      <c r="C218" s="67"/>
      <c r="D218" s="69">
        <f>D207/3</f>
        <v>10023</v>
      </c>
      <c r="E218" s="67"/>
      <c r="F218" s="67">
        <f t="shared" ref="F218:G218" si="95">(F207/4)-F213</f>
        <v>8000</v>
      </c>
      <c r="G218" s="69">
        <f t="shared" si="95"/>
        <v>7000</v>
      </c>
      <c r="H218" s="67">
        <f>H207/3</f>
        <v>9479</v>
      </c>
      <c r="I218" s="62">
        <f>I207/4</f>
        <v>8000</v>
      </c>
      <c r="J218" s="62">
        <f>J205/4</f>
        <v>12000</v>
      </c>
      <c r="K218" s="62"/>
      <c r="L218" s="53">
        <f t="shared" si="94"/>
        <v>67914.33333</v>
      </c>
    </row>
    <row r="219">
      <c r="A219" s="63" t="s">
        <v>84</v>
      </c>
      <c r="B219" s="54">
        <v>13500.0</v>
      </c>
      <c r="C219" s="62"/>
      <c r="D219" s="62">
        <f>D207/3</f>
        <v>10023</v>
      </c>
      <c r="E219" s="62"/>
      <c r="F219" s="62">
        <f t="shared" ref="F219:G219" si="96">(F207/4)-F214</f>
        <v>8000</v>
      </c>
      <c r="G219" s="62">
        <f t="shared" si="96"/>
        <v>7000</v>
      </c>
      <c r="H219" s="62">
        <f>H207/3</f>
        <v>9479</v>
      </c>
      <c r="I219" s="62">
        <f>I207/4</f>
        <v>8000</v>
      </c>
      <c r="J219" s="52">
        <f>J205/4</f>
        <v>12000</v>
      </c>
      <c r="K219" s="62"/>
      <c r="L219" s="53">
        <f t="shared" si="94"/>
        <v>68002</v>
      </c>
    </row>
    <row r="220">
      <c r="A220" s="63"/>
      <c r="B220" s="54"/>
      <c r="C220" s="52"/>
      <c r="D220" s="62"/>
      <c r="E220" s="62"/>
      <c r="F220" s="62"/>
      <c r="G220" s="62"/>
      <c r="H220" s="62"/>
      <c r="I220" s="62"/>
      <c r="J220" s="52"/>
      <c r="K220" s="62"/>
      <c r="L220" s="53">
        <f t="shared" si="94"/>
        <v>0</v>
      </c>
    </row>
    <row r="221">
      <c r="A221" s="63"/>
      <c r="B221" s="54"/>
      <c r="C221" s="52"/>
      <c r="D221" s="62"/>
      <c r="E221" s="62"/>
      <c r="F221" s="62"/>
      <c r="G221" s="62"/>
      <c r="H221" s="62"/>
      <c r="I221" s="62"/>
      <c r="J221" s="52"/>
      <c r="K221" s="62"/>
      <c r="L221" s="53">
        <f t="shared" si="94"/>
        <v>0</v>
      </c>
    </row>
    <row r="223">
      <c r="A223" s="1" t="s">
        <v>0</v>
      </c>
      <c r="B223" s="2" t="s">
        <v>1</v>
      </c>
      <c r="C223" s="3" t="s">
        <v>90</v>
      </c>
      <c r="D223" s="3" t="s">
        <v>3</v>
      </c>
      <c r="E223" s="3"/>
      <c r="F223" s="3" t="s">
        <v>58</v>
      </c>
      <c r="G223" s="3" t="s">
        <v>91</v>
      </c>
      <c r="H223" s="3" t="s">
        <v>6</v>
      </c>
      <c r="I223" s="1" t="s">
        <v>515</v>
      </c>
      <c r="J223" s="4" t="s">
        <v>92</v>
      </c>
      <c r="K223" s="4" t="s">
        <v>93</v>
      </c>
      <c r="L223" s="1" t="s">
        <v>0</v>
      </c>
    </row>
    <row r="224">
      <c r="A224" s="6" t="s">
        <v>94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8"/>
    </row>
    <row r="225">
      <c r="A225" s="55" t="s">
        <v>95</v>
      </c>
      <c r="B225" s="10">
        <f>B230/4</f>
        <v>12200</v>
      </c>
      <c r="C225" s="10"/>
      <c r="D225" s="10">
        <f>D230/4</f>
        <v>10000</v>
      </c>
      <c r="E225" s="10"/>
      <c r="F225" s="10">
        <v>8000.0</v>
      </c>
      <c r="G225" s="10"/>
      <c r="H225" s="10">
        <f t="shared" ref="H225:J225" si="97">H230/4</f>
        <v>10000</v>
      </c>
      <c r="I225" s="10">
        <f t="shared" si="97"/>
        <v>8000</v>
      </c>
      <c r="J225" s="10">
        <f t="shared" si="97"/>
        <v>12000</v>
      </c>
      <c r="K225" s="12"/>
      <c r="L225" s="13">
        <f>SUM(B225:K225)</f>
        <v>60200</v>
      </c>
    </row>
    <row r="226">
      <c r="A226" s="15" t="s">
        <v>96</v>
      </c>
      <c r="B226" s="10">
        <f>B230/4</f>
        <v>12200</v>
      </c>
      <c r="C226" s="10"/>
      <c r="D226" s="10">
        <f>D230/4</f>
        <v>10000</v>
      </c>
      <c r="E226" s="10"/>
      <c r="F226" s="10">
        <v>8000.0</v>
      </c>
      <c r="G226" s="10"/>
      <c r="H226" s="10">
        <f t="shared" ref="H226:J226" si="98">H230/4</f>
        <v>10000</v>
      </c>
      <c r="I226" s="10">
        <f t="shared" si="98"/>
        <v>8000</v>
      </c>
      <c r="J226" s="10">
        <f t="shared" si="98"/>
        <v>12000</v>
      </c>
      <c r="K226" s="12"/>
      <c r="L226" s="13">
        <f t="shared" ref="L226:L229" si="100">SUM(B226:J226)</f>
        <v>60200</v>
      </c>
    </row>
    <row r="227">
      <c r="A227" s="15" t="s">
        <v>97</v>
      </c>
      <c r="B227" s="10">
        <f>B230/4</f>
        <v>12200</v>
      </c>
      <c r="C227" s="10"/>
      <c r="D227" s="10">
        <f>D230/4</f>
        <v>10000</v>
      </c>
      <c r="E227" s="10"/>
      <c r="F227" s="10">
        <v>8000.0</v>
      </c>
      <c r="G227" s="10"/>
      <c r="H227" s="10">
        <f t="shared" ref="H227:J227" si="99">H230/4</f>
        <v>10000</v>
      </c>
      <c r="I227" s="10">
        <f t="shared" si="99"/>
        <v>8000</v>
      </c>
      <c r="J227" s="10">
        <f t="shared" si="99"/>
        <v>12000</v>
      </c>
      <c r="K227" s="12"/>
      <c r="L227" s="13">
        <f t="shared" si="100"/>
        <v>60200</v>
      </c>
    </row>
    <row r="228">
      <c r="A228" s="15" t="s">
        <v>98</v>
      </c>
      <c r="B228" s="16">
        <f>B230/4</f>
        <v>12200</v>
      </c>
      <c r="C228" s="16"/>
      <c r="D228" s="16">
        <f>D230/4</f>
        <v>10000</v>
      </c>
      <c r="E228" s="16"/>
      <c r="F228" s="16">
        <v>8000.0</v>
      </c>
      <c r="G228" s="16"/>
      <c r="H228" s="16">
        <f t="shared" ref="H228:J228" si="101">H230/4</f>
        <v>10000</v>
      </c>
      <c r="I228" s="16">
        <f t="shared" si="101"/>
        <v>8000</v>
      </c>
      <c r="J228" s="16">
        <f t="shared" si="101"/>
        <v>12000</v>
      </c>
      <c r="K228" s="18"/>
      <c r="L228" s="19">
        <f t="shared" si="100"/>
        <v>60200</v>
      </c>
    </row>
    <row r="229">
      <c r="A229" s="15"/>
      <c r="B229" s="16"/>
      <c r="C229" s="16"/>
      <c r="D229" s="16"/>
      <c r="E229" s="16"/>
      <c r="F229" s="16"/>
      <c r="G229" s="16"/>
      <c r="H229" s="16"/>
      <c r="I229" s="16"/>
      <c r="J229" s="16"/>
      <c r="K229" s="18"/>
      <c r="L229" s="19">
        <f t="shared" si="100"/>
        <v>0</v>
      </c>
    </row>
    <row r="230">
      <c r="A230" s="20" t="s">
        <v>15</v>
      </c>
      <c r="B230" s="21">
        <v>48800.0</v>
      </c>
      <c r="C230" s="21"/>
      <c r="D230" s="21">
        <v>40000.0</v>
      </c>
      <c r="E230" s="21"/>
      <c r="F230" s="21">
        <v>32000.0</v>
      </c>
      <c r="G230" s="21"/>
      <c r="H230" s="21">
        <v>40000.0</v>
      </c>
      <c r="I230" s="21">
        <v>32000.0</v>
      </c>
      <c r="J230" s="21">
        <v>48000.0</v>
      </c>
      <c r="K230" s="20"/>
      <c r="L230" s="21">
        <f>SUM(L225:L228)</f>
        <v>240800</v>
      </c>
    </row>
    <row r="231">
      <c r="A231" s="23" t="s">
        <v>16</v>
      </c>
      <c r="B231" s="24">
        <v>11563.0</v>
      </c>
      <c r="C231" s="24"/>
      <c r="D231" s="24">
        <v>9931.0</v>
      </c>
      <c r="E231" s="24"/>
      <c r="F231" s="24" t="s">
        <v>85</v>
      </c>
      <c r="G231" s="24"/>
      <c r="H231" s="24">
        <v>11563.0</v>
      </c>
      <c r="I231" s="24"/>
      <c r="J231" s="24"/>
      <c r="K231" s="74"/>
      <c r="L231" s="75"/>
    </row>
    <row r="232">
      <c r="A232" s="57" t="s">
        <v>17</v>
      </c>
      <c r="B232" s="58">
        <f>B230-(B231)</f>
        <v>37237</v>
      </c>
      <c r="C232" s="58"/>
      <c r="D232" s="58">
        <f>D230-(D231)</f>
        <v>30069</v>
      </c>
      <c r="E232" s="58"/>
      <c r="F232" s="58">
        <v>32000.0</v>
      </c>
      <c r="G232" s="58"/>
      <c r="H232" s="58">
        <f>H230-(H231)</f>
        <v>28437</v>
      </c>
      <c r="I232" s="58">
        <f>I230</f>
        <v>32000</v>
      </c>
      <c r="J232" s="58">
        <f>J229-(J231)</f>
        <v>0</v>
      </c>
      <c r="K232" s="25"/>
      <c r="L232" s="26">
        <f t="shared" ref="L232:L234" si="102">SUM(B232:K232)</f>
        <v>159743</v>
      </c>
    </row>
    <row r="233">
      <c r="A233" s="27" t="s">
        <v>40</v>
      </c>
      <c r="B233" s="28" t="s">
        <v>86</v>
      </c>
      <c r="C233" s="28"/>
      <c r="D233" s="28"/>
      <c r="E233" s="28"/>
      <c r="F233" s="28" t="s">
        <v>87</v>
      </c>
      <c r="G233" s="28"/>
      <c r="H233" s="28"/>
      <c r="I233" s="28"/>
      <c r="J233" s="28"/>
      <c r="K233" s="28"/>
      <c r="L233" s="30">
        <f t="shared" si="102"/>
        <v>0</v>
      </c>
    </row>
    <row r="234">
      <c r="A234" s="23" t="s">
        <v>88</v>
      </c>
      <c r="B234" s="24"/>
      <c r="C234" s="24"/>
      <c r="D234" s="24"/>
      <c r="E234" s="24"/>
      <c r="F234" s="24"/>
      <c r="G234" s="24"/>
      <c r="H234" s="24">
        <v>1000.0</v>
      </c>
      <c r="I234" s="24"/>
      <c r="J234" s="24">
        <v>1000.0</v>
      </c>
      <c r="K234" s="24"/>
      <c r="L234" s="26">
        <f t="shared" si="102"/>
        <v>2000</v>
      </c>
    </row>
    <row r="235">
      <c r="A235" s="39" t="s">
        <v>22</v>
      </c>
      <c r="B235" s="40"/>
      <c r="C235" s="41"/>
      <c r="D235" s="41"/>
      <c r="E235" s="41"/>
      <c r="F235" s="41"/>
      <c r="G235" s="41"/>
      <c r="H235" s="41"/>
      <c r="I235" s="41"/>
      <c r="J235" s="41"/>
      <c r="K235" s="41"/>
      <c r="L235" s="41"/>
    </row>
    <row r="236">
      <c r="A236" s="59" t="s">
        <v>95</v>
      </c>
      <c r="B236" s="43"/>
      <c r="C236" s="44"/>
      <c r="D236" s="44"/>
      <c r="E236" s="45"/>
      <c r="F236" s="45"/>
      <c r="G236" s="45"/>
      <c r="H236" s="45"/>
      <c r="I236" s="45"/>
      <c r="J236" s="44"/>
      <c r="K236" s="44"/>
      <c r="L236" s="44"/>
    </row>
    <row r="237">
      <c r="A237" s="60" t="s">
        <v>96</v>
      </c>
      <c r="B237" s="46"/>
      <c r="C237" s="45"/>
      <c r="D237" s="45"/>
      <c r="E237" s="45"/>
      <c r="F237" s="45"/>
      <c r="G237" s="45"/>
      <c r="H237" s="44"/>
      <c r="I237" s="45"/>
      <c r="J237" s="44"/>
      <c r="K237" s="44"/>
      <c r="L237" s="44"/>
    </row>
    <row r="238">
      <c r="A238" s="60" t="s">
        <v>97</v>
      </c>
      <c r="B238" s="43"/>
      <c r="C238" s="45"/>
      <c r="D238" s="45"/>
      <c r="E238" s="45"/>
      <c r="F238" s="45"/>
      <c r="G238" s="44"/>
      <c r="H238" s="44"/>
      <c r="I238" s="45">
        <v>1700.0</v>
      </c>
      <c r="J238" s="44"/>
      <c r="K238" s="44"/>
      <c r="L238" s="44"/>
    </row>
    <row r="239">
      <c r="A239" s="60" t="s">
        <v>98</v>
      </c>
      <c r="B239" s="46"/>
      <c r="C239" s="45"/>
      <c r="D239" s="44"/>
      <c r="E239" s="45"/>
      <c r="F239" s="45"/>
      <c r="G239" s="44"/>
      <c r="H239" s="45"/>
      <c r="I239" s="45">
        <v>2000.0</v>
      </c>
      <c r="J239" s="44"/>
      <c r="K239" s="44"/>
      <c r="L239" s="44"/>
    </row>
    <row r="240">
      <c r="A240" s="1" t="s">
        <v>0</v>
      </c>
      <c r="B240" s="2" t="s">
        <v>1</v>
      </c>
      <c r="C240" s="3" t="s">
        <v>99</v>
      </c>
      <c r="D240" s="3" t="s">
        <v>3</v>
      </c>
      <c r="E240" s="3"/>
      <c r="F240" s="3" t="s">
        <v>58</v>
      </c>
      <c r="G240" s="3" t="s">
        <v>91</v>
      </c>
      <c r="H240" s="3" t="s">
        <v>6</v>
      </c>
      <c r="I240" s="1" t="s">
        <v>515</v>
      </c>
      <c r="J240" s="4" t="s">
        <v>92</v>
      </c>
      <c r="K240" s="4" t="s">
        <v>93</v>
      </c>
      <c r="L240" s="1" t="s">
        <v>0</v>
      </c>
    </row>
    <row r="241">
      <c r="A241" s="47" t="s">
        <v>23</v>
      </c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7" t="s">
        <v>24</v>
      </c>
    </row>
    <row r="242">
      <c r="A242" s="61" t="s">
        <v>95</v>
      </c>
      <c r="B242" s="54">
        <f>B232/3+1000</f>
        <v>13412.33333</v>
      </c>
      <c r="C242" s="52"/>
      <c r="D242" s="62">
        <f>D232/3</f>
        <v>10023</v>
      </c>
      <c r="E242" s="52"/>
      <c r="F242" s="52">
        <f>F232/4</f>
        <v>8000</v>
      </c>
      <c r="G242" s="62"/>
      <c r="H242" s="62">
        <f>H232/3</f>
        <v>9479</v>
      </c>
      <c r="I242" s="52">
        <f>I232/4</f>
        <v>8000</v>
      </c>
      <c r="J242" s="52">
        <f>J230/4</f>
        <v>12000</v>
      </c>
      <c r="K242" s="62"/>
      <c r="L242" s="53">
        <f t="shared" ref="L242:L247" si="103">SUM(B242:K242)</f>
        <v>60914.33333</v>
      </c>
    </row>
    <row r="243">
      <c r="A243" s="63" t="s">
        <v>96</v>
      </c>
      <c r="B243" s="54">
        <f>12500+1000</f>
        <v>13500</v>
      </c>
      <c r="C243" s="52"/>
      <c r="D243" s="62">
        <v>10000.0</v>
      </c>
      <c r="E243" s="52"/>
      <c r="F243" s="52">
        <f t="shared" ref="F243:F245" si="104">8000+2000-333</f>
        <v>9667</v>
      </c>
      <c r="G243" s="62"/>
      <c r="H243" s="62">
        <v>9500.0</v>
      </c>
      <c r="I243" s="62">
        <f>I232/4</f>
        <v>8000</v>
      </c>
      <c r="J243" s="62">
        <f>J230/4</f>
        <v>12000</v>
      </c>
      <c r="K243" s="62">
        <v>6000.0</v>
      </c>
      <c r="L243" s="53">
        <f t="shared" si="103"/>
        <v>68667</v>
      </c>
    </row>
    <row r="244">
      <c r="A244" s="63" t="s">
        <v>97</v>
      </c>
      <c r="B244" s="54">
        <f>(B232/3)+1000</f>
        <v>13412.33333</v>
      </c>
      <c r="C244" s="67"/>
      <c r="D244" s="69">
        <f>D232/3</f>
        <v>10023</v>
      </c>
      <c r="E244" s="52"/>
      <c r="F244" s="52">
        <f t="shared" si="104"/>
        <v>9667</v>
      </c>
      <c r="G244" s="69"/>
      <c r="H244" s="67">
        <f>H232/3+(200*4)</f>
        <v>10279</v>
      </c>
      <c r="I244" s="62">
        <f>I232/4-I238</f>
        <v>6300</v>
      </c>
      <c r="J244" s="62">
        <f>J230/4+1800</f>
        <v>13800</v>
      </c>
      <c r="K244" s="62">
        <f>6000+(125*4)</f>
        <v>6500</v>
      </c>
      <c r="L244" s="53">
        <f t="shared" si="103"/>
        <v>69981.33333</v>
      </c>
    </row>
    <row r="245">
      <c r="A245" s="63" t="s">
        <v>98</v>
      </c>
      <c r="B245" s="54">
        <v>13500.0</v>
      </c>
      <c r="C245" s="62">
        <v>8000.0</v>
      </c>
      <c r="D245" s="62">
        <f>D232/3</f>
        <v>10023</v>
      </c>
      <c r="E245" s="62"/>
      <c r="F245" s="62">
        <f t="shared" si="104"/>
        <v>9667</v>
      </c>
      <c r="G245" s="62"/>
      <c r="H245" s="62">
        <f>10000+1500+2500+1000</f>
        <v>15000</v>
      </c>
      <c r="I245" s="62">
        <f>(I232/4)-I239</f>
        <v>6000</v>
      </c>
      <c r="J245" s="52">
        <f>J230/4</f>
        <v>12000</v>
      </c>
      <c r="K245" s="62">
        <v>7000.0</v>
      </c>
      <c r="L245" s="53">
        <f t="shared" si="103"/>
        <v>81190</v>
      </c>
    </row>
    <row r="246">
      <c r="A246" s="63" t="s">
        <v>100</v>
      </c>
      <c r="B246" s="54">
        <v>13500.0</v>
      </c>
      <c r="C246" s="62">
        <v>8000.0</v>
      </c>
      <c r="D246" s="62">
        <v>10000.0</v>
      </c>
      <c r="E246" s="62"/>
      <c r="F246" s="62">
        <f>8000+2000</f>
        <v>10000</v>
      </c>
      <c r="G246" s="62"/>
      <c r="H246" s="62">
        <v>15000.0</v>
      </c>
      <c r="I246" s="62">
        <v>8000.0</v>
      </c>
      <c r="J246" s="62">
        <v>12000.0</v>
      </c>
      <c r="K246" s="62">
        <f>7000+1000</f>
        <v>8000</v>
      </c>
      <c r="L246" s="53">
        <f t="shared" si="103"/>
        <v>84500</v>
      </c>
    </row>
    <row r="247">
      <c r="A247" s="63" t="s">
        <v>101</v>
      </c>
      <c r="B247" s="54">
        <v>16500.0</v>
      </c>
      <c r="C247" s="62">
        <f t="shared" ref="C247:C248" si="105">9500+1500</f>
        <v>11000</v>
      </c>
      <c r="D247" s="62">
        <f t="shared" ref="D247:D248" si="106">10000+1700</f>
        <v>11700</v>
      </c>
      <c r="E247" s="62"/>
      <c r="F247" s="62">
        <f t="shared" ref="F247:F248" si="107">8000+1300</f>
        <v>9300</v>
      </c>
      <c r="G247" s="62">
        <f>7000+1100+600</f>
        <v>8700</v>
      </c>
      <c r="H247" s="62">
        <v>15000.0</v>
      </c>
      <c r="I247" s="62">
        <f>8000+1300</f>
        <v>9300</v>
      </c>
      <c r="J247" s="62">
        <v>16800.0</v>
      </c>
      <c r="K247" s="62">
        <f t="shared" ref="K247:K248" si="108">7000+1200</f>
        <v>8200</v>
      </c>
      <c r="L247" s="53">
        <f t="shared" si="103"/>
        <v>106500</v>
      </c>
    </row>
    <row r="248">
      <c r="B248" s="54">
        <v>16500.0</v>
      </c>
      <c r="C248" s="62">
        <f t="shared" si="105"/>
        <v>11000</v>
      </c>
      <c r="D248" s="62">
        <f t="shared" si="106"/>
        <v>11700</v>
      </c>
      <c r="E248" s="62"/>
      <c r="F248" s="62">
        <f t="shared" si="107"/>
        <v>9300</v>
      </c>
      <c r="G248" s="62">
        <f>7000+1100</f>
        <v>8100</v>
      </c>
      <c r="H248" s="62">
        <v>15000.0</v>
      </c>
      <c r="J248" s="62">
        <v>16800.0</v>
      </c>
      <c r="K248" s="62">
        <f t="shared" si="108"/>
        <v>8200</v>
      </c>
    </row>
    <row r="250">
      <c r="D250">
        <f>SUM(D244+F244+G244+I244+H244)</f>
        <v>36269</v>
      </c>
    </row>
    <row r="251">
      <c r="A251" s="6" t="s">
        <v>102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8"/>
    </row>
    <row r="252">
      <c r="A252" s="55" t="s">
        <v>103</v>
      </c>
      <c r="B252" s="10">
        <v>13500.0</v>
      </c>
      <c r="C252" s="10">
        <v>9500.0</v>
      </c>
      <c r="D252" s="10">
        <f>D257/4</f>
        <v>10000</v>
      </c>
      <c r="E252" s="10"/>
      <c r="F252" s="10">
        <v>8000.0</v>
      </c>
      <c r="G252" s="10">
        <v>7000.0</v>
      </c>
      <c r="H252" s="10">
        <v>15000.0</v>
      </c>
      <c r="I252" s="10">
        <f>I257/4</f>
        <v>8000</v>
      </c>
      <c r="J252" s="10">
        <v>14000.0</v>
      </c>
      <c r="K252" s="10">
        <v>7000.0</v>
      </c>
      <c r="L252" s="13">
        <f t="shared" ref="L252:L255" si="109">SUM(B252:K252)</f>
        <v>92000</v>
      </c>
    </row>
    <row r="253">
      <c r="A253" s="15" t="s">
        <v>104</v>
      </c>
      <c r="B253" s="10">
        <v>13500.0</v>
      </c>
      <c r="C253" s="10">
        <v>9500.0</v>
      </c>
      <c r="D253" s="10">
        <f>D257/4</f>
        <v>10000</v>
      </c>
      <c r="E253" s="10"/>
      <c r="F253" s="10">
        <v>8000.0</v>
      </c>
      <c r="G253" s="10">
        <v>7000.0</v>
      </c>
      <c r="H253" s="10">
        <v>15000.0</v>
      </c>
      <c r="I253" s="10">
        <f>I257/4</f>
        <v>8000</v>
      </c>
      <c r="J253" s="10">
        <v>14000.0</v>
      </c>
      <c r="K253" s="10">
        <v>7000.0</v>
      </c>
      <c r="L253" s="13">
        <f t="shared" si="109"/>
        <v>92000</v>
      </c>
    </row>
    <row r="254">
      <c r="A254" s="15" t="s">
        <v>105</v>
      </c>
      <c r="B254" s="10">
        <v>13500.0</v>
      </c>
      <c r="C254" s="10">
        <v>9500.0</v>
      </c>
      <c r="D254" s="10">
        <f>D257/4</f>
        <v>10000</v>
      </c>
      <c r="E254" s="10"/>
      <c r="F254" s="10">
        <v>8000.0</v>
      </c>
      <c r="G254" s="10">
        <v>7000.0</v>
      </c>
      <c r="H254" s="10">
        <v>15000.0</v>
      </c>
      <c r="I254" s="10">
        <f>I257/4</f>
        <v>8000</v>
      </c>
      <c r="J254" s="10">
        <v>14000.0</v>
      </c>
      <c r="K254" s="10">
        <v>7000.0</v>
      </c>
      <c r="L254" s="13">
        <f t="shared" si="109"/>
        <v>92000</v>
      </c>
    </row>
    <row r="255">
      <c r="A255" s="15" t="s">
        <v>106</v>
      </c>
      <c r="B255" s="16">
        <v>13500.0</v>
      </c>
      <c r="C255" s="16">
        <v>9500.0</v>
      </c>
      <c r="D255" s="16">
        <f>D257/4</f>
        <v>10000</v>
      </c>
      <c r="E255" s="16"/>
      <c r="F255" s="16">
        <v>8000.0</v>
      </c>
      <c r="G255" s="16">
        <v>7000.0</v>
      </c>
      <c r="H255" s="16">
        <v>15000.0</v>
      </c>
      <c r="I255" s="16">
        <f>I257/4</f>
        <v>8000</v>
      </c>
      <c r="J255" s="16">
        <v>14000.0</v>
      </c>
      <c r="K255" s="16">
        <v>7000.0</v>
      </c>
      <c r="L255" s="19">
        <f t="shared" si="109"/>
        <v>92000</v>
      </c>
    </row>
    <row r="256">
      <c r="A256" s="15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9">
        <f>SUM(B256:J256)</f>
        <v>0</v>
      </c>
    </row>
    <row r="257">
      <c r="A257" s="20" t="s">
        <v>15</v>
      </c>
      <c r="B257" s="21">
        <f t="shared" ref="B257:C257" si="110">SUM(B252:B256)</f>
        <v>54000</v>
      </c>
      <c r="C257" s="21">
        <f t="shared" si="110"/>
        <v>38000</v>
      </c>
      <c r="D257" s="21">
        <v>40000.0</v>
      </c>
      <c r="E257" s="21"/>
      <c r="F257" s="21">
        <f t="shared" ref="F257:H257" si="111">SUM(F252:F256)</f>
        <v>32000</v>
      </c>
      <c r="G257" s="21">
        <f t="shared" si="111"/>
        <v>28000</v>
      </c>
      <c r="H257" s="21">
        <f t="shared" si="111"/>
        <v>60000</v>
      </c>
      <c r="I257" s="21">
        <v>32000.0</v>
      </c>
      <c r="J257" s="21">
        <f t="shared" ref="J257:K257" si="112">SUM(J252:J256)</f>
        <v>56000</v>
      </c>
      <c r="K257" s="21">
        <f t="shared" si="112"/>
        <v>28000</v>
      </c>
      <c r="L257" s="21">
        <f>SUM(L252:L255)</f>
        <v>368000</v>
      </c>
    </row>
    <row r="258">
      <c r="A258" s="27" t="s">
        <v>40</v>
      </c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30">
        <f t="shared" ref="L258:L259" si="113">SUM(B258:K258)</f>
        <v>0</v>
      </c>
    </row>
    <row r="259">
      <c r="A259" s="23" t="s">
        <v>107</v>
      </c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6">
        <f t="shared" si="113"/>
        <v>0</v>
      </c>
    </row>
    <row r="260">
      <c r="A260" s="39" t="s">
        <v>22</v>
      </c>
      <c r="B260" s="40"/>
      <c r="C260" s="41"/>
      <c r="D260" s="41"/>
      <c r="E260" s="41"/>
      <c r="F260" s="41"/>
      <c r="G260" s="41"/>
      <c r="H260" s="41"/>
      <c r="I260" s="41"/>
      <c r="J260" s="41"/>
      <c r="K260" s="41"/>
      <c r="L260" s="41"/>
    </row>
    <row r="261">
      <c r="A261" s="59" t="s">
        <v>103</v>
      </c>
      <c r="B261" s="43"/>
      <c r="C261" s="44"/>
      <c r="D261" s="44"/>
      <c r="E261" s="45"/>
      <c r="F261" s="45"/>
      <c r="G261" s="45"/>
      <c r="H261" s="45"/>
      <c r="I261" s="45"/>
      <c r="J261" s="44"/>
      <c r="K261" s="44"/>
      <c r="L261" s="44"/>
    </row>
    <row r="262">
      <c r="A262" s="60" t="s">
        <v>104</v>
      </c>
      <c r="B262" s="46"/>
      <c r="C262" s="45"/>
      <c r="D262" s="45">
        <v>500.0</v>
      </c>
      <c r="E262" s="45"/>
      <c r="F262" s="45"/>
      <c r="G262" s="45"/>
      <c r="H262" s="44"/>
      <c r="I262" s="45"/>
      <c r="J262" s="44"/>
      <c r="K262" s="44"/>
      <c r="L262" s="44"/>
    </row>
    <row r="263">
      <c r="A263" s="60" t="s">
        <v>105</v>
      </c>
      <c r="B263" s="43"/>
      <c r="C263" s="45"/>
      <c r="D263" s="45"/>
      <c r="E263" s="45"/>
      <c r="F263" s="45">
        <v>160.0</v>
      </c>
      <c r="G263" s="44"/>
      <c r="H263" s="44"/>
      <c r="I263" s="45">
        <v>600.0</v>
      </c>
      <c r="J263" s="44"/>
      <c r="K263" s="44"/>
      <c r="L263" s="44"/>
    </row>
    <row r="264">
      <c r="A264" s="60" t="s">
        <v>106</v>
      </c>
      <c r="B264" s="46"/>
      <c r="C264" s="45"/>
      <c r="D264" s="44"/>
      <c r="E264" s="45"/>
      <c r="F264" s="45">
        <v>350.0</v>
      </c>
      <c r="G264" s="44"/>
      <c r="H264" s="45"/>
      <c r="I264" s="45"/>
      <c r="J264" s="44"/>
      <c r="K264" s="44"/>
      <c r="L264" s="44"/>
    </row>
    <row r="265">
      <c r="A265" s="1" t="s">
        <v>0</v>
      </c>
      <c r="B265" s="2" t="s">
        <v>1</v>
      </c>
      <c r="C265" s="3" t="s">
        <v>90</v>
      </c>
      <c r="D265" s="3" t="s">
        <v>3</v>
      </c>
      <c r="E265" s="3"/>
      <c r="F265" s="3" t="s">
        <v>58</v>
      </c>
      <c r="G265" s="3" t="s">
        <v>91</v>
      </c>
      <c r="H265" s="3" t="s">
        <v>6</v>
      </c>
      <c r="I265" s="1" t="s">
        <v>515</v>
      </c>
      <c r="J265" s="4" t="s">
        <v>92</v>
      </c>
      <c r="K265" s="4" t="s">
        <v>93</v>
      </c>
      <c r="L265" s="1" t="s">
        <v>0</v>
      </c>
    </row>
    <row r="266">
      <c r="A266" s="47" t="s">
        <v>23</v>
      </c>
      <c r="B266" s="48"/>
      <c r="C266" s="49"/>
      <c r="D266" s="49"/>
      <c r="E266" s="49"/>
      <c r="F266" s="49"/>
      <c r="G266" s="49"/>
      <c r="H266" s="49"/>
      <c r="I266" s="49"/>
      <c r="J266" s="49"/>
      <c r="K266" s="49"/>
      <c r="L266" s="47" t="s">
        <v>24</v>
      </c>
    </row>
    <row r="267">
      <c r="A267" s="61" t="s">
        <v>103</v>
      </c>
      <c r="B267" s="54">
        <f t="shared" ref="B267:D267" si="114">B252-B261</f>
        <v>13500</v>
      </c>
      <c r="C267" s="52">
        <f t="shared" si="114"/>
        <v>9500</v>
      </c>
      <c r="D267" s="62">
        <f t="shared" si="114"/>
        <v>10000</v>
      </c>
      <c r="E267" s="52"/>
      <c r="F267" s="52">
        <f t="shared" ref="F267:K267" si="115">F252-F261</f>
        <v>8000</v>
      </c>
      <c r="G267" s="62">
        <f t="shared" si="115"/>
        <v>7000</v>
      </c>
      <c r="H267" s="62">
        <f t="shared" si="115"/>
        <v>15000</v>
      </c>
      <c r="I267" s="52">
        <f t="shared" si="115"/>
        <v>8000</v>
      </c>
      <c r="J267" s="52">
        <f t="shared" si="115"/>
        <v>14000</v>
      </c>
      <c r="K267" s="62">
        <f t="shared" si="115"/>
        <v>7000</v>
      </c>
      <c r="L267" s="52"/>
    </row>
    <row r="268">
      <c r="A268" s="63" t="s">
        <v>104</v>
      </c>
      <c r="B268" s="54">
        <f t="shared" ref="B268:D268" si="116">B253-B262</f>
        <v>13500</v>
      </c>
      <c r="C268" s="52">
        <f t="shared" si="116"/>
        <v>9500</v>
      </c>
      <c r="D268" s="62">
        <f t="shared" si="116"/>
        <v>9500</v>
      </c>
      <c r="E268" s="52"/>
      <c r="F268" s="52">
        <f t="shared" ref="F268:K268" si="117">F253-F262</f>
        <v>8000</v>
      </c>
      <c r="G268" s="62">
        <f t="shared" si="117"/>
        <v>7000</v>
      </c>
      <c r="H268" s="62">
        <f t="shared" si="117"/>
        <v>15000</v>
      </c>
      <c r="I268" s="62">
        <f t="shared" si="117"/>
        <v>8000</v>
      </c>
      <c r="J268" s="62">
        <f t="shared" si="117"/>
        <v>14000</v>
      </c>
      <c r="K268" s="62">
        <f t="shared" si="117"/>
        <v>7000</v>
      </c>
      <c r="L268" s="52"/>
    </row>
    <row r="269">
      <c r="A269" s="63" t="s">
        <v>105</v>
      </c>
      <c r="B269" s="54">
        <f t="shared" ref="B269:D269" si="118">B254-B263</f>
        <v>13500</v>
      </c>
      <c r="C269" s="67">
        <f t="shared" si="118"/>
        <v>9500</v>
      </c>
      <c r="D269" s="69">
        <f t="shared" si="118"/>
        <v>10000</v>
      </c>
      <c r="E269" s="52"/>
      <c r="F269" s="52">
        <f t="shared" ref="F269:K269" si="119">F254-F263</f>
        <v>7840</v>
      </c>
      <c r="G269" s="69">
        <f t="shared" si="119"/>
        <v>7000</v>
      </c>
      <c r="H269" s="67">
        <f t="shared" si="119"/>
        <v>15000</v>
      </c>
      <c r="I269" s="62">
        <f t="shared" si="119"/>
        <v>7400</v>
      </c>
      <c r="J269" s="62">
        <f t="shared" si="119"/>
        <v>14000</v>
      </c>
      <c r="K269" s="62">
        <f t="shared" si="119"/>
        <v>7000</v>
      </c>
      <c r="L269" s="52"/>
    </row>
    <row r="270">
      <c r="A270" s="63" t="s">
        <v>106</v>
      </c>
      <c r="B270" s="54">
        <f t="shared" ref="B270:C270" si="120">B255-B264</f>
        <v>13500</v>
      </c>
      <c r="C270" s="62">
        <f t="shared" si="120"/>
        <v>9500</v>
      </c>
      <c r="D270" s="62">
        <f>D254-D264</f>
        <v>10000</v>
      </c>
      <c r="E270" s="62"/>
      <c r="F270" s="62">
        <f t="shared" ref="F270:K270" si="121">F255-F264</f>
        <v>7650</v>
      </c>
      <c r="G270" s="62">
        <f t="shared" si="121"/>
        <v>7000</v>
      </c>
      <c r="H270" s="62">
        <f t="shared" si="121"/>
        <v>15000</v>
      </c>
      <c r="I270" s="62">
        <f t="shared" si="121"/>
        <v>8000</v>
      </c>
      <c r="J270" s="52">
        <f t="shared" si="121"/>
        <v>14000</v>
      </c>
      <c r="K270" s="62">
        <f t="shared" si="121"/>
        <v>7000</v>
      </c>
      <c r="L270" s="52"/>
    </row>
    <row r="271">
      <c r="A271" s="63" t="s">
        <v>108</v>
      </c>
      <c r="B271" s="54">
        <v>13500.0</v>
      </c>
      <c r="C271" s="62">
        <v>9500.0</v>
      </c>
      <c r="D271" s="62">
        <v>10000.0</v>
      </c>
      <c r="E271" s="62"/>
      <c r="F271" s="62">
        <v>8000.0</v>
      </c>
      <c r="G271" s="62">
        <v>7000.0</v>
      </c>
      <c r="H271" s="62">
        <v>15000.0</v>
      </c>
      <c r="I271" s="62">
        <v>8000.0</v>
      </c>
      <c r="J271" s="62">
        <v>14000.0</v>
      </c>
      <c r="K271" s="62">
        <v>7000.0</v>
      </c>
      <c r="L271" s="52"/>
    </row>
    <row r="272">
      <c r="A272" s="63"/>
      <c r="B272" s="54"/>
      <c r="C272" s="62"/>
      <c r="D272" s="62"/>
      <c r="E272" s="62"/>
      <c r="F272" s="62"/>
      <c r="G272" s="62"/>
      <c r="H272" s="62"/>
      <c r="I272" s="62"/>
      <c r="J272" s="62"/>
      <c r="K272" s="62"/>
      <c r="L272" s="52"/>
    </row>
    <row r="275">
      <c r="A275" s="6" t="s">
        <v>181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8"/>
    </row>
    <row r="276">
      <c r="A276" s="55" t="s">
        <v>664</v>
      </c>
      <c r="B276" s="10">
        <v>13500.0</v>
      </c>
      <c r="C276" s="10">
        <v>9500.0</v>
      </c>
      <c r="D276" s="10">
        <f>D281/4</f>
        <v>10000</v>
      </c>
      <c r="E276" s="10"/>
      <c r="F276" s="10">
        <v>8000.0</v>
      </c>
      <c r="G276" s="10">
        <v>7000.0</v>
      </c>
      <c r="H276" s="10">
        <v>15000.0</v>
      </c>
      <c r="I276" s="10">
        <f>I281/4</f>
        <v>8000</v>
      </c>
      <c r="J276" s="10">
        <v>14000.0</v>
      </c>
      <c r="K276" s="10">
        <v>7000.0</v>
      </c>
      <c r="L276" s="13">
        <f t="shared" ref="L276:L279" si="122">SUM(B276:K276)</f>
        <v>92000</v>
      </c>
    </row>
    <row r="277">
      <c r="A277" s="15" t="s">
        <v>665</v>
      </c>
      <c r="B277" s="10">
        <v>13500.0</v>
      </c>
      <c r="C277" s="10">
        <v>9500.0</v>
      </c>
      <c r="D277" s="10">
        <f>D281/4</f>
        <v>10000</v>
      </c>
      <c r="E277" s="10"/>
      <c r="F277" s="10">
        <v>8000.0</v>
      </c>
      <c r="G277" s="10">
        <v>7000.0</v>
      </c>
      <c r="H277" s="10">
        <v>15000.0</v>
      </c>
      <c r="I277" s="10">
        <f>I281/4</f>
        <v>8000</v>
      </c>
      <c r="J277" s="10">
        <v>14000.0</v>
      </c>
      <c r="K277" s="10">
        <v>7000.0</v>
      </c>
      <c r="L277" s="13">
        <f t="shared" si="122"/>
        <v>92000</v>
      </c>
    </row>
    <row r="278">
      <c r="A278" s="15" t="s">
        <v>666</v>
      </c>
      <c r="B278" s="10">
        <v>13500.0</v>
      </c>
      <c r="C278" s="10">
        <v>9500.0</v>
      </c>
      <c r="D278" s="10">
        <f>D281/4</f>
        <v>10000</v>
      </c>
      <c r="E278" s="10"/>
      <c r="F278" s="10">
        <v>8000.0</v>
      </c>
      <c r="G278" s="10">
        <v>7000.0</v>
      </c>
      <c r="H278" s="10">
        <v>15000.0</v>
      </c>
      <c r="I278" s="10">
        <f>I281/4</f>
        <v>8000</v>
      </c>
      <c r="J278" s="10">
        <v>14000.0</v>
      </c>
      <c r="K278" s="10">
        <v>7000.0</v>
      </c>
      <c r="L278" s="13">
        <f t="shared" si="122"/>
        <v>92000</v>
      </c>
    </row>
    <row r="279">
      <c r="A279" s="15" t="s">
        <v>667</v>
      </c>
      <c r="B279" s="16">
        <v>13500.0</v>
      </c>
      <c r="C279" s="16">
        <v>9500.0</v>
      </c>
      <c r="D279" s="16">
        <f>D281/4</f>
        <v>10000</v>
      </c>
      <c r="E279" s="16"/>
      <c r="F279" s="16">
        <v>8000.0</v>
      </c>
      <c r="G279" s="16">
        <v>7000.0</v>
      </c>
      <c r="H279" s="16">
        <v>15000.0</v>
      </c>
      <c r="I279" s="16">
        <f>I281/4</f>
        <v>8000</v>
      </c>
      <c r="J279" s="16">
        <v>14000.0</v>
      </c>
      <c r="K279" s="16">
        <v>7000.0</v>
      </c>
      <c r="L279" s="19">
        <f t="shared" si="122"/>
        <v>92000</v>
      </c>
    </row>
    <row r="280">
      <c r="A280" s="15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9">
        <f>SUM(B280:J280)</f>
        <v>0</v>
      </c>
    </row>
    <row r="281">
      <c r="A281" s="20" t="s">
        <v>15</v>
      </c>
      <c r="B281" s="21">
        <f t="shared" ref="B281:C281" si="123">SUM(B276:B280)</f>
        <v>54000</v>
      </c>
      <c r="C281" s="21">
        <f t="shared" si="123"/>
        <v>38000</v>
      </c>
      <c r="D281" s="21">
        <v>40000.0</v>
      </c>
      <c r="E281" s="21"/>
      <c r="F281" s="21">
        <f t="shared" ref="F281:H281" si="124">SUM(F276:F280)</f>
        <v>32000</v>
      </c>
      <c r="G281" s="21">
        <f t="shared" si="124"/>
        <v>28000</v>
      </c>
      <c r="H281" s="21">
        <f t="shared" si="124"/>
        <v>60000</v>
      </c>
      <c r="I281" s="21">
        <v>32000.0</v>
      </c>
      <c r="J281" s="21">
        <f t="shared" ref="J281:K281" si="125">SUM(J276:J280)</f>
        <v>56000</v>
      </c>
      <c r="K281" s="21">
        <f t="shared" si="125"/>
        <v>28000</v>
      </c>
      <c r="L281" s="21">
        <f>SUM(L276:L279)</f>
        <v>368000</v>
      </c>
    </row>
    <row r="282">
      <c r="A282" s="27" t="s">
        <v>40</v>
      </c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30">
        <f t="shared" ref="L282:L283" si="126">SUM(B282:K282)</f>
        <v>0</v>
      </c>
    </row>
    <row r="283">
      <c r="A283" s="23" t="s">
        <v>107</v>
      </c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6">
        <f t="shared" si="126"/>
        <v>0</v>
      </c>
    </row>
    <row r="284">
      <c r="A284" s="39" t="s">
        <v>22</v>
      </c>
      <c r="B284" s="40"/>
      <c r="C284" s="41"/>
      <c r="D284" s="41"/>
      <c r="E284" s="41"/>
      <c r="F284" s="41"/>
      <c r="G284" s="41"/>
      <c r="H284" s="41"/>
      <c r="I284" s="41"/>
      <c r="J284" s="41"/>
      <c r="K284" s="41"/>
      <c r="L284" s="41"/>
    </row>
    <row r="285">
      <c r="A285" s="59" t="s">
        <v>664</v>
      </c>
      <c r="B285" s="43"/>
      <c r="C285" s="44"/>
      <c r="D285" s="44"/>
      <c r="E285" s="45"/>
      <c r="F285" s="45"/>
      <c r="G285" s="45"/>
      <c r="H285" s="45"/>
      <c r="I285" s="45"/>
      <c r="J285" s="44"/>
      <c r="K285" s="44"/>
      <c r="L285" s="44"/>
    </row>
    <row r="286">
      <c r="A286" s="60" t="s">
        <v>665</v>
      </c>
      <c r="B286" s="46"/>
      <c r="C286" s="45"/>
      <c r="D286" s="45"/>
      <c r="E286" s="45"/>
      <c r="F286" s="45"/>
      <c r="G286" s="45"/>
      <c r="H286" s="44"/>
      <c r="I286" s="45"/>
      <c r="J286" s="44"/>
      <c r="K286" s="44"/>
      <c r="L286" s="44"/>
    </row>
    <row r="287">
      <c r="A287" s="60" t="s">
        <v>666</v>
      </c>
      <c r="B287" s="43"/>
      <c r="C287" s="45"/>
      <c r="D287" s="45">
        <v>1500.0</v>
      </c>
      <c r="E287" s="45" t="s">
        <v>668</v>
      </c>
      <c r="F287" s="45"/>
      <c r="G287" s="44"/>
      <c r="H287" s="44"/>
      <c r="I287" s="45">
        <v>3000.0</v>
      </c>
      <c r="J287" s="44"/>
      <c r="K287" s="44"/>
      <c r="L287" s="44"/>
    </row>
    <row r="288">
      <c r="A288" s="60" t="s">
        <v>667</v>
      </c>
      <c r="B288" s="46"/>
      <c r="C288" s="45"/>
      <c r="D288" s="45">
        <v>1500.0</v>
      </c>
      <c r="E288" s="45" t="s">
        <v>669</v>
      </c>
      <c r="F288" s="45"/>
      <c r="G288" s="44"/>
      <c r="H288" s="45"/>
      <c r="I288" s="45"/>
      <c r="J288" s="44"/>
      <c r="K288" s="44"/>
      <c r="L288" s="44"/>
    </row>
    <row r="289">
      <c r="A289" s="1" t="s">
        <v>0</v>
      </c>
      <c r="B289" s="2" t="s">
        <v>1</v>
      </c>
      <c r="C289" s="3" t="s">
        <v>90</v>
      </c>
      <c r="D289" s="3" t="s">
        <v>3</v>
      </c>
      <c r="E289" s="3"/>
      <c r="F289" s="3" t="s">
        <v>58</v>
      </c>
      <c r="G289" s="3" t="s">
        <v>91</v>
      </c>
      <c r="H289" s="3" t="s">
        <v>6</v>
      </c>
      <c r="I289" s="1" t="s">
        <v>515</v>
      </c>
      <c r="J289" s="4" t="s">
        <v>92</v>
      </c>
      <c r="K289" s="4" t="s">
        <v>93</v>
      </c>
      <c r="L289" s="1" t="s">
        <v>0</v>
      </c>
    </row>
    <row r="290">
      <c r="A290" s="47" t="s">
        <v>23</v>
      </c>
      <c r="B290" s="48"/>
      <c r="C290" s="49"/>
      <c r="D290" s="49"/>
      <c r="E290" s="49"/>
      <c r="F290" s="49"/>
      <c r="G290" s="49"/>
      <c r="H290" s="49"/>
      <c r="I290" s="49"/>
      <c r="J290" s="49"/>
      <c r="K290" s="49"/>
      <c r="L290" s="47" t="s">
        <v>24</v>
      </c>
    </row>
    <row r="291">
      <c r="A291" s="61" t="s">
        <v>664</v>
      </c>
      <c r="B291" s="54">
        <f t="shared" ref="B291:D291" si="127">B276-B285</f>
        <v>13500</v>
      </c>
      <c r="C291" s="52">
        <f t="shared" si="127"/>
        <v>9500</v>
      </c>
      <c r="D291" s="62">
        <f t="shared" si="127"/>
        <v>10000</v>
      </c>
      <c r="E291" s="52"/>
      <c r="F291" s="52">
        <f t="shared" ref="F291:K291" si="128">F276-F285</f>
        <v>8000</v>
      </c>
      <c r="G291" s="62">
        <f t="shared" si="128"/>
        <v>7000</v>
      </c>
      <c r="H291" s="62">
        <f t="shared" si="128"/>
        <v>15000</v>
      </c>
      <c r="I291" s="52">
        <f t="shared" si="128"/>
        <v>8000</v>
      </c>
      <c r="J291" s="52">
        <f t="shared" si="128"/>
        <v>14000</v>
      </c>
      <c r="K291" s="62">
        <f t="shared" si="128"/>
        <v>7000</v>
      </c>
      <c r="L291" s="53">
        <f t="shared" ref="L291:L294" si="131">SUM(B291:K291)</f>
        <v>92000</v>
      </c>
    </row>
    <row r="292">
      <c r="A292" s="63" t="s">
        <v>665</v>
      </c>
      <c r="B292" s="54">
        <f t="shared" ref="B292:D292" si="129">B277-B286</f>
        <v>13500</v>
      </c>
      <c r="C292" s="52">
        <f t="shared" si="129"/>
        <v>9500</v>
      </c>
      <c r="D292" s="62">
        <f t="shared" si="129"/>
        <v>10000</v>
      </c>
      <c r="E292" s="52"/>
      <c r="F292" s="52">
        <f t="shared" ref="F292:K292" si="130">F277-F286</f>
        <v>8000</v>
      </c>
      <c r="G292" s="62">
        <f t="shared" si="130"/>
        <v>7000</v>
      </c>
      <c r="H292" s="62">
        <f t="shared" si="130"/>
        <v>15000</v>
      </c>
      <c r="I292" s="62">
        <f t="shared" si="130"/>
        <v>8000</v>
      </c>
      <c r="J292" s="62">
        <f t="shared" si="130"/>
        <v>14000</v>
      </c>
      <c r="K292" s="62">
        <f t="shared" si="130"/>
        <v>7000</v>
      </c>
      <c r="L292" s="53">
        <f t="shared" si="131"/>
        <v>92000</v>
      </c>
    </row>
    <row r="293">
      <c r="A293" s="63" t="s">
        <v>666</v>
      </c>
      <c r="B293" s="54">
        <f t="shared" ref="B293:D293" si="132">B278-B287</f>
        <v>13500</v>
      </c>
      <c r="C293" s="67">
        <f t="shared" si="132"/>
        <v>9500</v>
      </c>
      <c r="D293" s="69">
        <f t="shared" si="132"/>
        <v>8500</v>
      </c>
      <c r="E293" s="52"/>
      <c r="F293" s="52">
        <f t="shared" ref="F293:K293" si="133">F278-F287</f>
        <v>8000</v>
      </c>
      <c r="G293" s="69">
        <f t="shared" si="133"/>
        <v>7000</v>
      </c>
      <c r="H293" s="67">
        <f t="shared" si="133"/>
        <v>15000</v>
      </c>
      <c r="I293" s="62">
        <f t="shared" si="133"/>
        <v>5000</v>
      </c>
      <c r="J293" s="62">
        <f t="shared" si="133"/>
        <v>14000</v>
      </c>
      <c r="K293" s="62">
        <f t="shared" si="133"/>
        <v>7000</v>
      </c>
      <c r="L293" s="53">
        <f t="shared" si="131"/>
        <v>87500</v>
      </c>
    </row>
    <row r="294">
      <c r="A294" s="63" t="s">
        <v>667</v>
      </c>
      <c r="B294" s="54">
        <f>B279-B288+2700</f>
        <v>16200</v>
      </c>
      <c r="C294" s="62">
        <f>C279-C288+1580</f>
        <v>11080</v>
      </c>
      <c r="D294" s="62">
        <f>D278-D288+1660</f>
        <v>10160</v>
      </c>
      <c r="E294" s="62"/>
      <c r="F294" s="62">
        <f>F279-F288+3300</f>
        <v>11300</v>
      </c>
      <c r="G294" s="62">
        <f>G279-G288+1760</f>
        <v>8760</v>
      </c>
      <c r="H294" s="62">
        <f>H279-H288+2000</f>
        <v>17000</v>
      </c>
      <c r="I294" s="62">
        <f t="shared" ref="I294:J294" si="134">I279-I288</f>
        <v>8000</v>
      </c>
      <c r="J294" s="52">
        <f t="shared" si="134"/>
        <v>14000</v>
      </c>
      <c r="K294" s="62">
        <f>K279-K288+1160</f>
        <v>8160</v>
      </c>
      <c r="L294" s="53">
        <f t="shared" si="131"/>
        <v>104660</v>
      </c>
    </row>
    <row r="295">
      <c r="A295" s="63"/>
      <c r="B295" s="54"/>
      <c r="C295" s="62"/>
      <c r="D295" s="62"/>
      <c r="E295" s="62"/>
      <c r="F295" s="62"/>
      <c r="G295" s="62"/>
      <c r="H295" s="62"/>
      <c r="I295" s="62"/>
      <c r="J295" s="62">
        <v>14000.0</v>
      </c>
      <c r="K295" s="62"/>
      <c r="L295" s="52"/>
    </row>
    <row r="296">
      <c r="A296" s="63"/>
      <c r="B296" s="54"/>
      <c r="C296" s="62"/>
      <c r="D296" s="62"/>
      <c r="E296" s="62"/>
      <c r="F296" s="62"/>
      <c r="G296" s="62"/>
      <c r="H296" s="62"/>
      <c r="I296" s="62"/>
      <c r="J296" s="62"/>
      <c r="K296" s="62"/>
      <c r="L296" s="52"/>
    </row>
    <row r="297">
      <c r="B297" s="72">
        <v>13500.0</v>
      </c>
      <c r="C297" s="72">
        <v>9500.0</v>
      </c>
      <c r="D297" s="72">
        <v>8500.0</v>
      </c>
      <c r="E297" s="72"/>
      <c r="F297" s="72">
        <v>10000.0</v>
      </c>
      <c r="G297" s="72">
        <v>7000.0</v>
      </c>
      <c r="H297" s="72">
        <v>15000.0</v>
      </c>
      <c r="I297" s="72">
        <v>8000.0</v>
      </c>
      <c r="J297" s="72">
        <v>14000.0</v>
      </c>
      <c r="K297" s="72">
        <v>7500.0</v>
      </c>
    </row>
    <row r="299">
      <c r="A299" s="6" t="s">
        <v>187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8"/>
    </row>
    <row r="300">
      <c r="A300" s="55" t="s">
        <v>670</v>
      </c>
      <c r="B300" s="10">
        <v>13500.0</v>
      </c>
      <c r="C300" s="10">
        <v>9500.0</v>
      </c>
      <c r="D300" s="10">
        <f>D305/4</f>
        <v>10000</v>
      </c>
      <c r="E300" s="10"/>
      <c r="F300" s="10">
        <v>8000.0</v>
      </c>
      <c r="G300" s="10">
        <v>7000.0</v>
      </c>
      <c r="H300" s="10">
        <v>15000.0</v>
      </c>
      <c r="I300" s="10">
        <f>I305/4</f>
        <v>8000</v>
      </c>
      <c r="J300" s="10">
        <v>14000.0</v>
      </c>
      <c r="K300" s="10">
        <v>7000.0</v>
      </c>
      <c r="L300" s="13">
        <f t="shared" ref="L300:L304" si="135">SUM(B300:K300)</f>
        <v>92000</v>
      </c>
    </row>
    <row r="301">
      <c r="A301" s="15" t="s">
        <v>671</v>
      </c>
      <c r="B301" s="10">
        <v>13500.0</v>
      </c>
      <c r="C301" s="10">
        <v>9500.0</v>
      </c>
      <c r="D301" s="10">
        <f>D305/4</f>
        <v>10000</v>
      </c>
      <c r="E301" s="10"/>
      <c r="F301" s="10">
        <v>8000.0</v>
      </c>
      <c r="G301" s="10">
        <v>7000.0</v>
      </c>
      <c r="H301" s="10">
        <v>15000.0</v>
      </c>
      <c r="I301" s="10">
        <f>I305/4</f>
        <v>8000</v>
      </c>
      <c r="J301" s="10">
        <v>14000.0</v>
      </c>
      <c r="K301" s="10">
        <v>7000.0</v>
      </c>
      <c r="L301" s="13">
        <f t="shared" si="135"/>
        <v>92000</v>
      </c>
    </row>
    <row r="302">
      <c r="A302" s="15" t="s">
        <v>672</v>
      </c>
      <c r="B302" s="10">
        <v>13500.0</v>
      </c>
      <c r="C302" s="10">
        <v>9500.0</v>
      </c>
      <c r="D302" s="10">
        <f>D305/4</f>
        <v>10000</v>
      </c>
      <c r="E302" s="10"/>
      <c r="F302" s="10">
        <v>8000.0</v>
      </c>
      <c r="G302" s="10">
        <v>7000.0</v>
      </c>
      <c r="H302" s="10">
        <v>15000.0</v>
      </c>
      <c r="I302" s="10">
        <f>I305/4</f>
        <v>8000</v>
      </c>
      <c r="J302" s="10">
        <v>14000.0</v>
      </c>
      <c r="K302" s="10">
        <v>7000.0</v>
      </c>
      <c r="L302" s="13">
        <f t="shared" si="135"/>
        <v>92000</v>
      </c>
    </row>
    <row r="303">
      <c r="A303" s="15" t="s">
        <v>673</v>
      </c>
      <c r="B303" s="16">
        <v>13500.0</v>
      </c>
      <c r="C303" s="16">
        <v>9500.0</v>
      </c>
      <c r="D303" s="16">
        <f>D305/4</f>
        <v>10000</v>
      </c>
      <c r="E303" s="16"/>
      <c r="F303" s="16">
        <v>8000.0</v>
      </c>
      <c r="G303" s="16">
        <v>7000.0</v>
      </c>
      <c r="H303" s="16">
        <v>15000.0</v>
      </c>
      <c r="I303" s="16">
        <f>I305/4</f>
        <v>8000</v>
      </c>
      <c r="J303" s="16">
        <v>14000.0</v>
      </c>
      <c r="K303" s="16">
        <v>7000.0</v>
      </c>
      <c r="L303" s="19">
        <f t="shared" si="135"/>
        <v>92000</v>
      </c>
    </row>
    <row r="304">
      <c r="A304" s="15" t="s">
        <v>674</v>
      </c>
      <c r="B304" s="16">
        <v>13500.0</v>
      </c>
      <c r="C304" s="16">
        <v>9500.0</v>
      </c>
      <c r="D304" s="16">
        <v>10000.0</v>
      </c>
      <c r="E304" s="16"/>
      <c r="F304" s="16">
        <v>8000.0</v>
      </c>
      <c r="G304" s="16">
        <v>7000.0</v>
      </c>
      <c r="H304" s="16">
        <v>15000.0</v>
      </c>
      <c r="I304" s="16">
        <v>8000.0</v>
      </c>
      <c r="J304" s="16">
        <v>14000.0</v>
      </c>
      <c r="K304" s="16">
        <v>7000.0</v>
      </c>
      <c r="L304" s="19">
        <f t="shared" si="135"/>
        <v>92000</v>
      </c>
    </row>
    <row r="305">
      <c r="A305" s="20" t="s">
        <v>15</v>
      </c>
      <c r="B305" s="21">
        <f t="shared" ref="B305:C305" si="136">SUM(B300:B304)</f>
        <v>67500</v>
      </c>
      <c r="C305" s="21">
        <f t="shared" si="136"/>
        <v>47500</v>
      </c>
      <c r="D305" s="21">
        <v>40000.0</v>
      </c>
      <c r="E305" s="21"/>
      <c r="F305" s="21">
        <f t="shared" ref="F305:H305" si="137">SUM(F300:F304)</f>
        <v>40000</v>
      </c>
      <c r="G305" s="21">
        <f t="shared" si="137"/>
        <v>35000</v>
      </c>
      <c r="H305" s="21">
        <f t="shared" si="137"/>
        <v>75000</v>
      </c>
      <c r="I305" s="21">
        <v>32000.0</v>
      </c>
      <c r="J305" s="21">
        <f t="shared" ref="J305:K305" si="138">SUM(J300:J304)</f>
        <v>70000</v>
      </c>
      <c r="K305" s="21">
        <f t="shared" si="138"/>
        <v>35000</v>
      </c>
      <c r="L305" s="21">
        <f>SUM(L300:L303)</f>
        <v>368000</v>
      </c>
    </row>
    <row r="306">
      <c r="A306" s="27" t="s">
        <v>40</v>
      </c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30">
        <f t="shared" ref="L306:L307" si="139">SUM(B306:K306)</f>
        <v>0</v>
      </c>
    </row>
    <row r="307">
      <c r="A307" s="23" t="s">
        <v>675</v>
      </c>
      <c r="B307" s="24">
        <v>2700.0</v>
      </c>
      <c r="C307" s="24">
        <v>1580.0</v>
      </c>
      <c r="D307" s="24">
        <v>1660.0</v>
      </c>
      <c r="E307" s="24"/>
      <c r="F307" s="24">
        <v>1330.0</v>
      </c>
      <c r="G307" s="24"/>
      <c r="H307" s="24">
        <v>2500.0</v>
      </c>
      <c r="I307" s="24"/>
      <c r="J307" s="24">
        <v>2800.0</v>
      </c>
      <c r="K307" s="24">
        <v>1200.0</v>
      </c>
      <c r="L307" s="26">
        <f t="shared" si="139"/>
        <v>13770</v>
      </c>
    </row>
    <row r="308">
      <c r="A308" s="39" t="s">
        <v>22</v>
      </c>
      <c r="B308" s="40"/>
      <c r="C308" s="41"/>
      <c r="D308" s="41"/>
      <c r="E308" s="41"/>
      <c r="F308" s="41"/>
      <c r="G308" s="41"/>
      <c r="H308" s="41"/>
      <c r="I308" s="41"/>
      <c r="J308" s="41"/>
      <c r="K308" s="41"/>
      <c r="L308" s="41"/>
    </row>
    <row r="309">
      <c r="A309" s="59" t="s">
        <v>670</v>
      </c>
      <c r="B309" s="43"/>
      <c r="C309" s="44"/>
      <c r="D309" s="45">
        <v>1500.0</v>
      </c>
      <c r="E309" s="45" t="s">
        <v>676</v>
      </c>
      <c r="F309" s="45"/>
      <c r="G309" s="45"/>
      <c r="H309" s="45"/>
      <c r="I309" s="45"/>
      <c r="J309" s="44"/>
      <c r="K309" s="44"/>
      <c r="L309" s="44"/>
    </row>
    <row r="310">
      <c r="A310" s="60" t="s">
        <v>671</v>
      </c>
      <c r="B310" s="46"/>
      <c r="C310" s="45"/>
      <c r="D310" s="45">
        <v>1500.0</v>
      </c>
      <c r="E310" s="45" t="s">
        <v>677</v>
      </c>
      <c r="F310" s="45"/>
      <c r="G310" s="45"/>
      <c r="H310" s="44"/>
      <c r="I310" s="45"/>
      <c r="J310" s="44"/>
      <c r="K310" s="44"/>
      <c r="L310" s="44"/>
    </row>
    <row r="311">
      <c r="A311" s="60" t="s">
        <v>672</v>
      </c>
      <c r="B311" s="43"/>
      <c r="C311" s="45"/>
      <c r="D311" s="45">
        <v>1500.0</v>
      </c>
      <c r="E311" s="45" t="s">
        <v>678</v>
      </c>
      <c r="F311" s="45"/>
      <c r="G311" s="44"/>
      <c r="H311" s="44"/>
      <c r="I311" s="45"/>
      <c r="J311" s="44"/>
      <c r="K311" s="44"/>
      <c r="L311" s="44"/>
    </row>
    <row r="312">
      <c r="A312" s="60" t="s">
        <v>673</v>
      </c>
      <c r="B312" s="46"/>
      <c r="C312" s="45"/>
      <c r="D312" s="45">
        <v>1500.0</v>
      </c>
      <c r="E312" s="45" t="s">
        <v>679</v>
      </c>
      <c r="F312" s="45"/>
      <c r="G312" s="44"/>
      <c r="H312" s="45"/>
      <c r="I312" s="45"/>
      <c r="J312" s="44"/>
      <c r="K312" s="44"/>
      <c r="L312" s="44"/>
    </row>
    <row r="313">
      <c r="A313" s="60" t="s">
        <v>674</v>
      </c>
      <c r="B313" s="46"/>
      <c r="C313" s="45"/>
      <c r="D313" s="45">
        <v>1500.0</v>
      </c>
      <c r="E313" s="45" t="s">
        <v>680</v>
      </c>
      <c r="F313" s="45"/>
      <c r="G313" s="44"/>
      <c r="H313" s="45"/>
      <c r="I313" s="45"/>
      <c r="J313" s="44"/>
      <c r="K313" s="44"/>
      <c r="L313" s="44"/>
    </row>
    <row r="314">
      <c r="A314" s="1" t="s">
        <v>0</v>
      </c>
      <c r="B314" s="2" t="s">
        <v>1</v>
      </c>
      <c r="C314" s="3" t="s">
        <v>90</v>
      </c>
      <c r="D314" s="3" t="s">
        <v>3</v>
      </c>
      <c r="E314" s="3"/>
      <c r="F314" s="3" t="s">
        <v>58</v>
      </c>
      <c r="G314" s="3" t="s">
        <v>91</v>
      </c>
      <c r="H314" s="3" t="s">
        <v>6</v>
      </c>
      <c r="I314" s="1" t="s">
        <v>515</v>
      </c>
      <c r="J314" s="4" t="s">
        <v>92</v>
      </c>
      <c r="K314" s="4" t="s">
        <v>93</v>
      </c>
      <c r="L314" s="1" t="s">
        <v>0</v>
      </c>
    </row>
    <row r="315">
      <c r="A315" s="47" t="s">
        <v>23</v>
      </c>
      <c r="B315" s="48"/>
      <c r="C315" s="49"/>
      <c r="D315" s="49"/>
      <c r="E315" s="49"/>
      <c r="F315" s="49"/>
      <c r="G315" s="49"/>
      <c r="H315" s="49"/>
      <c r="I315" s="49"/>
      <c r="J315" s="49"/>
      <c r="K315" s="49"/>
      <c r="L315" s="47" t="s">
        <v>24</v>
      </c>
    </row>
    <row r="316">
      <c r="A316" s="61" t="s">
        <v>670</v>
      </c>
      <c r="B316" s="54">
        <f t="shared" ref="B316:D316" si="140">B300-B309</f>
        <v>13500</v>
      </c>
      <c r="C316" s="52">
        <f t="shared" si="140"/>
        <v>9500</v>
      </c>
      <c r="D316" s="62">
        <f t="shared" si="140"/>
        <v>8500</v>
      </c>
      <c r="E316" s="52"/>
      <c r="F316" s="52">
        <f t="shared" ref="F316:K316" si="141">F300-F309</f>
        <v>8000</v>
      </c>
      <c r="G316" s="62">
        <f t="shared" si="141"/>
        <v>7000</v>
      </c>
      <c r="H316" s="62">
        <f t="shared" si="141"/>
        <v>15000</v>
      </c>
      <c r="I316" s="52">
        <f t="shared" si="141"/>
        <v>8000</v>
      </c>
      <c r="J316" s="52">
        <f t="shared" si="141"/>
        <v>14000</v>
      </c>
      <c r="K316" s="62">
        <f t="shared" si="141"/>
        <v>7000</v>
      </c>
      <c r="L316" s="53">
        <f t="shared" ref="L316:L320" si="145">SUM(B316:K316)</f>
        <v>90500</v>
      </c>
    </row>
    <row r="317">
      <c r="A317" s="63" t="s">
        <v>671</v>
      </c>
      <c r="B317" s="54">
        <f t="shared" ref="B317:D317" si="142">B301-B310+B307</f>
        <v>16200</v>
      </c>
      <c r="C317" s="52">
        <f t="shared" si="142"/>
        <v>11080</v>
      </c>
      <c r="D317" s="62">
        <f t="shared" si="142"/>
        <v>10160</v>
      </c>
      <c r="E317" s="52"/>
      <c r="F317" s="52">
        <f>F301-F310+F307+1350</f>
        <v>10680</v>
      </c>
      <c r="G317" s="62">
        <f t="shared" ref="G317:H317" si="143">G301-G310+G307</f>
        <v>7000</v>
      </c>
      <c r="H317" s="62">
        <f t="shared" si="143"/>
        <v>17500</v>
      </c>
      <c r="I317" s="62">
        <f>I301-I310</f>
        <v>8000</v>
      </c>
      <c r="J317" s="62">
        <f t="shared" ref="J317:K317" si="144">J301-J310+J307</f>
        <v>16800</v>
      </c>
      <c r="K317" s="62">
        <f t="shared" si="144"/>
        <v>8200</v>
      </c>
      <c r="L317" s="53">
        <f t="shared" si="145"/>
        <v>105620</v>
      </c>
    </row>
    <row r="318">
      <c r="A318" s="63" t="s">
        <v>672</v>
      </c>
      <c r="B318" s="54">
        <f t="shared" ref="B318:D318" si="146">B302-B311</f>
        <v>13500</v>
      </c>
      <c r="C318" s="67">
        <f t="shared" si="146"/>
        <v>9500</v>
      </c>
      <c r="D318" s="69">
        <f t="shared" si="146"/>
        <v>8500</v>
      </c>
      <c r="E318" s="52"/>
      <c r="F318" s="52">
        <f t="shared" ref="F318:K318" si="147">F302-F311</f>
        <v>8000</v>
      </c>
      <c r="G318" s="69">
        <f t="shared" si="147"/>
        <v>7000</v>
      </c>
      <c r="H318" s="67">
        <f t="shared" si="147"/>
        <v>15000</v>
      </c>
      <c r="I318" s="62">
        <f t="shared" si="147"/>
        <v>8000</v>
      </c>
      <c r="J318" s="62">
        <f t="shared" si="147"/>
        <v>14000</v>
      </c>
      <c r="K318" s="62">
        <f t="shared" si="147"/>
        <v>7000</v>
      </c>
      <c r="L318" s="53">
        <f t="shared" si="145"/>
        <v>90500</v>
      </c>
    </row>
    <row r="319">
      <c r="A319" s="63" t="s">
        <v>673</v>
      </c>
      <c r="B319" s="54">
        <f t="shared" ref="B319:C319" si="148">B303-B312</f>
        <v>13500</v>
      </c>
      <c r="C319" s="62">
        <f t="shared" si="148"/>
        <v>9500</v>
      </c>
      <c r="D319" s="62">
        <f t="shared" ref="D319:D320" si="151">D302-D312</f>
        <v>8500</v>
      </c>
      <c r="E319" s="62"/>
      <c r="F319" s="62">
        <f t="shared" ref="F319:K319" si="149">F303-F312</f>
        <v>8000</v>
      </c>
      <c r="G319" s="62">
        <f t="shared" si="149"/>
        <v>7000</v>
      </c>
      <c r="H319" s="62">
        <f t="shared" si="149"/>
        <v>15000</v>
      </c>
      <c r="I319" s="62">
        <f t="shared" si="149"/>
        <v>8000</v>
      </c>
      <c r="J319" s="52">
        <f t="shared" si="149"/>
        <v>14000</v>
      </c>
      <c r="K319" s="62">
        <f t="shared" si="149"/>
        <v>7000</v>
      </c>
      <c r="L319" s="53">
        <f t="shared" si="145"/>
        <v>90500</v>
      </c>
    </row>
    <row r="320">
      <c r="A320" s="63" t="s">
        <v>674</v>
      </c>
      <c r="B320" s="54">
        <f t="shared" ref="B320:C320" si="150">B304-B313</f>
        <v>13500</v>
      </c>
      <c r="C320" s="62">
        <f t="shared" si="150"/>
        <v>9500</v>
      </c>
      <c r="D320" s="62">
        <f t="shared" si="151"/>
        <v>8500</v>
      </c>
      <c r="E320" s="62"/>
      <c r="F320" s="62">
        <f t="shared" ref="F320:I320" si="152">F304-F313</f>
        <v>8000</v>
      </c>
      <c r="G320" s="62">
        <f t="shared" si="152"/>
        <v>7000</v>
      </c>
      <c r="H320" s="62">
        <f t="shared" si="152"/>
        <v>15000</v>
      </c>
      <c r="I320" s="62">
        <f t="shared" si="152"/>
        <v>8000</v>
      </c>
      <c r="J320" s="62">
        <v>14000.0</v>
      </c>
      <c r="K320" s="62">
        <f>K304-K313</f>
        <v>7000</v>
      </c>
      <c r="L320" s="53">
        <f t="shared" si="145"/>
        <v>90500</v>
      </c>
    </row>
    <row r="321">
      <c r="A321" s="63"/>
      <c r="B321" s="54"/>
      <c r="C321" s="62"/>
      <c r="D321" s="62"/>
      <c r="E321" s="62"/>
      <c r="F321" s="62"/>
      <c r="G321" s="62"/>
      <c r="H321" s="62"/>
      <c r="I321" s="62"/>
      <c r="J321" s="62"/>
      <c r="K321" s="62"/>
      <c r="L321" s="52"/>
    </row>
    <row r="323">
      <c r="A323" s="1" t="s">
        <v>0</v>
      </c>
      <c r="B323" s="2" t="s">
        <v>1</v>
      </c>
      <c r="C323" s="3" t="s">
        <v>90</v>
      </c>
      <c r="D323" s="3" t="s">
        <v>3</v>
      </c>
      <c r="E323" s="3"/>
      <c r="F323" s="3" t="s">
        <v>58</v>
      </c>
      <c r="G323" s="3" t="s">
        <v>91</v>
      </c>
      <c r="H323" s="3" t="s">
        <v>6</v>
      </c>
      <c r="I323" s="1" t="s">
        <v>515</v>
      </c>
      <c r="J323" s="4" t="s">
        <v>92</v>
      </c>
      <c r="K323" s="4" t="s">
        <v>93</v>
      </c>
      <c r="L323" s="1" t="s">
        <v>0</v>
      </c>
    </row>
    <row r="324">
      <c r="A324" s="483" t="s">
        <v>681</v>
      </c>
      <c r="B324" s="484"/>
      <c r="C324" s="485"/>
      <c r="D324" s="485"/>
      <c r="E324" s="485"/>
      <c r="F324" s="483"/>
      <c r="G324" s="485"/>
      <c r="H324" s="485"/>
      <c r="I324" s="485"/>
      <c r="J324" s="485"/>
      <c r="K324" s="485"/>
      <c r="L324" s="483" t="s">
        <v>24</v>
      </c>
    </row>
    <row r="325">
      <c r="A325" s="486" t="s">
        <v>670</v>
      </c>
      <c r="B325" s="487"/>
      <c r="C325" s="488"/>
      <c r="D325" s="489"/>
      <c r="E325" s="488"/>
      <c r="F325" s="488"/>
      <c r="G325" s="489"/>
      <c r="H325" s="489"/>
      <c r="I325" s="488"/>
      <c r="J325" s="488"/>
      <c r="K325" s="489"/>
      <c r="L325" s="488"/>
    </row>
    <row r="326">
      <c r="A326" s="490" t="s">
        <v>671</v>
      </c>
      <c r="B326" s="487"/>
      <c r="C326" s="488"/>
      <c r="D326" s="489"/>
      <c r="E326" s="488"/>
      <c r="F326" s="488"/>
      <c r="G326" s="489"/>
      <c r="H326" s="489"/>
      <c r="I326" s="489"/>
      <c r="J326" s="489"/>
      <c r="K326" s="489"/>
      <c r="L326" s="488"/>
    </row>
    <row r="327">
      <c r="A327" s="490" t="s">
        <v>672</v>
      </c>
      <c r="B327" s="487">
        <v>13500.0</v>
      </c>
      <c r="C327" s="491">
        <v>6400.0</v>
      </c>
      <c r="D327" s="491">
        <v>10000.0</v>
      </c>
      <c r="E327" s="488"/>
      <c r="F327" s="489">
        <v>8000.0</v>
      </c>
      <c r="G327" s="491">
        <v>3500.0</v>
      </c>
      <c r="H327" s="491">
        <v>15000.0</v>
      </c>
      <c r="I327" s="489"/>
      <c r="J327" s="489">
        <v>14000.0</v>
      </c>
      <c r="K327" s="489">
        <v>4700.0</v>
      </c>
      <c r="L327" s="492">
        <f t="shared" ref="L327:L329" si="153">SUM(B327:K327)</f>
        <v>75100</v>
      </c>
    </row>
    <row r="328">
      <c r="A328" s="490" t="s">
        <v>682</v>
      </c>
      <c r="B328" s="487"/>
      <c r="C328" s="489"/>
      <c r="D328" s="489">
        <v>10000.0</v>
      </c>
      <c r="E328" s="489"/>
      <c r="F328" s="489">
        <v>8000.0</v>
      </c>
      <c r="G328" s="489"/>
      <c r="H328" s="489">
        <v>15000.0</v>
      </c>
      <c r="I328" s="489"/>
      <c r="J328" s="488"/>
      <c r="K328" s="489"/>
      <c r="L328" s="492">
        <f t="shared" si="153"/>
        <v>33000</v>
      </c>
    </row>
    <row r="329">
      <c r="A329" s="490" t="s">
        <v>683</v>
      </c>
      <c r="B329" s="487">
        <v>13500.0</v>
      </c>
      <c r="C329" s="491">
        <v>6400.0</v>
      </c>
      <c r="D329" s="491"/>
      <c r="E329" s="488"/>
      <c r="F329" s="489"/>
      <c r="G329" s="491">
        <v>3500.0</v>
      </c>
      <c r="H329" s="491"/>
      <c r="I329" s="489"/>
      <c r="J329" s="489">
        <v>14000.0</v>
      </c>
      <c r="K329" s="489">
        <v>4700.0</v>
      </c>
      <c r="L329" s="492">
        <f t="shared" si="153"/>
        <v>42100</v>
      </c>
    </row>
    <row r="330">
      <c r="A330" s="490" t="s">
        <v>120</v>
      </c>
      <c r="B330" s="487">
        <v>27000.0</v>
      </c>
      <c r="C330" s="489"/>
      <c r="D330" s="489"/>
      <c r="E330" s="489"/>
      <c r="F330" s="489"/>
      <c r="G330" s="489"/>
      <c r="H330" s="489"/>
      <c r="I330" s="489"/>
      <c r="J330" s="489"/>
      <c r="K330" s="489"/>
      <c r="L330" s="488"/>
    </row>
    <row r="331">
      <c r="K331" s="72" t="s">
        <v>684</v>
      </c>
    </row>
    <row r="333">
      <c r="A333" s="493" t="s">
        <v>685</v>
      </c>
    </row>
    <row r="334">
      <c r="A334" s="494" t="s">
        <v>686</v>
      </c>
    </row>
    <row r="336">
      <c r="A336" s="495" t="s">
        <v>687</v>
      </c>
      <c r="B336" s="496"/>
    </row>
    <row r="337">
      <c r="A337" s="497" t="s">
        <v>109</v>
      </c>
      <c r="B337" s="497" t="s">
        <v>688</v>
      </c>
    </row>
    <row r="338">
      <c r="A338" s="497" t="s">
        <v>58</v>
      </c>
      <c r="B338" s="497" t="s">
        <v>689</v>
      </c>
    </row>
    <row r="339">
      <c r="A339" s="497" t="s">
        <v>690</v>
      </c>
      <c r="B339" s="497" t="s">
        <v>691</v>
      </c>
    </row>
    <row r="340">
      <c r="A340" s="497" t="s">
        <v>3</v>
      </c>
      <c r="B340" s="497" t="s">
        <v>692</v>
      </c>
    </row>
    <row r="342">
      <c r="A342" s="495" t="s">
        <v>693</v>
      </c>
      <c r="B342" s="496"/>
    </row>
    <row r="343">
      <c r="A343" s="497" t="s">
        <v>122</v>
      </c>
      <c r="B343" s="497" t="s">
        <v>694</v>
      </c>
    </row>
    <row r="344">
      <c r="A344" s="497" t="s">
        <v>91</v>
      </c>
      <c r="B344" s="497" t="s">
        <v>689</v>
      </c>
    </row>
    <row r="345">
      <c r="A345" s="497" t="s">
        <v>93</v>
      </c>
      <c r="B345" s="497" t="s">
        <v>691</v>
      </c>
    </row>
    <row r="346">
      <c r="A346" s="497" t="s">
        <v>6</v>
      </c>
      <c r="B346" s="497" t="s">
        <v>692</v>
      </c>
    </row>
  </sheetData>
  <mergeCells count="12">
    <mergeCell ref="A199:L199"/>
    <mergeCell ref="A224:L224"/>
    <mergeCell ref="A251:L251"/>
    <mergeCell ref="A275:L275"/>
    <mergeCell ref="A299:L299"/>
    <mergeCell ref="A2:L2"/>
    <mergeCell ref="A35:L35"/>
    <mergeCell ref="A62:L62"/>
    <mergeCell ref="A89:L89"/>
    <mergeCell ref="A117:L117"/>
    <mergeCell ref="A143:L143"/>
    <mergeCell ref="A169:L169"/>
  </mergeCell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71"/>
    <col customWidth="1" min="2" max="10" width="12.86"/>
    <col customWidth="1" min="11" max="12" width="18.14"/>
  </cols>
  <sheetData>
    <row r="1" ht="28.5" customHeight="1">
      <c r="A1" s="498">
        <v>2020.0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ht="18.0" customHeight="1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9</v>
      </c>
      <c r="G2" s="3" t="s">
        <v>5</v>
      </c>
      <c r="H2" s="3" t="s">
        <v>6</v>
      </c>
      <c r="I2" s="1" t="s">
        <v>10</v>
      </c>
      <c r="J2" s="4" t="s">
        <v>7</v>
      </c>
      <c r="K2" s="4" t="s">
        <v>8</v>
      </c>
      <c r="L2" s="5" t="s">
        <v>11</v>
      </c>
      <c r="M2" s="499"/>
      <c r="N2" s="500"/>
      <c r="O2" s="500"/>
      <c r="P2" s="500"/>
      <c r="Q2" s="500"/>
      <c r="R2" s="500"/>
      <c r="S2" s="500"/>
      <c r="T2" s="500"/>
      <c r="U2" s="500"/>
      <c r="V2" s="500"/>
      <c r="W2" s="500"/>
      <c r="X2" s="500"/>
      <c r="Y2" s="500"/>
      <c r="Z2" s="500"/>
      <c r="AA2" s="500"/>
      <c r="AB2" s="500"/>
      <c r="AC2" s="500"/>
      <c r="AD2" s="500"/>
      <c r="AE2" s="500"/>
    </row>
    <row r="3" ht="18.0" customHeight="1">
      <c r="A3" s="501" t="s">
        <v>12</v>
      </c>
      <c r="M3" s="502"/>
      <c r="N3" s="503"/>
      <c r="O3" s="503"/>
      <c r="P3" s="503"/>
      <c r="Q3" s="503"/>
      <c r="R3" s="503"/>
      <c r="S3" s="503"/>
      <c r="T3" s="503"/>
      <c r="U3" s="503"/>
      <c r="V3" s="503"/>
      <c r="W3" s="503"/>
      <c r="X3" s="503"/>
      <c r="Y3" s="503"/>
      <c r="Z3" s="503"/>
      <c r="AA3" s="503"/>
      <c r="AB3" s="503"/>
      <c r="AC3" s="503"/>
      <c r="AD3" s="503"/>
      <c r="AE3" s="503"/>
    </row>
    <row r="4" ht="18.0" customHeight="1">
      <c r="A4" s="504" t="s">
        <v>695</v>
      </c>
      <c r="B4" s="505">
        <v>7000.0</v>
      </c>
      <c r="C4" s="506">
        <v>6000.0</v>
      </c>
      <c r="D4" s="506">
        <v>5000.0</v>
      </c>
      <c r="E4" s="506">
        <v>4100.0</v>
      </c>
      <c r="F4" s="18">
        <v>7000.0</v>
      </c>
      <c r="G4" s="18">
        <v>4800.0</v>
      </c>
      <c r="H4" s="18">
        <v>4800.0</v>
      </c>
      <c r="I4" s="506">
        <v>3200.0</v>
      </c>
      <c r="J4" s="506">
        <v>0.0</v>
      </c>
      <c r="K4" s="506"/>
      <c r="L4" s="506"/>
      <c r="M4" s="507">
        <f>SUM(B4:I5)</f>
        <v>73500</v>
      </c>
      <c r="N4" s="503"/>
      <c r="O4" s="503"/>
      <c r="P4" s="503"/>
      <c r="Q4" s="503"/>
      <c r="R4" s="503"/>
      <c r="S4" s="503"/>
      <c r="T4" s="503"/>
      <c r="U4" s="503"/>
      <c r="V4" s="503"/>
      <c r="W4" s="503"/>
      <c r="X4" s="503"/>
      <c r="Y4" s="503"/>
      <c r="Z4" s="503"/>
      <c r="AA4" s="503"/>
      <c r="AB4" s="503"/>
      <c r="AC4" s="503"/>
      <c r="AD4" s="503"/>
      <c r="AE4" s="503"/>
    </row>
    <row r="5" ht="18.0" customHeight="1">
      <c r="A5" s="508" t="s">
        <v>119</v>
      </c>
      <c r="B5" s="509">
        <v>14000.0</v>
      </c>
      <c r="C5" s="510"/>
      <c r="D5" s="510"/>
      <c r="E5" s="510"/>
      <c r="F5" s="511">
        <v>9000.0</v>
      </c>
      <c r="G5" s="512">
        <v>3800.0</v>
      </c>
      <c r="H5" s="513">
        <v>4800.0</v>
      </c>
      <c r="I5" s="514"/>
      <c r="J5" s="514"/>
      <c r="K5" s="514"/>
      <c r="L5" s="514"/>
      <c r="M5" s="132"/>
      <c r="N5" s="503"/>
      <c r="O5" s="503"/>
      <c r="P5" s="503"/>
      <c r="Q5" s="503"/>
      <c r="R5" s="503"/>
      <c r="S5" s="503"/>
      <c r="T5" s="503"/>
      <c r="U5" s="503"/>
      <c r="V5" s="503"/>
      <c r="W5" s="503"/>
      <c r="X5" s="503"/>
      <c r="Y5" s="503"/>
      <c r="Z5" s="503"/>
      <c r="AA5" s="503"/>
      <c r="AB5" s="503"/>
      <c r="AC5" s="503"/>
      <c r="AD5" s="503"/>
      <c r="AE5" s="503"/>
    </row>
    <row r="6" ht="7.5" customHeight="1">
      <c r="A6" s="515"/>
      <c r="M6" s="502"/>
      <c r="N6" s="503"/>
      <c r="O6" s="503"/>
      <c r="P6" s="503"/>
      <c r="Q6" s="503"/>
      <c r="R6" s="503"/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/>
      <c r="AE6" s="503"/>
    </row>
    <row r="7" ht="18.0" customHeight="1">
      <c r="A7" s="516" t="s">
        <v>696</v>
      </c>
      <c r="B7" s="517">
        <v>0.0</v>
      </c>
      <c r="C7" s="506">
        <v>6000.0</v>
      </c>
      <c r="D7" s="18">
        <v>5000.0</v>
      </c>
      <c r="E7" s="506">
        <v>4100.0</v>
      </c>
      <c r="F7" s="506">
        <v>14000.0</v>
      </c>
      <c r="G7" s="506">
        <v>0.0</v>
      </c>
      <c r="H7" s="506">
        <v>4800.0</v>
      </c>
      <c r="I7" s="518">
        <v>4500.0</v>
      </c>
      <c r="J7" s="506">
        <v>8050.0</v>
      </c>
      <c r="K7" s="506"/>
      <c r="L7" s="506"/>
      <c r="M7" s="519">
        <f>SUM(B7:J8)</f>
        <v>48450</v>
      </c>
      <c r="N7" s="503"/>
      <c r="O7" s="503"/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/>
      <c r="AC7" s="503"/>
      <c r="AD7" s="503"/>
      <c r="AE7" s="503"/>
    </row>
    <row r="8" ht="18.0" customHeight="1">
      <c r="A8" s="520" t="s">
        <v>119</v>
      </c>
      <c r="B8" s="521"/>
      <c r="C8" s="522"/>
      <c r="D8" s="523"/>
      <c r="E8" s="522"/>
      <c r="F8" s="523"/>
      <c r="G8" s="523"/>
      <c r="H8" s="523"/>
      <c r="I8" s="524">
        <v>2000.0</v>
      </c>
      <c r="J8" s="525">
        <v>0.0</v>
      </c>
      <c r="K8" s="525"/>
      <c r="L8" s="525"/>
      <c r="M8" s="132"/>
      <c r="N8" s="503"/>
      <c r="O8" s="503"/>
      <c r="P8" s="503"/>
      <c r="Q8" s="503"/>
      <c r="R8" s="503"/>
      <c r="S8" s="503"/>
      <c r="T8" s="503"/>
      <c r="U8" s="503"/>
      <c r="V8" s="503"/>
      <c r="W8" s="503"/>
      <c r="X8" s="503"/>
      <c r="Y8" s="503"/>
      <c r="Z8" s="503"/>
      <c r="AA8" s="503"/>
      <c r="AB8" s="503"/>
      <c r="AC8" s="503"/>
      <c r="AD8" s="503"/>
      <c r="AE8" s="503"/>
    </row>
    <row r="9" ht="7.5" customHeight="1">
      <c r="A9" s="515"/>
      <c r="M9" s="502"/>
      <c r="N9" s="503"/>
      <c r="O9" s="503"/>
      <c r="P9" s="503"/>
      <c r="Q9" s="503"/>
      <c r="R9" s="503"/>
      <c r="S9" s="503"/>
      <c r="T9" s="503"/>
      <c r="U9" s="503"/>
      <c r="V9" s="503"/>
      <c r="W9" s="503"/>
      <c r="X9" s="503"/>
      <c r="Y9" s="503"/>
      <c r="Z9" s="503"/>
      <c r="AA9" s="503"/>
      <c r="AB9" s="503"/>
      <c r="AC9" s="503"/>
      <c r="AD9" s="503"/>
      <c r="AE9" s="503"/>
    </row>
    <row r="10" ht="18.0" customHeight="1">
      <c r="A10" s="516" t="s">
        <v>697</v>
      </c>
      <c r="B10" s="517">
        <v>0.0</v>
      </c>
      <c r="C10" s="506">
        <v>6000.0</v>
      </c>
      <c r="D10" s="518">
        <v>5000.0</v>
      </c>
      <c r="E10" s="506">
        <v>4100.0</v>
      </c>
      <c r="F10" s="506">
        <v>0.0</v>
      </c>
      <c r="G10" s="506">
        <v>10400.0</v>
      </c>
      <c r="H10" s="506">
        <v>5200.0</v>
      </c>
      <c r="I10" s="506">
        <v>0.0</v>
      </c>
      <c r="J10" s="506">
        <v>3850.0</v>
      </c>
      <c r="K10" s="506"/>
      <c r="L10" s="506">
        <v>9500.0</v>
      </c>
      <c r="M10" s="519">
        <f>SUM(B10:L11)</f>
        <v>54050</v>
      </c>
      <c r="N10" s="503"/>
      <c r="O10" s="503"/>
      <c r="P10" s="503"/>
      <c r="Q10" s="503"/>
      <c r="R10" s="503"/>
      <c r="S10" s="503"/>
      <c r="T10" s="503"/>
      <c r="U10" s="503"/>
      <c r="V10" s="503"/>
      <c r="W10" s="503"/>
      <c r="X10" s="503"/>
      <c r="Y10" s="503"/>
      <c r="Z10" s="503"/>
      <c r="AA10" s="503"/>
      <c r="AB10" s="503"/>
      <c r="AC10" s="503"/>
      <c r="AD10" s="503"/>
      <c r="AE10" s="503"/>
    </row>
    <row r="11" ht="18.0" customHeight="1">
      <c r="A11" s="520" t="s">
        <v>119</v>
      </c>
      <c r="B11" s="526"/>
      <c r="C11" s="510"/>
      <c r="D11" s="524">
        <v>10000.0</v>
      </c>
      <c r="E11" s="522"/>
      <c r="F11" s="510"/>
      <c r="G11" s="510"/>
      <c r="H11" s="510"/>
      <c r="I11" s="510"/>
      <c r="J11" s="510"/>
      <c r="K11" s="510"/>
      <c r="L11" s="510"/>
      <c r="M11" s="132"/>
      <c r="N11" s="503"/>
      <c r="O11" s="503"/>
      <c r="P11" s="503"/>
      <c r="Q11" s="503"/>
      <c r="R11" s="503"/>
      <c r="S11" s="503"/>
      <c r="T11" s="503"/>
      <c r="U11" s="503"/>
      <c r="V11" s="503"/>
      <c r="W11" s="503"/>
      <c r="X11" s="503"/>
      <c r="Y11" s="503"/>
      <c r="Z11" s="503"/>
      <c r="AA11" s="503"/>
      <c r="AB11" s="503"/>
      <c r="AC11" s="503"/>
      <c r="AD11" s="503"/>
      <c r="AE11" s="503"/>
    </row>
    <row r="12" ht="6.75" customHeight="1">
      <c r="A12" s="515"/>
      <c r="M12" s="502"/>
      <c r="N12" s="503"/>
      <c r="O12" s="503"/>
      <c r="P12" s="503"/>
      <c r="Q12" s="503"/>
      <c r="R12" s="503"/>
      <c r="S12" s="503"/>
      <c r="T12" s="503"/>
      <c r="U12" s="503"/>
      <c r="V12" s="503"/>
      <c r="W12" s="503"/>
      <c r="X12" s="503"/>
      <c r="Y12" s="503"/>
      <c r="Z12" s="503"/>
      <c r="AA12" s="503"/>
      <c r="AB12" s="503"/>
      <c r="AC12" s="503"/>
      <c r="AD12" s="503"/>
      <c r="AE12" s="503"/>
    </row>
    <row r="13" ht="18.0" customHeight="1">
      <c r="A13" s="516" t="s">
        <v>698</v>
      </c>
      <c r="B13" s="517">
        <v>7000.0</v>
      </c>
      <c r="C13" s="506">
        <v>6000.0</v>
      </c>
      <c r="D13" s="506">
        <v>0.0</v>
      </c>
      <c r="E13" s="506">
        <v>4100.0</v>
      </c>
      <c r="F13" s="506">
        <v>15600.0</v>
      </c>
      <c r="G13" s="506">
        <v>0.0</v>
      </c>
      <c r="H13" s="506">
        <v>5200.0</v>
      </c>
      <c r="I13" s="506">
        <v>0.0</v>
      </c>
      <c r="J13" s="506">
        <v>2300.0</v>
      </c>
      <c r="K13" s="506"/>
      <c r="L13" s="506"/>
      <c r="M13" s="519">
        <f>SUM(B13:J14)</f>
        <v>49800</v>
      </c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</row>
    <row r="14" ht="18.0" customHeight="1">
      <c r="A14" s="520" t="s">
        <v>119</v>
      </c>
      <c r="B14" s="521"/>
      <c r="C14" s="522"/>
      <c r="D14" s="522"/>
      <c r="E14" s="522"/>
      <c r="F14" s="522"/>
      <c r="G14" s="522"/>
      <c r="H14" s="527">
        <v>9600.0</v>
      </c>
      <c r="I14" s="522"/>
      <c r="J14" s="522"/>
      <c r="K14" s="522"/>
      <c r="L14" s="522"/>
      <c r="M14" s="132"/>
      <c r="N14" s="503"/>
      <c r="O14" s="503"/>
      <c r="P14" s="503"/>
      <c r="Q14" s="503"/>
      <c r="R14" s="503"/>
      <c r="S14" s="503"/>
      <c r="T14" s="503"/>
      <c r="U14" s="503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</row>
    <row r="15" ht="6.75" customHeight="1">
      <c r="A15" s="515"/>
      <c r="M15" s="502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/>
      <c r="AE15" s="503"/>
    </row>
    <row r="16" ht="18.0" customHeight="1">
      <c r="A16" s="516" t="s">
        <v>699</v>
      </c>
      <c r="B16" s="517">
        <v>7000.0</v>
      </c>
      <c r="C16" s="506">
        <v>6000.0</v>
      </c>
      <c r="D16" s="506">
        <v>0.0</v>
      </c>
      <c r="E16" s="506">
        <v>4100.0</v>
      </c>
      <c r="F16" s="506">
        <v>0.0</v>
      </c>
      <c r="G16" s="506">
        <f>5200+5600</f>
        <v>10800</v>
      </c>
      <c r="H16" s="506">
        <v>0.0</v>
      </c>
      <c r="I16" s="506">
        <v>4400.0</v>
      </c>
      <c r="J16" s="506">
        <v>0.0</v>
      </c>
      <c r="K16" s="506"/>
      <c r="L16" s="506"/>
      <c r="M16" s="519">
        <f>SUM(B16:J17)</f>
        <v>40500</v>
      </c>
      <c r="N16" s="503"/>
      <c r="O16" s="503"/>
      <c r="P16" s="503"/>
      <c r="Q16" s="503"/>
      <c r="R16" s="503"/>
      <c r="S16" s="503"/>
      <c r="T16" s="503"/>
      <c r="U16" s="503"/>
      <c r="V16" s="503"/>
      <c r="W16" s="503"/>
      <c r="X16" s="503"/>
      <c r="Y16" s="503"/>
      <c r="Z16" s="503"/>
      <c r="AA16" s="503"/>
      <c r="AB16" s="503"/>
      <c r="AC16" s="503"/>
      <c r="AD16" s="503"/>
      <c r="AE16" s="503"/>
    </row>
    <row r="17" ht="18.0" customHeight="1">
      <c r="A17" s="528" t="s">
        <v>119</v>
      </c>
      <c r="B17" s="526"/>
      <c r="C17" s="510"/>
      <c r="D17" s="510"/>
      <c r="E17" s="527">
        <v>8200.0</v>
      </c>
      <c r="F17" s="510"/>
      <c r="G17" s="510"/>
      <c r="H17" s="522"/>
      <c r="I17" s="510"/>
      <c r="J17" s="510"/>
      <c r="K17" s="510"/>
      <c r="L17" s="510"/>
      <c r="M17" s="132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</row>
    <row r="18" ht="15.75" customHeight="1">
      <c r="A18" s="501" t="s">
        <v>700</v>
      </c>
      <c r="M18" s="502"/>
      <c r="N18" s="503"/>
      <c r="O18" s="503"/>
      <c r="P18" s="503"/>
      <c r="Q18" s="503"/>
      <c r="R18" s="503"/>
      <c r="S18" s="503"/>
      <c r="T18" s="503"/>
      <c r="U18" s="503"/>
      <c r="V18" s="503"/>
      <c r="W18" s="503"/>
      <c r="X18" s="503"/>
      <c r="Y18" s="503"/>
      <c r="Z18" s="503"/>
      <c r="AA18" s="503"/>
      <c r="AB18" s="503"/>
      <c r="AC18" s="503"/>
      <c r="AD18" s="503"/>
      <c r="AE18" s="503"/>
    </row>
    <row r="19" ht="18.0" customHeight="1">
      <c r="A19" s="529" t="s">
        <v>701</v>
      </c>
      <c r="B19" s="530">
        <v>8100.0</v>
      </c>
      <c r="C19" s="531">
        <f>6000*1.15</f>
        <v>6900</v>
      </c>
      <c r="D19" s="531">
        <f>5000*1.15</f>
        <v>5750</v>
      </c>
      <c r="E19" s="532">
        <v>0.0</v>
      </c>
      <c r="F19" s="531">
        <f>(7000*1.15)+600</f>
        <v>8650</v>
      </c>
      <c r="G19" s="533">
        <f>(4800*1.15)+920</f>
        <v>6440</v>
      </c>
      <c r="H19" s="532">
        <v>0.0</v>
      </c>
      <c r="I19" s="531">
        <f>(4800*1.15)+460</f>
        <v>5980</v>
      </c>
      <c r="J19" s="533">
        <v>4900.0</v>
      </c>
      <c r="K19" s="534"/>
      <c r="L19" s="534"/>
      <c r="M19" s="519">
        <f>SUM(B19:J20)</f>
        <v>58520</v>
      </c>
      <c r="N19" s="503"/>
      <c r="O19" s="503"/>
      <c r="P19" s="503"/>
      <c r="Q19" s="503"/>
      <c r="R19" s="503"/>
      <c r="S19" s="503"/>
      <c r="T19" s="503"/>
      <c r="U19" s="503"/>
      <c r="V19" s="503"/>
      <c r="W19" s="503"/>
      <c r="X19" s="503"/>
      <c r="Y19" s="503"/>
      <c r="Z19" s="503"/>
      <c r="AA19" s="503"/>
      <c r="AB19" s="503"/>
      <c r="AC19" s="503"/>
      <c r="AD19" s="503"/>
      <c r="AE19" s="503"/>
    </row>
    <row r="20" ht="18.0" customHeight="1">
      <c r="A20" s="535" t="s">
        <v>119</v>
      </c>
      <c r="B20" s="536"/>
      <c r="C20" s="537"/>
      <c r="D20" s="537"/>
      <c r="E20" s="538"/>
      <c r="F20" s="539">
        <v>7000.0</v>
      </c>
      <c r="G20" s="527">
        <v>4800.0</v>
      </c>
      <c r="H20" s="537"/>
      <c r="I20" s="537"/>
      <c r="J20" s="537"/>
      <c r="K20" s="540"/>
      <c r="L20" s="540"/>
      <c r="M20" s="132"/>
      <c r="N20" s="503"/>
      <c r="O20" s="503"/>
      <c r="P20" s="503"/>
      <c r="Q20" s="503"/>
      <c r="R20" s="503"/>
      <c r="S20" s="503"/>
      <c r="T20" s="503"/>
      <c r="U20" s="503"/>
      <c r="V20" s="503"/>
      <c r="W20" s="503"/>
      <c r="X20" s="503"/>
      <c r="Y20" s="503"/>
      <c r="Z20" s="503"/>
      <c r="AA20" s="503"/>
      <c r="AB20" s="503"/>
      <c r="AC20" s="503"/>
      <c r="AD20" s="503"/>
      <c r="AE20" s="503"/>
    </row>
    <row r="21" ht="6.75" customHeight="1">
      <c r="A21" s="515"/>
      <c r="M21" s="502"/>
      <c r="N21" s="503"/>
      <c r="O21" s="503"/>
      <c r="P21" s="503"/>
      <c r="Q21" s="503"/>
      <c r="R21" s="503"/>
      <c r="S21" s="503"/>
      <c r="T21" s="503"/>
      <c r="U21" s="503"/>
      <c r="V21" s="503"/>
      <c r="W21" s="503"/>
      <c r="X21" s="503"/>
      <c r="Y21" s="503"/>
      <c r="Z21" s="503"/>
      <c r="AA21" s="503"/>
      <c r="AB21" s="503"/>
      <c r="AC21" s="503"/>
      <c r="AD21" s="503"/>
      <c r="AE21" s="503"/>
    </row>
    <row r="22" ht="18.0" customHeight="1">
      <c r="A22" s="529" t="s">
        <v>702</v>
      </c>
      <c r="B22" s="541">
        <f>7000*1.15</f>
        <v>8050</v>
      </c>
      <c r="C22" s="531">
        <f>6000*1.15</f>
        <v>6900</v>
      </c>
      <c r="D22" s="531">
        <f>5000*1.15</f>
        <v>5750</v>
      </c>
      <c r="E22" s="533">
        <v>0.0</v>
      </c>
      <c r="F22" s="531">
        <f>(7000*1.15)+600</f>
        <v>8650</v>
      </c>
      <c r="G22" s="533">
        <v>0.0</v>
      </c>
      <c r="H22" s="531">
        <f t="shared" ref="H22:I22" si="1">(4800*1.15)</f>
        <v>5520</v>
      </c>
      <c r="I22" s="531">
        <f t="shared" si="1"/>
        <v>5520</v>
      </c>
      <c r="J22" s="533">
        <v>4550.0</v>
      </c>
      <c r="K22" s="18"/>
      <c r="L22" s="18">
        <v>9500.0</v>
      </c>
      <c r="M22" s="519">
        <f>SUM(B22:L23)</f>
        <v>74400</v>
      </c>
      <c r="N22" s="503"/>
      <c r="O22" s="503"/>
      <c r="P22" s="503"/>
      <c r="Q22" s="503"/>
      <c r="R22" s="503"/>
      <c r="S22" s="503"/>
      <c r="T22" s="503"/>
      <c r="U22" s="503"/>
      <c r="V22" s="503"/>
      <c r="W22" s="503"/>
      <c r="X22" s="503"/>
      <c r="Y22" s="503"/>
      <c r="Z22" s="503"/>
      <c r="AA22" s="503"/>
      <c r="AB22" s="503"/>
      <c r="AC22" s="503"/>
      <c r="AD22" s="503"/>
      <c r="AE22" s="503"/>
    </row>
    <row r="23" ht="18.0" customHeight="1">
      <c r="A23" s="535" t="s">
        <v>119</v>
      </c>
      <c r="B23" s="526"/>
      <c r="C23" s="527">
        <v>12000.0</v>
      </c>
      <c r="D23" s="510"/>
      <c r="E23" s="510"/>
      <c r="F23" s="527">
        <v>7000.0</v>
      </c>
      <c r="G23" s="510"/>
      <c r="H23" s="522">
        <v>480.0</v>
      </c>
      <c r="I23" s="522">
        <v>480.0</v>
      </c>
      <c r="J23" s="542"/>
      <c r="K23" s="540"/>
      <c r="L23" s="540"/>
      <c r="M23" s="132"/>
      <c r="N23" s="503"/>
      <c r="O23" s="503"/>
      <c r="P23" s="503"/>
      <c r="Q23" s="503"/>
      <c r="R23" s="503"/>
      <c r="S23" s="503"/>
      <c r="T23" s="503"/>
      <c r="U23" s="503"/>
      <c r="V23" s="503"/>
      <c r="W23" s="503"/>
      <c r="X23" s="503"/>
      <c r="Y23" s="503"/>
      <c r="Z23" s="503"/>
      <c r="AA23" s="503"/>
      <c r="AB23" s="503"/>
      <c r="AC23" s="503"/>
      <c r="AD23" s="503"/>
      <c r="AE23" s="503"/>
    </row>
    <row r="24" ht="6.75" customHeight="1">
      <c r="A24" s="515"/>
      <c r="M24" s="502"/>
      <c r="N24" s="503"/>
      <c r="O24" s="503"/>
      <c r="P24" s="503"/>
      <c r="Q24" s="503"/>
      <c r="R24" s="503"/>
      <c r="S24" s="503"/>
      <c r="T24" s="503"/>
      <c r="U24" s="503"/>
      <c r="V24" s="503"/>
      <c r="W24" s="503"/>
      <c r="X24" s="503"/>
      <c r="Y24" s="503"/>
      <c r="Z24" s="503"/>
      <c r="AA24" s="503"/>
      <c r="AB24" s="503"/>
      <c r="AC24" s="503"/>
      <c r="AD24" s="503"/>
      <c r="AE24" s="503"/>
    </row>
    <row r="25" ht="18.0" customHeight="1">
      <c r="A25" s="529" t="s">
        <v>703</v>
      </c>
      <c r="B25" s="543">
        <f>7000*1.15</f>
        <v>8050</v>
      </c>
      <c r="C25" s="544">
        <v>0.0</v>
      </c>
      <c r="D25" s="545">
        <f>5000*1.15</f>
        <v>5750</v>
      </c>
      <c r="E25" s="544">
        <v>5000.0</v>
      </c>
      <c r="F25" s="544">
        <v>0.0</v>
      </c>
      <c r="G25" s="545">
        <f t="shared" ref="G25:I25" si="2">(4800*1.15)</f>
        <v>5520</v>
      </c>
      <c r="H25" s="545">
        <f t="shared" si="2"/>
        <v>5520</v>
      </c>
      <c r="I25" s="545">
        <f t="shared" si="2"/>
        <v>5520</v>
      </c>
      <c r="J25" s="544">
        <v>0.0</v>
      </c>
      <c r="K25" s="534"/>
      <c r="L25" s="534"/>
      <c r="M25" s="546">
        <f>SUM(B25:J25)</f>
        <v>35360</v>
      </c>
      <c r="N25" s="503"/>
      <c r="O25" s="503"/>
      <c r="P25" s="503"/>
      <c r="Q25" s="503"/>
      <c r="R25" s="503"/>
      <c r="S25" s="503"/>
      <c r="T25" s="503"/>
      <c r="U25" s="503"/>
      <c r="V25" s="503"/>
      <c r="W25" s="503"/>
      <c r="X25" s="503"/>
      <c r="Y25" s="503"/>
      <c r="Z25" s="503"/>
      <c r="AA25" s="503"/>
      <c r="AB25" s="503"/>
      <c r="AC25" s="503"/>
      <c r="AD25" s="503"/>
      <c r="AE25" s="503"/>
    </row>
    <row r="26" ht="9.0" customHeight="1">
      <c r="A26" s="547"/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7"/>
      <c r="N26" s="503"/>
      <c r="O26" s="503"/>
      <c r="P26" s="503"/>
      <c r="Q26" s="503"/>
      <c r="R26" s="503"/>
      <c r="S26" s="503"/>
      <c r="T26" s="503"/>
      <c r="U26" s="503"/>
      <c r="V26" s="503"/>
      <c r="W26" s="503"/>
      <c r="X26" s="503"/>
      <c r="Y26" s="503"/>
      <c r="Z26" s="503"/>
      <c r="AA26" s="503"/>
      <c r="AB26" s="503"/>
      <c r="AC26" s="503"/>
      <c r="AD26" s="503"/>
      <c r="AE26" s="503"/>
    </row>
    <row r="27" ht="18.0" customHeight="1">
      <c r="A27" s="548" t="s">
        <v>704</v>
      </c>
      <c r="B27" s="549">
        <f>7000*1.15</f>
        <v>8050</v>
      </c>
      <c r="C27" s="550">
        <v>0.0</v>
      </c>
      <c r="D27" s="551">
        <f>5000*1.15</f>
        <v>5750</v>
      </c>
      <c r="E27" s="552">
        <v>5000.0</v>
      </c>
      <c r="F27" s="551">
        <f>7000*1.15</f>
        <v>8050</v>
      </c>
      <c r="G27" s="551">
        <f t="shared" ref="G27:I27" si="3">(4800*1.15)</f>
        <v>5520</v>
      </c>
      <c r="H27" s="551">
        <f t="shared" si="3"/>
        <v>5520</v>
      </c>
      <c r="I27" s="551">
        <f t="shared" si="3"/>
        <v>5520</v>
      </c>
      <c r="J27" s="552">
        <v>2800.0</v>
      </c>
      <c r="K27" s="553"/>
      <c r="L27" s="553"/>
      <c r="M27" s="546">
        <f>SUM(B27:J27)</f>
        <v>46210</v>
      </c>
      <c r="N27" s="503"/>
      <c r="O27" s="503"/>
      <c r="P27" s="503"/>
      <c r="Q27" s="503"/>
      <c r="R27" s="503"/>
      <c r="S27" s="503"/>
      <c r="T27" s="503"/>
      <c r="U27" s="503"/>
      <c r="V27" s="503"/>
      <c r="W27" s="503"/>
      <c r="X27" s="503"/>
      <c r="Y27" s="503"/>
      <c r="Z27" s="503"/>
      <c r="AA27" s="503"/>
      <c r="AB27" s="503"/>
      <c r="AC27" s="503"/>
      <c r="AD27" s="503"/>
      <c r="AE27" s="503"/>
    </row>
    <row r="28" ht="18.0" customHeight="1">
      <c r="A28" s="501" t="s">
        <v>705</v>
      </c>
      <c r="M28" s="502"/>
      <c r="N28" s="503"/>
      <c r="O28" s="503"/>
      <c r="P28" s="503"/>
      <c r="Q28" s="503"/>
      <c r="R28" s="503"/>
      <c r="S28" s="503"/>
      <c r="T28" s="503"/>
      <c r="U28" s="503"/>
      <c r="V28" s="503"/>
      <c r="W28" s="503"/>
      <c r="X28" s="503"/>
      <c r="Y28" s="503"/>
      <c r="Z28" s="503"/>
      <c r="AA28" s="503"/>
      <c r="AB28" s="503"/>
      <c r="AC28" s="503"/>
      <c r="AD28" s="503"/>
      <c r="AE28" s="503"/>
    </row>
    <row r="29" ht="18.0" customHeight="1">
      <c r="A29" s="554" t="s">
        <v>706</v>
      </c>
      <c r="B29" s="555">
        <v>8500.0</v>
      </c>
      <c r="C29" s="556">
        <v>7250.0</v>
      </c>
      <c r="D29" s="556">
        <v>6050.0</v>
      </c>
      <c r="E29" s="556">
        <f t="shared" ref="E29:E33" si="4">5000*1.15</f>
        <v>5750</v>
      </c>
      <c r="F29" s="556">
        <v>8500.0</v>
      </c>
      <c r="G29" s="556">
        <v>5800.0</v>
      </c>
      <c r="H29" s="556">
        <v>5800.0</v>
      </c>
      <c r="I29" s="556">
        <v>5800.0</v>
      </c>
      <c r="J29" s="556">
        <v>2800.0</v>
      </c>
      <c r="K29" s="12">
        <v>700.0</v>
      </c>
      <c r="L29" s="12">
        <v>9500.0</v>
      </c>
      <c r="M29" s="557">
        <f t="shared" ref="M29:M33" si="5">SUM(B29:L29)</f>
        <v>66450</v>
      </c>
      <c r="N29" s="503"/>
      <c r="O29" s="503"/>
      <c r="P29" s="503"/>
      <c r="Q29" s="503"/>
      <c r="R29" s="503"/>
      <c r="S29" s="503"/>
      <c r="T29" s="503"/>
      <c r="U29" s="503"/>
      <c r="V29" s="503"/>
      <c r="W29" s="503"/>
      <c r="X29" s="503"/>
      <c r="Y29" s="503"/>
      <c r="Z29" s="503"/>
      <c r="AA29" s="503"/>
      <c r="AB29" s="503"/>
      <c r="AC29" s="503"/>
      <c r="AD29" s="503"/>
      <c r="AE29" s="503"/>
    </row>
    <row r="30" ht="18.0" customHeight="1">
      <c r="A30" s="558" t="s">
        <v>707</v>
      </c>
      <c r="B30" s="555">
        <v>8500.0</v>
      </c>
      <c r="C30" s="556">
        <v>7250.0</v>
      </c>
      <c r="D30" s="556">
        <v>6050.0</v>
      </c>
      <c r="E30" s="556">
        <f t="shared" si="4"/>
        <v>5750</v>
      </c>
      <c r="F30" s="556">
        <v>8500.0</v>
      </c>
      <c r="G30" s="556">
        <v>5800.0</v>
      </c>
      <c r="H30" s="556">
        <v>5800.0</v>
      </c>
      <c r="I30" s="556">
        <v>5800.0</v>
      </c>
      <c r="J30" s="556">
        <v>0.0</v>
      </c>
      <c r="K30" s="12">
        <v>700.0</v>
      </c>
      <c r="L30" s="12"/>
      <c r="M30" s="557">
        <f t="shared" si="5"/>
        <v>54150</v>
      </c>
      <c r="N30" s="503"/>
      <c r="O30" s="503"/>
      <c r="P30" s="503"/>
      <c r="Q30" s="503"/>
      <c r="R30" s="503"/>
      <c r="S30" s="503"/>
      <c r="T30" s="503"/>
      <c r="U30" s="503"/>
      <c r="V30" s="503"/>
      <c r="W30" s="503"/>
      <c r="X30" s="503"/>
      <c r="Y30" s="503"/>
      <c r="Z30" s="503"/>
      <c r="AA30" s="503"/>
      <c r="AB30" s="503"/>
      <c r="AC30" s="503"/>
      <c r="AD30" s="503"/>
      <c r="AE30" s="503"/>
    </row>
    <row r="31" ht="18.0" customHeight="1">
      <c r="A31" s="559" t="s">
        <v>708</v>
      </c>
      <c r="B31" s="555">
        <v>8500.0</v>
      </c>
      <c r="C31" s="556">
        <v>7250.0</v>
      </c>
      <c r="D31" s="556">
        <v>6050.0</v>
      </c>
      <c r="E31" s="556">
        <f t="shared" si="4"/>
        <v>5750</v>
      </c>
      <c r="F31" s="556">
        <v>8500.0</v>
      </c>
      <c r="G31" s="556">
        <v>5800.0</v>
      </c>
      <c r="H31" s="556">
        <v>5800.0</v>
      </c>
      <c r="I31" s="556">
        <v>5800.0</v>
      </c>
      <c r="J31" s="560">
        <v>0.0</v>
      </c>
      <c r="K31" s="561">
        <v>0.0</v>
      </c>
      <c r="L31" s="12"/>
      <c r="M31" s="557">
        <f t="shared" si="5"/>
        <v>53450</v>
      </c>
      <c r="N31" s="503"/>
      <c r="O31" s="503"/>
      <c r="P31" s="503"/>
      <c r="Q31" s="503"/>
      <c r="R31" s="503"/>
      <c r="S31" s="503"/>
      <c r="T31" s="503"/>
      <c r="U31" s="503"/>
      <c r="V31" s="503"/>
      <c r="W31" s="503"/>
      <c r="X31" s="503"/>
      <c r="Y31" s="503"/>
      <c r="Z31" s="503"/>
      <c r="AA31" s="503"/>
      <c r="AB31" s="503"/>
      <c r="AC31" s="503"/>
      <c r="AD31" s="503"/>
      <c r="AE31" s="503"/>
    </row>
    <row r="32" ht="18.0" customHeight="1">
      <c r="A32" s="559" t="s">
        <v>709</v>
      </c>
      <c r="B32" s="555">
        <v>8500.0</v>
      </c>
      <c r="C32" s="556">
        <v>7250.0</v>
      </c>
      <c r="D32" s="556">
        <v>6050.0</v>
      </c>
      <c r="E32" s="556">
        <f t="shared" si="4"/>
        <v>5750</v>
      </c>
      <c r="F32" s="556">
        <v>8500.0</v>
      </c>
      <c r="G32" s="556">
        <v>5800.0</v>
      </c>
      <c r="H32" s="556">
        <v>5800.0</v>
      </c>
      <c r="I32" s="556">
        <v>0.0</v>
      </c>
      <c r="J32" s="560">
        <v>0.0</v>
      </c>
      <c r="K32" s="561">
        <v>0.0</v>
      </c>
      <c r="L32" s="12"/>
      <c r="M32" s="557">
        <f t="shared" si="5"/>
        <v>47650</v>
      </c>
      <c r="N32" s="503"/>
      <c r="O32" s="503"/>
      <c r="P32" s="503"/>
      <c r="Q32" s="503"/>
      <c r="R32" s="503"/>
      <c r="S32" s="503"/>
      <c r="T32" s="503"/>
      <c r="U32" s="503"/>
      <c r="V32" s="503"/>
      <c r="W32" s="503"/>
      <c r="X32" s="503"/>
      <c r="Y32" s="503"/>
      <c r="Z32" s="503"/>
      <c r="AA32" s="503"/>
      <c r="AB32" s="503"/>
      <c r="AC32" s="503"/>
      <c r="AD32" s="503"/>
      <c r="AE32" s="503"/>
    </row>
    <row r="33" ht="18.0" customHeight="1">
      <c r="A33" s="562" t="s">
        <v>710</v>
      </c>
      <c r="B33" s="555">
        <v>8500.0</v>
      </c>
      <c r="C33" s="556">
        <v>7250.0</v>
      </c>
      <c r="D33" s="556">
        <v>6050.0</v>
      </c>
      <c r="E33" s="556">
        <f t="shared" si="4"/>
        <v>5750</v>
      </c>
      <c r="F33" s="556">
        <v>8500.0</v>
      </c>
      <c r="G33" s="556">
        <v>5800.0</v>
      </c>
      <c r="H33" s="556">
        <v>5800.0</v>
      </c>
      <c r="I33" s="556">
        <v>0.0</v>
      </c>
      <c r="J33" s="560"/>
      <c r="K33" s="561">
        <v>0.0</v>
      </c>
      <c r="L33" s="12"/>
      <c r="M33" s="557">
        <f t="shared" si="5"/>
        <v>47650</v>
      </c>
      <c r="N33" s="503"/>
      <c r="O33" s="503"/>
      <c r="P33" s="503"/>
      <c r="Q33" s="503"/>
      <c r="R33" s="503"/>
      <c r="S33" s="503"/>
      <c r="T33" s="503"/>
      <c r="U33" s="503"/>
      <c r="V33" s="503"/>
      <c r="W33" s="503"/>
      <c r="X33" s="503"/>
      <c r="Y33" s="503"/>
      <c r="Z33" s="503"/>
      <c r="AA33" s="503"/>
      <c r="AB33" s="503"/>
      <c r="AC33" s="503"/>
      <c r="AD33" s="503"/>
      <c r="AE33" s="503"/>
    </row>
    <row r="34" ht="18.0" customHeight="1">
      <c r="A34" s="501" t="s">
        <v>137</v>
      </c>
      <c r="M34" s="502"/>
      <c r="N34" s="503"/>
      <c r="O34" s="503"/>
      <c r="P34" s="503"/>
      <c r="Q34" s="503"/>
      <c r="R34" s="503"/>
      <c r="S34" s="503"/>
      <c r="T34" s="503"/>
      <c r="U34" s="503"/>
      <c r="V34" s="503"/>
      <c r="W34" s="503"/>
      <c r="X34" s="503"/>
      <c r="Y34" s="503"/>
      <c r="Z34" s="503"/>
      <c r="AA34" s="503"/>
      <c r="AB34" s="503"/>
      <c r="AC34" s="503"/>
      <c r="AD34" s="503"/>
      <c r="AE34" s="503"/>
    </row>
    <row r="35" ht="18.0" customHeight="1">
      <c r="A35" s="563" t="s">
        <v>711</v>
      </c>
      <c r="B35" s="564">
        <v>8500.0</v>
      </c>
      <c r="C35" s="565">
        <v>7250.0</v>
      </c>
      <c r="D35" s="565">
        <v>6050.0</v>
      </c>
      <c r="E35" s="565">
        <v>5750.0</v>
      </c>
      <c r="F35" s="565">
        <v>8500.0</v>
      </c>
      <c r="G35" s="565">
        <v>5800.0</v>
      </c>
      <c r="H35" s="565">
        <v>5800.0</v>
      </c>
      <c r="I35" s="566">
        <v>0.0</v>
      </c>
      <c r="J35" s="565">
        <v>2100.0</v>
      </c>
      <c r="K35" s="12">
        <v>0.0</v>
      </c>
      <c r="L35" s="12"/>
      <c r="M35" s="557">
        <f t="shared" ref="M35:M38" si="6">SUM(B35:L35)</f>
        <v>49750</v>
      </c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t="18.0" customHeight="1">
      <c r="A36" s="567" t="s">
        <v>712</v>
      </c>
      <c r="B36" s="564">
        <v>8500.0</v>
      </c>
      <c r="C36" s="565">
        <v>7250.0</v>
      </c>
      <c r="D36" s="565">
        <v>6050.0</v>
      </c>
      <c r="E36" s="565">
        <v>5750.0</v>
      </c>
      <c r="F36" s="565">
        <v>8500.0</v>
      </c>
      <c r="G36" s="565">
        <v>5800.0</v>
      </c>
      <c r="H36" s="565">
        <v>5800.0</v>
      </c>
      <c r="I36" s="566">
        <v>0.0</v>
      </c>
      <c r="J36" s="565">
        <v>0.0</v>
      </c>
      <c r="K36" s="12">
        <v>0.0</v>
      </c>
      <c r="L36" s="12">
        <v>9500.0</v>
      </c>
      <c r="M36" s="557">
        <f t="shared" si="6"/>
        <v>57150</v>
      </c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t="18.0" customHeight="1">
      <c r="A37" s="567" t="s">
        <v>713</v>
      </c>
      <c r="B37" s="564">
        <v>8500.0</v>
      </c>
      <c r="C37" s="565">
        <v>7250.0</v>
      </c>
      <c r="D37" s="565">
        <v>6050.0</v>
      </c>
      <c r="E37" s="565">
        <v>5750.0</v>
      </c>
      <c r="F37" s="565">
        <v>8500.0</v>
      </c>
      <c r="G37" s="565">
        <v>5800.0</v>
      </c>
      <c r="H37" s="565">
        <v>5800.0</v>
      </c>
      <c r="I37" s="566">
        <v>0.0</v>
      </c>
      <c r="J37" s="565">
        <v>0.0</v>
      </c>
      <c r="K37" s="12">
        <v>0.0</v>
      </c>
      <c r="L37" s="12"/>
      <c r="M37" s="557">
        <f t="shared" si="6"/>
        <v>47650</v>
      </c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ht="18.0" customHeight="1">
      <c r="A38" s="568" t="s">
        <v>714</v>
      </c>
      <c r="B38" s="564">
        <v>8500.0</v>
      </c>
      <c r="C38" s="565">
        <v>7250.0</v>
      </c>
      <c r="D38" s="565">
        <v>6050.0</v>
      </c>
      <c r="E38" s="565">
        <v>5750.0</v>
      </c>
      <c r="F38" s="565">
        <v>8500.0</v>
      </c>
      <c r="G38" s="565">
        <v>5800.0</v>
      </c>
      <c r="H38" s="565">
        <v>5800.0</v>
      </c>
      <c r="I38" s="566">
        <v>0.0</v>
      </c>
      <c r="J38" s="565">
        <v>2000.0</v>
      </c>
      <c r="K38" s="12">
        <v>0.0</v>
      </c>
      <c r="L38" s="12"/>
      <c r="M38" s="557">
        <f t="shared" si="6"/>
        <v>49650</v>
      </c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ht="18.0" customHeight="1">
      <c r="A39" s="501" t="s">
        <v>715</v>
      </c>
      <c r="M39" s="502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ht="18.0" customHeight="1">
      <c r="A40" s="569" t="s">
        <v>716</v>
      </c>
      <c r="B40" s="555">
        <v>8500.0</v>
      </c>
      <c r="C40" s="556">
        <v>7250.0</v>
      </c>
      <c r="D40" s="556">
        <v>6050.0</v>
      </c>
      <c r="E40" s="556">
        <v>5750.0</v>
      </c>
      <c r="F40" s="556">
        <v>8500.0</v>
      </c>
      <c r="G40" s="556">
        <v>5800.0</v>
      </c>
      <c r="H40" s="556">
        <v>5800.0</v>
      </c>
      <c r="I40" s="556">
        <v>0.0</v>
      </c>
      <c r="J40" s="556">
        <v>2000.0</v>
      </c>
      <c r="K40" s="570">
        <v>0.0</v>
      </c>
      <c r="L40" s="12">
        <v>0.0</v>
      </c>
      <c r="M40" s="557">
        <f t="shared" ref="M40:M43" si="7">SUM(B40:L40)</f>
        <v>49650</v>
      </c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ht="18.0" customHeight="1">
      <c r="A41" s="571" t="s">
        <v>717</v>
      </c>
      <c r="B41" s="555">
        <v>8500.0</v>
      </c>
      <c r="C41" s="556">
        <v>7250.0</v>
      </c>
      <c r="D41" s="556">
        <v>6050.0</v>
      </c>
      <c r="E41" s="556">
        <v>5750.0</v>
      </c>
      <c r="F41" s="556">
        <v>8500.0</v>
      </c>
      <c r="G41" s="556">
        <v>5800.0</v>
      </c>
      <c r="H41" s="556">
        <v>5800.0</v>
      </c>
      <c r="I41" s="556">
        <v>0.0</v>
      </c>
      <c r="J41" s="556">
        <v>2100.0</v>
      </c>
      <c r="K41" s="570">
        <v>0.0</v>
      </c>
      <c r="L41" s="12">
        <v>0.0</v>
      </c>
      <c r="M41" s="557">
        <f t="shared" si="7"/>
        <v>49750</v>
      </c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</row>
    <row r="42" ht="18.0" customHeight="1">
      <c r="A42" s="571" t="s">
        <v>718</v>
      </c>
      <c r="B42" s="555">
        <v>8500.0</v>
      </c>
      <c r="C42" s="556">
        <v>7250.0</v>
      </c>
      <c r="D42" s="556">
        <v>6050.0</v>
      </c>
      <c r="E42" s="556">
        <v>5750.0</v>
      </c>
      <c r="F42" s="556">
        <v>8500.0</v>
      </c>
      <c r="G42" s="556">
        <v>5800.0</v>
      </c>
      <c r="H42" s="556">
        <v>5800.0</v>
      </c>
      <c r="I42" s="560">
        <v>0.0</v>
      </c>
      <c r="J42" s="556">
        <v>4550.0</v>
      </c>
      <c r="K42" s="570">
        <v>0.0</v>
      </c>
      <c r="L42" s="12">
        <v>0.0</v>
      </c>
      <c r="M42" s="557">
        <f t="shared" si="7"/>
        <v>52200</v>
      </c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</row>
    <row r="43" ht="18.0" customHeight="1">
      <c r="A43" s="572" t="s">
        <v>719</v>
      </c>
      <c r="B43" s="555">
        <v>8500.0</v>
      </c>
      <c r="C43" s="556">
        <v>7250.0</v>
      </c>
      <c r="D43" s="556">
        <v>6050.0</v>
      </c>
      <c r="E43" s="556">
        <v>5750.0</v>
      </c>
      <c r="F43" s="556">
        <v>8500.0</v>
      </c>
      <c r="G43" s="556">
        <v>5800.0</v>
      </c>
      <c r="H43" s="556">
        <v>5800.0</v>
      </c>
      <c r="I43" s="560">
        <v>0.0</v>
      </c>
      <c r="J43" s="560">
        <v>0.0</v>
      </c>
      <c r="K43" s="570">
        <v>0.0</v>
      </c>
      <c r="L43" s="12">
        <v>9500.0</v>
      </c>
      <c r="M43" s="573">
        <f t="shared" si="7"/>
        <v>57150</v>
      </c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</row>
    <row r="44" ht="18.0" customHeight="1">
      <c r="A44" s="20" t="s">
        <v>15</v>
      </c>
      <c r="B44" s="574">
        <f t="shared" ref="B44:L44" si="8">SUM(B40:B43)</f>
        <v>34000</v>
      </c>
      <c r="C44" s="574">
        <f t="shared" si="8"/>
        <v>29000</v>
      </c>
      <c r="D44" s="574">
        <f t="shared" si="8"/>
        <v>24200</v>
      </c>
      <c r="E44" s="574">
        <f t="shared" si="8"/>
        <v>23000</v>
      </c>
      <c r="F44" s="574">
        <f t="shared" si="8"/>
        <v>34000</v>
      </c>
      <c r="G44" s="574">
        <f t="shared" si="8"/>
        <v>23200</v>
      </c>
      <c r="H44" s="574">
        <f t="shared" si="8"/>
        <v>23200</v>
      </c>
      <c r="I44" s="574">
        <f t="shared" si="8"/>
        <v>0</v>
      </c>
      <c r="J44" s="574">
        <f t="shared" si="8"/>
        <v>8650</v>
      </c>
      <c r="K44" s="574">
        <f t="shared" si="8"/>
        <v>0</v>
      </c>
      <c r="L44" s="575">
        <f t="shared" si="8"/>
        <v>9500</v>
      </c>
      <c r="M44" s="22">
        <f>SUM(M40:M43)-101250</f>
        <v>107500</v>
      </c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</row>
    <row r="45" ht="18.0" customHeight="1">
      <c r="A45" s="23" t="s">
        <v>16</v>
      </c>
      <c r="B45" s="24">
        <v>16875.0</v>
      </c>
      <c r="C45" s="24">
        <v>16875.0</v>
      </c>
      <c r="D45" s="24">
        <v>16875.0</v>
      </c>
      <c r="E45" s="24">
        <v>16875.0</v>
      </c>
      <c r="F45" s="24">
        <v>16875.0</v>
      </c>
      <c r="G45" s="24">
        <v>0.0</v>
      </c>
      <c r="H45" s="24">
        <v>16875.0</v>
      </c>
      <c r="I45" s="24"/>
      <c r="J45" s="24"/>
      <c r="K45" s="24"/>
      <c r="L45" s="576"/>
      <c r="M45" s="26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</row>
    <row r="46" ht="18.0" customHeight="1">
      <c r="A46" s="23" t="s">
        <v>17</v>
      </c>
      <c r="B46" s="24">
        <f t="shared" ref="B46:K46" si="9">B44-(B45)</f>
        <v>17125</v>
      </c>
      <c r="C46" s="24">
        <f t="shared" si="9"/>
        <v>12125</v>
      </c>
      <c r="D46" s="24">
        <f t="shared" si="9"/>
        <v>7325</v>
      </c>
      <c r="E46" s="24">
        <f t="shared" si="9"/>
        <v>6125</v>
      </c>
      <c r="F46" s="24">
        <f t="shared" si="9"/>
        <v>17125</v>
      </c>
      <c r="G46" s="24">
        <f t="shared" si="9"/>
        <v>23200</v>
      </c>
      <c r="H46" s="24">
        <f t="shared" si="9"/>
        <v>6325</v>
      </c>
      <c r="I46" s="24">
        <f t="shared" si="9"/>
        <v>0</v>
      </c>
      <c r="J46" s="24">
        <f t="shared" si="9"/>
        <v>8650</v>
      </c>
      <c r="K46" s="24">
        <f t="shared" si="9"/>
        <v>0</v>
      </c>
      <c r="L46" s="576"/>
      <c r="M46" s="26"/>
      <c r="N46" s="577"/>
      <c r="O46" s="577"/>
      <c r="P46" s="577"/>
      <c r="Q46" s="577"/>
      <c r="R46" s="577"/>
      <c r="S46" s="577"/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  <c r="AE46" s="577"/>
    </row>
    <row r="47" ht="18.0" customHeight="1">
      <c r="A47" s="501" t="s">
        <v>52</v>
      </c>
      <c r="M47" s="502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</row>
    <row r="48" ht="18.0" customHeight="1">
      <c r="A48" s="578" t="s">
        <v>720</v>
      </c>
      <c r="B48" s="555">
        <v>8500.0</v>
      </c>
      <c r="C48" s="556">
        <v>7250.0</v>
      </c>
      <c r="D48" s="556">
        <v>6050.0</v>
      </c>
      <c r="E48" s="556">
        <v>5750.0</v>
      </c>
      <c r="F48" s="556">
        <v>8500.0</v>
      </c>
      <c r="G48" s="556">
        <v>5800.0</v>
      </c>
      <c r="H48" s="556">
        <v>5800.0</v>
      </c>
      <c r="I48" s="11">
        <v>0.0</v>
      </c>
      <c r="J48" s="11">
        <v>0.0</v>
      </c>
      <c r="K48" s="579"/>
      <c r="L48" s="12">
        <v>9500.0</v>
      </c>
      <c r="M48" s="557">
        <f t="shared" ref="M48:M52" si="10">SUM(B48:L48)</f>
        <v>57150</v>
      </c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</row>
    <row r="49" ht="18.0" customHeight="1">
      <c r="A49" s="580" t="s">
        <v>721</v>
      </c>
      <c r="B49" s="555">
        <v>8500.0</v>
      </c>
      <c r="C49" s="556">
        <v>7250.0</v>
      </c>
      <c r="D49" s="556">
        <v>6050.0</v>
      </c>
      <c r="E49" s="556">
        <v>5750.0</v>
      </c>
      <c r="F49" s="556">
        <v>8500.0</v>
      </c>
      <c r="G49" s="556">
        <v>5800.0</v>
      </c>
      <c r="H49" s="556">
        <v>5800.0</v>
      </c>
      <c r="I49" s="11">
        <v>0.0</v>
      </c>
      <c r="J49" s="11">
        <v>0.0</v>
      </c>
      <c r="K49" s="579"/>
      <c r="L49" s="12"/>
      <c r="M49" s="557">
        <f t="shared" si="10"/>
        <v>47650</v>
      </c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</row>
    <row r="50" ht="18.0" customHeight="1">
      <c r="A50" s="580" t="s">
        <v>722</v>
      </c>
      <c r="B50" s="555">
        <v>8500.0</v>
      </c>
      <c r="C50" s="556">
        <v>7250.0</v>
      </c>
      <c r="D50" s="556">
        <v>6050.0</v>
      </c>
      <c r="E50" s="556">
        <v>5750.0</v>
      </c>
      <c r="F50" s="556">
        <v>8500.0</v>
      </c>
      <c r="G50" s="556">
        <v>5800.0</v>
      </c>
      <c r="H50" s="556">
        <v>5800.0</v>
      </c>
      <c r="I50" s="11">
        <v>0.0</v>
      </c>
      <c r="J50" s="11">
        <v>0.0</v>
      </c>
      <c r="K50" s="579"/>
      <c r="L50" s="12"/>
      <c r="M50" s="557">
        <f t="shared" si="10"/>
        <v>47650</v>
      </c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</row>
    <row r="51" ht="18.0" customHeight="1">
      <c r="A51" s="580" t="s">
        <v>723</v>
      </c>
      <c r="B51" s="555">
        <v>8500.0</v>
      </c>
      <c r="C51" s="556">
        <v>7250.0</v>
      </c>
      <c r="D51" s="556">
        <v>6050.0</v>
      </c>
      <c r="E51" s="556">
        <v>5750.0</v>
      </c>
      <c r="F51" s="556">
        <v>8500.0</v>
      </c>
      <c r="G51" s="556">
        <v>5800.0</v>
      </c>
      <c r="H51" s="556">
        <v>5800.0</v>
      </c>
      <c r="I51" s="556">
        <v>2500.0</v>
      </c>
      <c r="J51" s="11">
        <v>0.0</v>
      </c>
      <c r="K51" s="579"/>
      <c r="L51" s="12"/>
      <c r="M51" s="557">
        <f t="shared" si="10"/>
        <v>50150</v>
      </c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</row>
    <row r="52" ht="18.0" customHeight="1">
      <c r="A52" s="581" t="s">
        <v>724</v>
      </c>
      <c r="B52" s="582">
        <v>8500.0</v>
      </c>
      <c r="C52" s="583">
        <v>7250.0</v>
      </c>
      <c r="D52" s="583">
        <v>6050.0</v>
      </c>
      <c r="E52" s="556">
        <v>5750.0</v>
      </c>
      <c r="F52" s="583">
        <v>8500.0</v>
      </c>
      <c r="G52" s="583">
        <v>5800.0</v>
      </c>
      <c r="H52" s="583">
        <v>5800.0</v>
      </c>
      <c r="I52" s="583">
        <v>2500.0</v>
      </c>
      <c r="J52" s="584">
        <v>0.0</v>
      </c>
      <c r="K52" s="585"/>
      <c r="L52" s="586"/>
      <c r="M52" s="573">
        <f t="shared" si="10"/>
        <v>50150</v>
      </c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</row>
    <row r="53" ht="18.0" customHeight="1">
      <c r="A53" s="20" t="s">
        <v>15</v>
      </c>
      <c r="B53" s="574">
        <f t="shared" ref="B53:H53" si="11">SUM(B48:B52)</f>
        <v>42500</v>
      </c>
      <c r="C53" s="574">
        <f t="shared" si="11"/>
        <v>36250</v>
      </c>
      <c r="D53" s="574">
        <f t="shared" si="11"/>
        <v>30250</v>
      </c>
      <c r="E53" s="574">
        <f t="shared" si="11"/>
        <v>28750</v>
      </c>
      <c r="F53" s="574">
        <f t="shared" si="11"/>
        <v>42500</v>
      </c>
      <c r="G53" s="574">
        <f t="shared" si="11"/>
        <v>29000</v>
      </c>
      <c r="H53" s="574">
        <f t="shared" si="11"/>
        <v>29000</v>
      </c>
      <c r="I53" s="574">
        <f t="shared" ref="I53:J53" si="12">SUM(I49:I52)</f>
        <v>5000</v>
      </c>
      <c r="J53" s="574">
        <f t="shared" si="12"/>
        <v>0</v>
      </c>
      <c r="K53" s="574"/>
      <c r="L53" s="575">
        <f>SUM(B53:J53)</f>
        <v>243250</v>
      </c>
      <c r="M53" s="22">
        <f>SUM(M48:M52)-101250</f>
        <v>151500</v>
      </c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</row>
    <row r="54" ht="18.0" customHeight="1">
      <c r="A54" s="23" t="s">
        <v>16</v>
      </c>
      <c r="B54" s="24">
        <v>16875.0</v>
      </c>
      <c r="C54" s="24">
        <v>16875.0</v>
      </c>
      <c r="D54" s="24">
        <v>16875.0</v>
      </c>
      <c r="E54" s="24">
        <v>16875.0</v>
      </c>
      <c r="F54" s="24">
        <v>16875.0</v>
      </c>
      <c r="G54" s="24">
        <f>16875*2</f>
        <v>33750</v>
      </c>
      <c r="H54" s="24">
        <v>16875.0</v>
      </c>
      <c r="I54" s="24"/>
      <c r="J54" s="24"/>
      <c r="K54" s="24"/>
      <c r="L54" s="576"/>
      <c r="M54" s="26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</row>
    <row r="55" ht="18.0" customHeight="1">
      <c r="A55" s="23" t="s">
        <v>17</v>
      </c>
      <c r="B55" s="24">
        <f t="shared" ref="B55:J55" si="13">B53-(B54)</f>
        <v>25625</v>
      </c>
      <c r="C55" s="24">
        <f t="shared" si="13"/>
        <v>19375</v>
      </c>
      <c r="D55" s="24">
        <f t="shared" si="13"/>
        <v>13375</v>
      </c>
      <c r="E55" s="24">
        <f t="shared" si="13"/>
        <v>11875</v>
      </c>
      <c r="F55" s="24">
        <f t="shared" si="13"/>
        <v>25625</v>
      </c>
      <c r="G55" s="24">
        <f t="shared" si="13"/>
        <v>-4750</v>
      </c>
      <c r="H55" s="24">
        <f t="shared" si="13"/>
        <v>12125</v>
      </c>
      <c r="I55" s="24">
        <f t="shared" si="13"/>
        <v>5000</v>
      </c>
      <c r="J55" s="24">
        <f t="shared" si="13"/>
        <v>0</v>
      </c>
      <c r="K55" s="24"/>
      <c r="L55" s="576"/>
      <c r="M55" s="26"/>
      <c r="N55" s="577"/>
      <c r="O55" s="577"/>
      <c r="P55" s="577"/>
      <c r="Q55" s="577"/>
      <c r="R55" s="577"/>
      <c r="S55" s="577"/>
      <c r="T55" s="577"/>
      <c r="U55" s="577"/>
      <c r="V55" s="577"/>
      <c r="W55" s="577"/>
      <c r="X55" s="577"/>
      <c r="Y55" s="577"/>
      <c r="Z55" s="577"/>
      <c r="AA55" s="577"/>
      <c r="AB55" s="577"/>
      <c r="AC55" s="577"/>
      <c r="AD55" s="577"/>
      <c r="AE55" s="577"/>
    </row>
    <row r="56" ht="18.0" customHeight="1">
      <c r="A56" s="515"/>
      <c r="B56" s="587"/>
      <c r="C56" s="17"/>
      <c r="D56" s="17"/>
      <c r="E56" s="17"/>
      <c r="F56" s="17"/>
      <c r="G56" s="17"/>
      <c r="H56" s="17"/>
      <c r="I56" s="17"/>
      <c r="J56" s="17"/>
      <c r="K56" s="585"/>
      <c r="L56" s="18"/>
      <c r="M56" s="19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</row>
    <row r="57" ht="18.0" customHeight="1">
      <c r="A57" s="588" t="s">
        <v>725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8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</row>
    <row r="58" ht="18.0" customHeight="1">
      <c r="A58" s="55" t="s">
        <v>726</v>
      </c>
      <c r="B58" s="556">
        <v>8500.0</v>
      </c>
      <c r="C58" s="556">
        <v>7250.0</v>
      </c>
      <c r="D58" s="556">
        <v>6050.0</v>
      </c>
      <c r="E58" s="556">
        <v>5750.0</v>
      </c>
      <c r="F58" s="556">
        <v>8500.0</v>
      </c>
      <c r="G58" s="556">
        <v>5800.0</v>
      </c>
      <c r="H58" s="556">
        <v>5800.0</v>
      </c>
      <c r="I58" s="556">
        <v>3000.0</v>
      </c>
      <c r="J58" s="11">
        <v>0.0</v>
      </c>
      <c r="K58" s="12"/>
      <c r="L58" s="12">
        <v>9500.0</v>
      </c>
      <c r="M58" s="557">
        <f t="shared" ref="M58:M61" si="14">SUM(B58:J58)</f>
        <v>50650</v>
      </c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</row>
    <row r="59" ht="18.0" customHeight="1">
      <c r="A59" s="15" t="s">
        <v>727</v>
      </c>
      <c r="B59" s="556">
        <v>8500.0</v>
      </c>
      <c r="C59" s="556">
        <v>7250.0</v>
      </c>
      <c r="D59" s="556">
        <v>6050.0</v>
      </c>
      <c r="E59" s="556">
        <v>5750.0</v>
      </c>
      <c r="F59" s="556">
        <v>8500.0</v>
      </c>
      <c r="G59" s="556">
        <v>5800.0</v>
      </c>
      <c r="H59" s="556">
        <v>5800.0</v>
      </c>
      <c r="I59" s="556">
        <v>3000.0</v>
      </c>
      <c r="J59" s="11">
        <v>0.0</v>
      </c>
      <c r="K59" s="12"/>
      <c r="L59" s="12">
        <v>5000.0</v>
      </c>
      <c r="M59" s="557">
        <f t="shared" si="14"/>
        <v>50650</v>
      </c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</row>
    <row r="60" ht="18.0" customHeight="1">
      <c r="A60" s="15" t="s">
        <v>728</v>
      </c>
      <c r="B60" s="556">
        <v>8500.0</v>
      </c>
      <c r="C60" s="556">
        <v>7250.0</v>
      </c>
      <c r="D60" s="556">
        <v>6050.0</v>
      </c>
      <c r="E60" s="556">
        <v>5750.0</v>
      </c>
      <c r="F60" s="556">
        <v>8500.0</v>
      </c>
      <c r="G60" s="556">
        <v>5800.0</v>
      </c>
      <c r="H60" s="556">
        <v>5800.0</v>
      </c>
      <c r="I60" s="556">
        <v>3000.0</v>
      </c>
      <c r="J60" s="11">
        <v>0.0</v>
      </c>
      <c r="K60" s="12"/>
      <c r="L60" s="12"/>
      <c r="M60" s="557">
        <f t="shared" si="14"/>
        <v>50650</v>
      </c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</row>
    <row r="61" ht="18.0" customHeight="1">
      <c r="A61" s="15" t="s">
        <v>729</v>
      </c>
      <c r="B61" s="589">
        <v>8500.0</v>
      </c>
      <c r="C61" s="589">
        <v>7250.0</v>
      </c>
      <c r="D61" s="589">
        <v>6050.0</v>
      </c>
      <c r="E61" s="583">
        <v>5750.0</v>
      </c>
      <c r="F61" s="589">
        <v>8500.0</v>
      </c>
      <c r="G61" s="589">
        <v>5800.0</v>
      </c>
      <c r="H61" s="589">
        <v>5800.0</v>
      </c>
      <c r="I61" s="583">
        <v>3000.0</v>
      </c>
      <c r="J61" s="584">
        <v>0.0</v>
      </c>
      <c r="K61" s="18"/>
      <c r="L61" s="18"/>
      <c r="M61" s="573">
        <f t="shared" si="14"/>
        <v>50650</v>
      </c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 ht="18.0" customHeight="1">
      <c r="A62" s="590" t="s">
        <v>730</v>
      </c>
      <c r="B62" s="591">
        <v>17000.0</v>
      </c>
      <c r="C62" s="591">
        <v>14500.0</v>
      </c>
      <c r="D62" s="591">
        <v>12100.0</v>
      </c>
      <c r="E62" s="591">
        <v>11500.0</v>
      </c>
      <c r="F62" s="591">
        <v>17000.0</v>
      </c>
      <c r="G62" s="591">
        <v>11600.0</v>
      </c>
      <c r="H62" s="591">
        <v>11600.0</v>
      </c>
      <c r="I62" s="591">
        <v>0.0</v>
      </c>
      <c r="J62" s="591">
        <v>0.0</v>
      </c>
      <c r="K62" s="586"/>
      <c r="L62" s="586"/>
      <c r="M62" s="592"/>
      <c r="N62" s="593"/>
      <c r="O62" s="593"/>
      <c r="P62" s="593"/>
      <c r="Q62" s="593"/>
      <c r="R62" s="593"/>
      <c r="S62" s="593"/>
      <c r="T62" s="593"/>
      <c r="U62" s="593"/>
      <c r="V62" s="593"/>
      <c r="W62" s="593"/>
      <c r="X62" s="593"/>
      <c r="Y62" s="593"/>
      <c r="Z62" s="593"/>
      <c r="AA62" s="593"/>
      <c r="AB62" s="593"/>
      <c r="AC62" s="593"/>
      <c r="AD62" s="593"/>
      <c r="AE62" s="593"/>
    </row>
    <row r="63" ht="18.0" customHeight="1">
      <c r="A63" s="20" t="s">
        <v>15</v>
      </c>
      <c r="B63" s="574">
        <f t="shared" ref="B63:D63" si="15">SUM(B58:B61)</f>
        <v>34000</v>
      </c>
      <c r="C63" s="574">
        <f t="shared" si="15"/>
        <v>29000</v>
      </c>
      <c r="D63" s="574">
        <f t="shared" si="15"/>
        <v>24200</v>
      </c>
      <c r="E63" s="574">
        <f>SUM(E58:E62)</f>
        <v>34500</v>
      </c>
      <c r="F63" s="574">
        <f t="shared" ref="F63:H63" si="16">SUM(F58:F61)</f>
        <v>34000</v>
      </c>
      <c r="G63" s="574">
        <f t="shared" si="16"/>
        <v>23200</v>
      </c>
      <c r="H63" s="574">
        <f t="shared" si="16"/>
        <v>23200</v>
      </c>
      <c r="I63" s="574">
        <f t="shared" ref="I63:J63" si="17">SUM(I59:I62)</f>
        <v>9000</v>
      </c>
      <c r="J63" s="574">
        <f t="shared" si="17"/>
        <v>0</v>
      </c>
      <c r="K63" s="574"/>
      <c r="L63" s="575">
        <f>SUM(B63:J63)</f>
        <v>211100</v>
      </c>
      <c r="M63" s="22">
        <f>SUM(M58:M62)-101250</f>
        <v>101350</v>
      </c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</row>
    <row r="64" ht="18.0" customHeight="1">
      <c r="A64" s="23" t="s">
        <v>16</v>
      </c>
      <c r="B64" s="24">
        <v>10475.0</v>
      </c>
      <c r="C64" s="24">
        <v>9463.0</v>
      </c>
      <c r="D64" s="24">
        <v>9075.0</v>
      </c>
      <c r="E64" s="24">
        <v>9075.0</v>
      </c>
      <c r="F64" s="24">
        <v>10410.0</v>
      </c>
      <c r="G64" s="24">
        <v>10410.0</v>
      </c>
      <c r="H64" s="24">
        <v>10410.0</v>
      </c>
      <c r="I64" s="24"/>
      <c r="J64" s="24"/>
      <c r="K64" s="24"/>
      <c r="L64" s="576"/>
      <c r="M64" s="26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</row>
    <row r="65" ht="18.0" customHeight="1">
      <c r="A65" s="27" t="s">
        <v>17</v>
      </c>
      <c r="B65" s="28">
        <f t="shared" ref="B65:J65" si="18">B63-(B64)</f>
        <v>23525</v>
      </c>
      <c r="C65" s="28">
        <f t="shared" si="18"/>
        <v>19537</v>
      </c>
      <c r="D65" s="28">
        <f t="shared" si="18"/>
        <v>15125</v>
      </c>
      <c r="E65" s="28">
        <f t="shared" si="18"/>
        <v>25425</v>
      </c>
      <c r="F65" s="28">
        <f t="shared" si="18"/>
        <v>23590</v>
      </c>
      <c r="G65" s="28">
        <f t="shared" si="18"/>
        <v>12790</v>
      </c>
      <c r="H65" s="28">
        <f t="shared" si="18"/>
        <v>12790</v>
      </c>
      <c r="I65" s="28">
        <f t="shared" si="18"/>
        <v>9000</v>
      </c>
      <c r="J65" s="28">
        <f t="shared" si="18"/>
        <v>0</v>
      </c>
      <c r="K65" s="28"/>
      <c r="L65" s="594"/>
      <c r="M65" s="30"/>
      <c r="N65" s="577"/>
      <c r="O65" s="577"/>
      <c r="P65" s="577"/>
      <c r="Q65" s="577"/>
      <c r="R65" s="577"/>
      <c r="S65" s="577"/>
      <c r="T65" s="577"/>
      <c r="U65" s="577"/>
      <c r="V65" s="577"/>
      <c r="W65" s="577"/>
      <c r="X65" s="577"/>
      <c r="Y65" s="577"/>
      <c r="Z65" s="577"/>
      <c r="AA65" s="577"/>
      <c r="AB65" s="577"/>
      <c r="AC65" s="577"/>
      <c r="AD65" s="577"/>
      <c r="AE65" s="577"/>
    </row>
    <row r="66" ht="18.0" customHeight="1">
      <c r="A66" s="37"/>
      <c r="B66" s="38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</row>
    <row r="67" ht="18.0" customHeight="1">
      <c r="A67" s="6" t="s">
        <v>80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8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</row>
    <row r="68" ht="18.0" customHeight="1">
      <c r="A68" s="55" t="s">
        <v>731</v>
      </c>
      <c r="B68" s="556">
        <v>8500.0</v>
      </c>
      <c r="C68" s="556">
        <v>7250.0</v>
      </c>
      <c r="D68" s="556">
        <v>6050.0</v>
      </c>
      <c r="E68" s="556">
        <v>5750.0</v>
      </c>
      <c r="F68" s="556">
        <v>8500.0</v>
      </c>
      <c r="G68" s="556">
        <v>5800.0</v>
      </c>
      <c r="H68" s="556">
        <v>5800.0</v>
      </c>
      <c r="I68" s="556">
        <v>3000.0</v>
      </c>
      <c r="J68" s="11">
        <v>0.0</v>
      </c>
      <c r="K68" s="12"/>
      <c r="L68" s="12">
        <v>9500.0</v>
      </c>
      <c r="M68" s="557">
        <f>SUM(B68:L68)</f>
        <v>60150</v>
      </c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</row>
    <row r="69" ht="18.0" customHeight="1">
      <c r="A69" s="15" t="s">
        <v>732</v>
      </c>
      <c r="B69" s="556">
        <v>8500.0</v>
      </c>
      <c r="C69" s="556">
        <v>7250.0</v>
      </c>
      <c r="D69" s="556">
        <v>6050.0</v>
      </c>
      <c r="E69" s="556">
        <v>5750.0</v>
      </c>
      <c r="F69" s="556">
        <v>8500.0</v>
      </c>
      <c r="G69" s="556">
        <v>5800.0</v>
      </c>
      <c r="H69" s="556">
        <v>5800.0</v>
      </c>
      <c r="I69" s="556">
        <v>3000.0</v>
      </c>
      <c r="J69" s="11">
        <v>0.0</v>
      </c>
      <c r="K69" s="12"/>
      <c r="L69" s="12"/>
      <c r="M69" s="557">
        <f t="shared" ref="M69:M71" si="19">SUM(B69:J69)</f>
        <v>50650</v>
      </c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</row>
    <row r="70" ht="18.0" customHeight="1">
      <c r="A70" s="15" t="s">
        <v>733</v>
      </c>
      <c r="B70" s="556">
        <v>8500.0</v>
      </c>
      <c r="C70" s="556">
        <v>7250.0</v>
      </c>
      <c r="D70" s="556">
        <v>6050.0</v>
      </c>
      <c r="E70" s="556">
        <v>5750.0</v>
      </c>
      <c r="F70" s="556">
        <v>8500.0</v>
      </c>
      <c r="G70" s="556">
        <v>5800.0</v>
      </c>
      <c r="H70" s="556">
        <v>5800.0</v>
      </c>
      <c r="I70" s="556">
        <v>3000.0</v>
      </c>
      <c r="J70" s="11">
        <v>0.0</v>
      </c>
      <c r="K70" s="12"/>
      <c r="L70" s="12"/>
      <c r="M70" s="557">
        <f t="shared" si="19"/>
        <v>50650</v>
      </c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</row>
    <row r="71" ht="18.0" customHeight="1">
      <c r="A71" s="15" t="s">
        <v>734</v>
      </c>
      <c r="B71" s="589">
        <v>8500.0</v>
      </c>
      <c r="C71" s="589">
        <v>7250.0</v>
      </c>
      <c r="D71" s="589">
        <v>6050.0</v>
      </c>
      <c r="E71" s="583">
        <v>5750.0</v>
      </c>
      <c r="F71" s="589">
        <v>8500.0</v>
      </c>
      <c r="G71" s="589">
        <v>5800.0</v>
      </c>
      <c r="H71" s="589">
        <v>5800.0</v>
      </c>
      <c r="I71" s="583">
        <v>3000.0</v>
      </c>
      <c r="J71" s="584">
        <v>0.0</v>
      </c>
      <c r="K71" s="18"/>
      <c r="L71" s="18"/>
      <c r="M71" s="573">
        <f t="shared" si="19"/>
        <v>50650</v>
      </c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</row>
    <row r="72" ht="18.0" customHeight="1">
      <c r="A72" s="20" t="s">
        <v>15</v>
      </c>
      <c r="B72" s="21">
        <f t="shared" ref="B72:H72" si="20">SUM(B68:B71)</f>
        <v>34000</v>
      </c>
      <c r="C72" s="21">
        <f t="shared" si="20"/>
        <v>29000</v>
      </c>
      <c r="D72" s="21">
        <f t="shared" si="20"/>
        <v>24200</v>
      </c>
      <c r="E72" s="21">
        <f t="shared" si="20"/>
        <v>23000</v>
      </c>
      <c r="F72" s="21">
        <f t="shared" si="20"/>
        <v>34000</v>
      </c>
      <c r="G72" s="21">
        <f t="shared" si="20"/>
        <v>23200</v>
      </c>
      <c r="H72" s="21">
        <f t="shared" si="20"/>
        <v>23200</v>
      </c>
      <c r="I72" s="21">
        <f t="shared" ref="I72:J72" si="21">SUM(I69:I71)</f>
        <v>9000</v>
      </c>
      <c r="J72" s="574">
        <f t="shared" si="21"/>
        <v>0</v>
      </c>
      <c r="K72" s="21"/>
      <c r="L72" s="575">
        <f>SUM(B72:J72)</f>
        <v>199600</v>
      </c>
      <c r="M72" s="22">
        <f>SUM(M68:M71)-101250</f>
        <v>110850</v>
      </c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</row>
    <row r="73" ht="18.0" customHeight="1">
      <c r="A73" s="23" t="s">
        <v>16</v>
      </c>
      <c r="B73" s="24">
        <v>10475.0</v>
      </c>
      <c r="C73" s="24">
        <v>9463.0</v>
      </c>
      <c r="D73" s="24">
        <v>9075.0</v>
      </c>
      <c r="E73" s="24">
        <v>9075.0</v>
      </c>
      <c r="F73" s="24">
        <v>10410.0</v>
      </c>
      <c r="G73" s="24">
        <v>10410.0</v>
      </c>
      <c r="H73" s="24">
        <v>10410.0</v>
      </c>
      <c r="I73" s="24"/>
      <c r="J73" s="24"/>
      <c r="K73" s="24"/>
      <c r="L73" s="576"/>
      <c r="M73" s="26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</row>
    <row r="74" ht="18.0" customHeight="1">
      <c r="A74" s="27" t="s">
        <v>17</v>
      </c>
      <c r="B74" s="28">
        <f t="shared" ref="B74:J74" si="22">B72-(B73)</f>
        <v>23525</v>
      </c>
      <c r="C74" s="28">
        <f t="shared" si="22"/>
        <v>19537</v>
      </c>
      <c r="D74" s="28">
        <f t="shared" si="22"/>
        <v>15125</v>
      </c>
      <c r="E74" s="28">
        <f t="shared" si="22"/>
        <v>13925</v>
      </c>
      <c r="F74" s="28">
        <f t="shared" si="22"/>
        <v>23590</v>
      </c>
      <c r="G74" s="28">
        <f t="shared" si="22"/>
        <v>12790</v>
      </c>
      <c r="H74" s="28">
        <f t="shared" si="22"/>
        <v>12790</v>
      </c>
      <c r="I74" s="28">
        <f t="shared" si="22"/>
        <v>9000</v>
      </c>
      <c r="J74" s="28">
        <f t="shared" si="22"/>
        <v>0</v>
      </c>
      <c r="K74" s="28"/>
      <c r="L74" s="594"/>
      <c r="M74" s="30"/>
      <c r="N74" s="577"/>
      <c r="O74" s="577"/>
      <c r="P74" s="577"/>
      <c r="Q74" s="577"/>
      <c r="R74" s="577"/>
      <c r="S74" s="577"/>
      <c r="T74" s="577"/>
      <c r="U74" s="577"/>
      <c r="V74" s="577"/>
      <c r="W74" s="577"/>
      <c r="X74" s="577"/>
      <c r="Y74" s="577"/>
      <c r="Z74" s="577"/>
      <c r="AA74" s="577"/>
      <c r="AB74" s="577"/>
      <c r="AC74" s="577"/>
      <c r="AD74" s="577"/>
      <c r="AE74" s="577"/>
    </row>
    <row r="75" ht="18.0" customHeight="1">
      <c r="A75" s="6" t="s">
        <v>94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</row>
    <row r="76" ht="18.0" customHeight="1">
      <c r="A76" s="55" t="s">
        <v>735</v>
      </c>
      <c r="B76" s="556">
        <v>8500.0</v>
      </c>
      <c r="C76" s="556">
        <v>7250.0</v>
      </c>
      <c r="D76" s="556">
        <v>6050.0</v>
      </c>
      <c r="E76" s="556">
        <v>5750.0</v>
      </c>
      <c r="F76" s="556">
        <v>8500.0</v>
      </c>
      <c r="G76" s="556">
        <v>5800.0</v>
      </c>
      <c r="H76" s="556">
        <v>5800.0</v>
      </c>
      <c r="I76" s="556">
        <v>3000.0</v>
      </c>
      <c r="J76" s="11">
        <v>0.0</v>
      </c>
      <c r="K76" s="12"/>
      <c r="L76" s="12">
        <v>9500.0</v>
      </c>
      <c r="M76" s="557">
        <f>SUM(B76:L76)</f>
        <v>60150</v>
      </c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ht="18.0" customHeight="1">
      <c r="A77" s="15" t="s">
        <v>736</v>
      </c>
      <c r="B77" s="556">
        <v>8500.0</v>
      </c>
      <c r="C77" s="556">
        <v>7250.0</v>
      </c>
      <c r="D77" s="556">
        <v>6050.0</v>
      </c>
      <c r="E77" s="556">
        <v>5750.0</v>
      </c>
      <c r="F77" s="556">
        <v>8500.0</v>
      </c>
      <c r="G77" s="556">
        <v>5800.0</v>
      </c>
      <c r="H77" s="556">
        <v>5800.0</v>
      </c>
      <c r="I77" s="556">
        <v>3000.0</v>
      </c>
      <c r="J77" s="11">
        <v>0.0</v>
      </c>
      <c r="K77" s="12"/>
      <c r="L77" s="12"/>
      <c r="M77" s="557">
        <f t="shared" ref="M77:M80" si="23">SUM(B77:J77)</f>
        <v>50650</v>
      </c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78" ht="18.0" customHeight="1">
      <c r="A78" s="15" t="s">
        <v>737</v>
      </c>
      <c r="B78" s="556">
        <v>8500.0</v>
      </c>
      <c r="C78" s="556">
        <v>7250.0</v>
      </c>
      <c r="D78" s="556">
        <v>6050.0</v>
      </c>
      <c r="E78" s="556">
        <v>5750.0</v>
      </c>
      <c r="F78" s="556">
        <v>8500.0</v>
      </c>
      <c r="G78" s="556">
        <v>5800.0</v>
      </c>
      <c r="H78" s="556">
        <v>5800.0</v>
      </c>
      <c r="I78" s="556">
        <v>3000.0</v>
      </c>
      <c r="J78" s="11">
        <v>0.0</v>
      </c>
      <c r="K78" s="12"/>
      <c r="L78" s="12"/>
      <c r="M78" s="557">
        <f t="shared" si="23"/>
        <v>50650</v>
      </c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</row>
    <row r="79" ht="18.0" customHeight="1">
      <c r="A79" s="15" t="s">
        <v>738</v>
      </c>
      <c r="B79" s="589">
        <v>8500.0</v>
      </c>
      <c r="C79" s="589">
        <v>7250.0</v>
      </c>
      <c r="D79" s="589">
        <v>6050.0</v>
      </c>
      <c r="E79" s="589">
        <v>5750.0</v>
      </c>
      <c r="F79" s="589">
        <v>8500.0</v>
      </c>
      <c r="G79" s="589">
        <v>5800.0</v>
      </c>
      <c r="H79" s="589">
        <v>5800.0</v>
      </c>
      <c r="I79" s="589">
        <v>3000.0</v>
      </c>
      <c r="J79" s="17">
        <v>0.0</v>
      </c>
      <c r="K79" s="18"/>
      <c r="L79" s="18"/>
      <c r="M79" s="573">
        <f t="shared" si="23"/>
        <v>50650</v>
      </c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</row>
    <row r="80" ht="18.0" customHeight="1">
      <c r="A80" s="32" t="s">
        <v>739</v>
      </c>
      <c r="B80" s="595">
        <v>8500.0</v>
      </c>
      <c r="C80" s="596">
        <v>7250.0</v>
      </c>
      <c r="D80" s="596">
        <v>6050.0</v>
      </c>
      <c r="E80" s="596">
        <v>5750.0</v>
      </c>
      <c r="F80" s="596">
        <v>8500.0</v>
      </c>
      <c r="G80" s="596">
        <v>5800.0</v>
      </c>
      <c r="H80" s="596">
        <v>5800.0</v>
      </c>
      <c r="I80" s="596">
        <v>3000.0</v>
      </c>
      <c r="J80" s="597">
        <v>0.0</v>
      </c>
      <c r="K80" s="523"/>
      <c r="L80" s="523"/>
      <c r="M80" s="598">
        <f t="shared" si="23"/>
        <v>50650</v>
      </c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</row>
    <row r="81" ht="18.0" customHeight="1">
      <c r="A81" s="20" t="s">
        <v>15</v>
      </c>
      <c r="B81" s="574">
        <f t="shared" ref="B81:J81" si="24">SUM(B76:B80)</f>
        <v>42500</v>
      </c>
      <c r="C81" s="574">
        <f t="shared" si="24"/>
        <v>36250</v>
      </c>
      <c r="D81" s="574">
        <f t="shared" si="24"/>
        <v>30250</v>
      </c>
      <c r="E81" s="574">
        <f t="shared" si="24"/>
        <v>28750</v>
      </c>
      <c r="F81" s="574">
        <f t="shared" si="24"/>
        <v>42500</v>
      </c>
      <c r="G81" s="574">
        <f t="shared" si="24"/>
        <v>29000</v>
      </c>
      <c r="H81" s="574">
        <f t="shared" si="24"/>
        <v>29000</v>
      </c>
      <c r="I81" s="574">
        <f t="shared" si="24"/>
        <v>15000</v>
      </c>
      <c r="J81" s="574">
        <f t="shared" si="24"/>
        <v>0</v>
      </c>
      <c r="K81" s="574"/>
      <c r="L81" s="575">
        <f>SUM(B81:J81)</f>
        <v>253250</v>
      </c>
      <c r="M81" s="599">
        <f>SUM(M76:M79)-101250</f>
        <v>110850</v>
      </c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ht="18.0" customHeight="1">
      <c r="A82" s="23" t="s">
        <v>16</v>
      </c>
      <c r="B82" s="24">
        <v>10475.0</v>
      </c>
      <c r="C82" s="24">
        <v>9463.0</v>
      </c>
      <c r="D82" s="24">
        <v>9075.0</v>
      </c>
      <c r="E82" s="24">
        <v>9075.0</v>
      </c>
      <c r="F82" s="24">
        <v>10410.0</v>
      </c>
      <c r="G82" s="24">
        <v>10410.0</v>
      </c>
      <c r="H82" s="24">
        <v>10410.0</v>
      </c>
      <c r="I82" s="24"/>
      <c r="J82" s="24"/>
      <c r="K82" s="24"/>
      <c r="L82" s="576"/>
      <c r="M82" s="26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ht="18.0" customHeight="1">
      <c r="A83" s="27" t="s">
        <v>17</v>
      </c>
      <c r="B83" s="28">
        <f t="shared" ref="B83:J83" si="25">B81-(B82)</f>
        <v>32025</v>
      </c>
      <c r="C83" s="28">
        <f t="shared" si="25"/>
        <v>26787</v>
      </c>
      <c r="D83" s="28">
        <f t="shared" si="25"/>
        <v>21175</v>
      </c>
      <c r="E83" s="28">
        <f t="shared" si="25"/>
        <v>19675</v>
      </c>
      <c r="F83" s="28">
        <f t="shared" si="25"/>
        <v>32090</v>
      </c>
      <c r="G83" s="28">
        <f t="shared" si="25"/>
        <v>18590</v>
      </c>
      <c r="H83" s="28">
        <f t="shared" si="25"/>
        <v>18590</v>
      </c>
      <c r="I83" s="28">
        <f t="shared" si="25"/>
        <v>15000</v>
      </c>
      <c r="J83" s="28">
        <f t="shared" si="25"/>
        <v>0</v>
      </c>
      <c r="K83" s="28"/>
      <c r="L83" s="594"/>
      <c r="M83" s="30"/>
      <c r="N83" s="577"/>
      <c r="O83" s="577"/>
      <c r="P83" s="577"/>
      <c r="Q83" s="577"/>
      <c r="R83" s="577"/>
      <c r="S83" s="577"/>
      <c r="T83" s="577"/>
      <c r="U83" s="577"/>
      <c r="V83" s="577"/>
      <c r="W83" s="577"/>
      <c r="X83" s="577"/>
      <c r="Y83" s="577"/>
      <c r="Z83" s="577"/>
      <c r="AA83" s="577"/>
      <c r="AB83" s="577"/>
      <c r="AC83" s="577"/>
      <c r="AD83" s="577"/>
      <c r="AE83" s="577"/>
    </row>
    <row r="84" ht="18.0" customHeight="1">
      <c r="A84" s="37"/>
      <c r="B84" s="38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ht="18.0" customHeight="1">
      <c r="A85" s="6" t="s">
        <v>102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ht="18.0" customHeight="1">
      <c r="A86" s="55" t="s">
        <v>740</v>
      </c>
      <c r="B86" s="10">
        <v>8500.0</v>
      </c>
      <c r="C86" s="10">
        <v>7250.0</v>
      </c>
      <c r="D86" s="10">
        <v>6050.0</v>
      </c>
      <c r="E86" s="10">
        <v>5750.0</v>
      </c>
      <c r="F86" s="10">
        <v>8500.0</v>
      </c>
      <c r="G86" s="10">
        <v>5800.0</v>
      </c>
      <c r="H86" s="10">
        <v>5800.0</v>
      </c>
      <c r="I86" s="10">
        <v>5000.0</v>
      </c>
      <c r="J86" s="11">
        <v>0.0</v>
      </c>
      <c r="K86" s="12"/>
      <c r="L86" s="12"/>
      <c r="M86" s="13">
        <f>SUM(B86:L86)</f>
        <v>52650</v>
      </c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ht="18.0" customHeight="1">
      <c r="A87" s="15" t="s">
        <v>741</v>
      </c>
      <c r="B87" s="10">
        <v>8500.0</v>
      </c>
      <c r="C87" s="10">
        <v>7250.0</v>
      </c>
      <c r="D87" s="10">
        <v>6050.0</v>
      </c>
      <c r="E87" s="10">
        <v>5750.0</v>
      </c>
      <c r="F87" s="10">
        <v>8500.0</v>
      </c>
      <c r="G87" s="10">
        <v>5800.0</v>
      </c>
      <c r="H87" s="10">
        <v>5800.0</v>
      </c>
      <c r="I87" s="10">
        <v>5000.0</v>
      </c>
      <c r="J87" s="11">
        <v>0.0</v>
      </c>
      <c r="K87" s="12"/>
      <c r="L87" s="12"/>
      <c r="M87" s="13">
        <f t="shared" ref="M87:M89" si="26">SUM(B87:J87)</f>
        <v>52650</v>
      </c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ht="18.0" customHeight="1">
      <c r="A88" s="15" t="s">
        <v>742</v>
      </c>
      <c r="B88" s="10">
        <v>8500.0</v>
      </c>
      <c r="C88" s="10">
        <v>7250.0</v>
      </c>
      <c r="D88" s="10">
        <v>6050.0</v>
      </c>
      <c r="E88" s="10">
        <v>5750.0</v>
      </c>
      <c r="F88" s="10">
        <v>8500.0</v>
      </c>
      <c r="G88" s="10">
        <v>5800.0</v>
      </c>
      <c r="H88" s="10">
        <v>5800.0</v>
      </c>
      <c r="I88" s="10">
        <v>5000.0</v>
      </c>
      <c r="J88" s="11">
        <v>0.0</v>
      </c>
      <c r="K88" s="12"/>
      <c r="L88" s="12"/>
      <c r="M88" s="13">
        <f t="shared" si="26"/>
        <v>52650</v>
      </c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ht="18.0" customHeight="1">
      <c r="A89" s="15" t="s">
        <v>743</v>
      </c>
      <c r="B89" s="16">
        <v>8500.0</v>
      </c>
      <c r="C89" s="16">
        <v>7250.0</v>
      </c>
      <c r="D89" s="16">
        <v>6050.0</v>
      </c>
      <c r="E89" s="16">
        <v>5750.0</v>
      </c>
      <c r="F89" s="16">
        <v>8500.0</v>
      </c>
      <c r="G89" s="16">
        <v>5800.0</v>
      </c>
      <c r="H89" s="16">
        <v>5800.0</v>
      </c>
      <c r="I89" s="16">
        <v>5000.0</v>
      </c>
      <c r="J89" s="17">
        <v>0.0</v>
      </c>
      <c r="K89" s="18"/>
      <c r="L89" s="18"/>
      <c r="M89" s="19">
        <f t="shared" si="26"/>
        <v>52650</v>
      </c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ht="18.0" customHeight="1">
      <c r="A90" s="20" t="s">
        <v>15</v>
      </c>
      <c r="B90" s="21">
        <f t="shared" ref="B90:J90" si="27">SUM(B86:B89)</f>
        <v>34000</v>
      </c>
      <c r="C90" s="21">
        <f t="shared" si="27"/>
        <v>29000</v>
      </c>
      <c r="D90" s="21">
        <f t="shared" si="27"/>
        <v>24200</v>
      </c>
      <c r="E90" s="21">
        <f t="shared" si="27"/>
        <v>23000</v>
      </c>
      <c r="F90" s="21">
        <f t="shared" si="27"/>
        <v>34000</v>
      </c>
      <c r="G90" s="21">
        <f t="shared" si="27"/>
        <v>23200</v>
      </c>
      <c r="H90" s="21">
        <f t="shared" si="27"/>
        <v>23200</v>
      </c>
      <c r="I90" s="21">
        <f t="shared" si="27"/>
        <v>20000</v>
      </c>
      <c r="J90" s="21">
        <f t="shared" si="27"/>
        <v>0</v>
      </c>
      <c r="K90" s="21"/>
      <c r="L90" s="600"/>
      <c r="M90" s="22">
        <f>SUM(M86:M89)</f>
        <v>210600</v>
      </c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ht="18.0" customHeight="1">
      <c r="A91" s="23" t="s">
        <v>16</v>
      </c>
      <c r="B91" s="24">
        <v>10475.0</v>
      </c>
      <c r="C91" s="24">
        <v>9463.0</v>
      </c>
      <c r="D91" s="24">
        <v>9075.0</v>
      </c>
      <c r="E91" s="24">
        <v>9075.0</v>
      </c>
      <c r="F91" s="24">
        <v>10410.0</v>
      </c>
      <c r="G91" s="24">
        <v>10410.0</v>
      </c>
      <c r="H91" s="24">
        <v>10410.0</v>
      </c>
      <c r="I91" s="24"/>
      <c r="J91" s="24"/>
      <c r="K91" s="24"/>
      <c r="L91" s="576"/>
      <c r="M91" s="26">
        <f t="shared" ref="M91:M92" si="29">SUM(B91:L91)</f>
        <v>69318</v>
      </c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ht="18.0" customHeight="1">
      <c r="A92" s="27" t="s">
        <v>17</v>
      </c>
      <c r="B92" s="28">
        <f t="shared" ref="B92:J92" si="28">B90-(B91)</f>
        <v>23525</v>
      </c>
      <c r="C92" s="28">
        <f t="shared" si="28"/>
        <v>19537</v>
      </c>
      <c r="D92" s="28">
        <f t="shared" si="28"/>
        <v>15125</v>
      </c>
      <c r="E92" s="28">
        <f t="shared" si="28"/>
        <v>13925</v>
      </c>
      <c r="F92" s="28">
        <f t="shared" si="28"/>
        <v>23590</v>
      </c>
      <c r="G92" s="28">
        <f t="shared" si="28"/>
        <v>12790</v>
      </c>
      <c r="H92" s="28">
        <f t="shared" si="28"/>
        <v>12790</v>
      </c>
      <c r="I92" s="28">
        <f t="shared" si="28"/>
        <v>20000</v>
      </c>
      <c r="J92" s="28">
        <f t="shared" si="28"/>
        <v>0</v>
      </c>
      <c r="K92" s="28"/>
      <c r="L92" s="594"/>
      <c r="M92" s="30">
        <f t="shared" si="29"/>
        <v>141282</v>
      </c>
      <c r="N92" s="577"/>
      <c r="O92" s="577"/>
      <c r="P92" s="577"/>
      <c r="Q92" s="577"/>
      <c r="R92" s="577"/>
      <c r="S92" s="577"/>
      <c r="T92" s="577"/>
      <c r="U92" s="577"/>
      <c r="V92" s="577"/>
      <c r="W92" s="577"/>
      <c r="X92" s="577"/>
      <c r="Y92" s="577"/>
      <c r="Z92" s="577"/>
      <c r="AA92" s="577"/>
      <c r="AB92" s="577"/>
      <c r="AC92" s="577"/>
      <c r="AD92" s="577"/>
      <c r="AE92" s="577"/>
    </row>
    <row r="93" ht="18.0" customHeight="1">
      <c r="A93" s="37"/>
      <c r="B93" s="38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ht="18.0" customHeight="1">
      <c r="A94" s="55" t="s">
        <v>740</v>
      </c>
      <c r="B94" s="10" t="s">
        <v>43</v>
      </c>
      <c r="C94" s="10" t="s">
        <v>43</v>
      </c>
      <c r="D94" s="10" t="s">
        <v>43</v>
      </c>
      <c r="E94" s="10" t="s">
        <v>43</v>
      </c>
      <c r="F94" s="10" t="s">
        <v>43</v>
      </c>
      <c r="G94" s="10" t="s">
        <v>43</v>
      </c>
      <c r="H94" s="10" t="s">
        <v>43</v>
      </c>
      <c r="I94" s="10">
        <v>5000.0</v>
      </c>
      <c r="J94" s="11">
        <v>0.0</v>
      </c>
      <c r="K94" s="12"/>
      <c r="L94" s="12"/>
      <c r="M94" s="13">
        <f>SUM(B94:L94)</f>
        <v>5000</v>
      </c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ht="18.0" customHeight="1">
      <c r="A95" s="15" t="s">
        <v>741</v>
      </c>
      <c r="B95" s="10">
        <f t="shared" ref="B95:H95" si="30">B92/3</f>
        <v>7841.666667</v>
      </c>
      <c r="C95" s="10">
        <f t="shared" si="30"/>
        <v>6512.333333</v>
      </c>
      <c r="D95" s="10">
        <f t="shared" si="30"/>
        <v>5041.666667</v>
      </c>
      <c r="E95" s="10">
        <f t="shared" si="30"/>
        <v>4641.666667</v>
      </c>
      <c r="F95" s="10">
        <f t="shared" si="30"/>
        <v>7863.333333</v>
      </c>
      <c r="G95" s="10">
        <f t="shared" si="30"/>
        <v>4263.333333</v>
      </c>
      <c r="H95" s="10">
        <f t="shared" si="30"/>
        <v>4263.333333</v>
      </c>
      <c r="I95" s="10">
        <v>5000.0</v>
      </c>
      <c r="J95" s="11">
        <v>0.0</v>
      </c>
      <c r="K95" s="12"/>
      <c r="L95" s="12"/>
      <c r="M95" s="13">
        <f t="shared" ref="M95:M97" si="32">SUM(B95:J95)</f>
        <v>45427.33333</v>
      </c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ht="18.0" customHeight="1">
      <c r="A96" s="15" t="s">
        <v>742</v>
      </c>
      <c r="B96" s="10">
        <f t="shared" ref="B96:H96" si="31">B92/3</f>
        <v>7841.666667</v>
      </c>
      <c r="C96" s="10">
        <f t="shared" si="31"/>
        <v>6512.333333</v>
      </c>
      <c r="D96" s="10">
        <f t="shared" si="31"/>
        <v>5041.666667</v>
      </c>
      <c r="E96" s="10">
        <f t="shared" si="31"/>
        <v>4641.666667</v>
      </c>
      <c r="F96" s="10">
        <f t="shared" si="31"/>
        <v>7863.333333</v>
      </c>
      <c r="G96" s="10">
        <f t="shared" si="31"/>
        <v>4263.333333</v>
      </c>
      <c r="H96" s="10">
        <f t="shared" si="31"/>
        <v>4263.333333</v>
      </c>
      <c r="I96" s="10">
        <v>5000.0</v>
      </c>
      <c r="J96" s="11">
        <v>0.0</v>
      </c>
      <c r="K96" s="12"/>
      <c r="L96" s="12"/>
      <c r="M96" s="13">
        <f t="shared" si="32"/>
        <v>45427.33333</v>
      </c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</row>
    <row r="97" ht="18.0" customHeight="1">
      <c r="A97" s="15" t="s">
        <v>743</v>
      </c>
      <c r="B97" s="16">
        <f t="shared" ref="B97:H97" si="33">B92/3</f>
        <v>7841.666667</v>
      </c>
      <c r="C97" s="16">
        <f t="shared" si="33"/>
        <v>6512.333333</v>
      </c>
      <c r="D97" s="16">
        <f t="shared" si="33"/>
        <v>5041.666667</v>
      </c>
      <c r="E97" s="16">
        <f t="shared" si="33"/>
        <v>4641.666667</v>
      </c>
      <c r="F97" s="16">
        <f t="shared" si="33"/>
        <v>7863.333333</v>
      </c>
      <c r="G97" s="16">
        <f t="shared" si="33"/>
        <v>4263.333333</v>
      </c>
      <c r="H97" s="16">
        <f t="shared" si="33"/>
        <v>4263.333333</v>
      </c>
      <c r="I97" s="16">
        <v>5000.0</v>
      </c>
      <c r="J97" s="17">
        <v>0.0</v>
      </c>
      <c r="K97" s="18"/>
      <c r="L97" s="18"/>
      <c r="M97" s="19">
        <f t="shared" si="32"/>
        <v>45427.33333</v>
      </c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</row>
    <row r="98" ht="18.0" customHeight="1">
      <c r="A98" s="37"/>
      <c r="B98" s="38">
        <f t="shared" ref="B98:E98" si="34">SUM(B95:B97)</f>
        <v>23525</v>
      </c>
      <c r="C98" s="37">
        <f t="shared" si="34"/>
        <v>19537</v>
      </c>
      <c r="D98" s="37">
        <f t="shared" si="34"/>
        <v>15125</v>
      </c>
      <c r="E98" s="37">
        <f t="shared" si="34"/>
        <v>13925</v>
      </c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</row>
    <row r="99" ht="18.0" customHeight="1">
      <c r="A99" s="37"/>
      <c r="B99" s="38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</row>
    <row r="100" ht="18.0" customHeight="1">
      <c r="A100" s="39" t="s">
        <v>22</v>
      </c>
      <c r="B100" s="40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</row>
    <row r="101" ht="18.0" customHeight="1">
      <c r="A101" s="42">
        <v>44108.0</v>
      </c>
      <c r="B101" s="43"/>
      <c r="C101" s="44"/>
      <c r="D101" s="44"/>
      <c r="E101" s="45">
        <v>1200.0</v>
      </c>
      <c r="F101" s="44">
        <f>500+490</f>
        <v>990</v>
      </c>
      <c r="G101" s="44"/>
      <c r="H101" s="44"/>
      <c r="I101" s="44"/>
      <c r="J101" s="44"/>
      <c r="K101" s="44"/>
      <c r="L101" s="44"/>
      <c r="M101" s="44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</row>
    <row r="102" ht="18.0" customHeight="1">
      <c r="A102" s="39" t="s">
        <v>13</v>
      </c>
      <c r="B102" s="46"/>
      <c r="C102" s="44"/>
      <c r="D102" s="44"/>
      <c r="E102" s="45">
        <v>600.0</v>
      </c>
      <c r="F102" s="45"/>
      <c r="G102" s="44"/>
      <c r="H102" s="44"/>
      <c r="I102" s="44"/>
      <c r="J102" s="44"/>
      <c r="K102" s="44"/>
      <c r="L102" s="44"/>
      <c r="M102" s="44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</row>
    <row r="103" ht="18.0" customHeight="1">
      <c r="A103" s="39" t="s">
        <v>14</v>
      </c>
      <c r="B103" s="46"/>
      <c r="C103" s="44"/>
      <c r="D103" s="44"/>
      <c r="E103" s="45">
        <v>1000.0</v>
      </c>
      <c r="F103" s="44"/>
      <c r="G103" s="44"/>
      <c r="H103" s="44"/>
      <c r="I103" s="44"/>
      <c r="J103" s="44"/>
      <c r="K103" s="44"/>
      <c r="L103" s="44"/>
      <c r="M103" s="44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</row>
    <row r="104" ht="18.0" customHeight="1">
      <c r="A104" s="39" t="s">
        <v>19</v>
      </c>
      <c r="B104" s="46"/>
      <c r="C104" s="44"/>
      <c r="D104" s="44"/>
      <c r="E104" s="45">
        <v>1200.0</v>
      </c>
      <c r="F104" s="44"/>
      <c r="G104" s="44"/>
      <c r="H104" s="44"/>
      <c r="I104" s="44"/>
      <c r="J104" s="44"/>
      <c r="K104" s="44"/>
      <c r="L104" s="44"/>
      <c r="M104" s="44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5" ht="18.0" customHeight="1">
      <c r="A105" s="41"/>
      <c r="B105" s="46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</row>
    <row r="106" ht="18.0" customHeight="1">
      <c r="A106" s="37"/>
      <c r="B106" s="38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</row>
    <row r="107" ht="18.0" customHeight="1">
      <c r="A107" s="47" t="s">
        <v>23</v>
      </c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7" t="s">
        <v>24</v>
      </c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</row>
    <row r="108" ht="18.0" customHeight="1">
      <c r="A108" s="50">
        <v>44108.0</v>
      </c>
      <c r="B108" s="51"/>
      <c r="C108" s="52"/>
      <c r="D108" s="52"/>
      <c r="E108" s="52"/>
      <c r="F108" s="52"/>
      <c r="G108" s="52"/>
      <c r="H108" s="52"/>
      <c r="I108" s="52">
        <f t="shared" ref="I108:I109" si="36">I94-I101</f>
        <v>5000</v>
      </c>
      <c r="J108" s="52"/>
      <c r="K108" s="52"/>
      <c r="L108" s="52"/>
      <c r="M108" s="52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ht="18.0" customHeight="1">
      <c r="A109" s="47" t="s">
        <v>13</v>
      </c>
      <c r="B109" s="51">
        <f t="shared" ref="B109:H109" si="35">B95-B101-B102</f>
        <v>7841.666667</v>
      </c>
      <c r="C109" s="52">
        <f t="shared" si="35"/>
        <v>6512.333333</v>
      </c>
      <c r="D109" s="52">
        <f t="shared" si="35"/>
        <v>5041.666667</v>
      </c>
      <c r="E109" s="52">
        <f t="shared" si="35"/>
        <v>2841.666667</v>
      </c>
      <c r="F109" s="52">
        <f t="shared" si="35"/>
        <v>6873.333333</v>
      </c>
      <c r="G109" s="52">
        <f t="shared" si="35"/>
        <v>4263.333333</v>
      </c>
      <c r="H109" s="52">
        <f t="shared" si="35"/>
        <v>4263.333333</v>
      </c>
      <c r="I109" s="52">
        <f t="shared" si="36"/>
        <v>5000</v>
      </c>
      <c r="J109" s="52"/>
      <c r="K109" s="52"/>
      <c r="L109" s="52"/>
      <c r="M109" s="53">
        <f t="shared" ref="M109:M111" si="38">SUM(B109:L109)</f>
        <v>42637.33333</v>
      </c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ht="18.0" customHeight="1">
      <c r="A110" s="47" t="s">
        <v>14</v>
      </c>
      <c r="B110" s="51">
        <f t="shared" ref="B110:I110" si="37">B96-B103</f>
        <v>7841.666667</v>
      </c>
      <c r="C110" s="52">
        <f t="shared" si="37"/>
        <v>6512.333333</v>
      </c>
      <c r="D110" s="52">
        <f t="shared" si="37"/>
        <v>5041.666667</v>
      </c>
      <c r="E110" s="52">
        <f t="shared" si="37"/>
        <v>3641.666667</v>
      </c>
      <c r="F110" s="52">
        <f t="shared" si="37"/>
        <v>7863.333333</v>
      </c>
      <c r="G110" s="52">
        <f t="shared" si="37"/>
        <v>4263.333333</v>
      </c>
      <c r="H110" s="52">
        <f t="shared" si="37"/>
        <v>4263.333333</v>
      </c>
      <c r="I110" s="52">
        <f t="shared" si="37"/>
        <v>5000</v>
      </c>
      <c r="J110" s="52"/>
      <c r="K110" s="52"/>
      <c r="L110" s="52"/>
      <c r="M110" s="53">
        <f t="shared" si="38"/>
        <v>44427.33333</v>
      </c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ht="18.0" customHeight="1">
      <c r="A111" s="47" t="s">
        <v>19</v>
      </c>
      <c r="B111" s="51">
        <f t="shared" ref="B111:I111" si="39">B97-B104</f>
        <v>7841.666667</v>
      </c>
      <c r="C111" s="52">
        <f t="shared" si="39"/>
        <v>6512.333333</v>
      </c>
      <c r="D111" s="52">
        <f t="shared" si="39"/>
        <v>5041.666667</v>
      </c>
      <c r="E111" s="52">
        <f t="shared" si="39"/>
        <v>3441.666667</v>
      </c>
      <c r="F111" s="52">
        <f t="shared" si="39"/>
        <v>7863.333333</v>
      </c>
      <c r="G111" s="52">
        <f t="shared" si="39"/>
        <v>4263.333333</v>
      </c>
      <c r="H111" s="52">
        <f t="shared" si="39"/>
        <v>4263.333333</v>
      </c>
      <c r="I111" s="52">
        <f t="shared" si="39"/>
        <v>5000</v>
      </c>
      <c r="J111" s="52"/>
      <c r="K111" s="52"/>
      <c r="L111" s="52"/>
      <c r="M111" s="53">
        <f t="shared" si="38"/>
        <v>44227.33333</v>
      </c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ht="18.0" customHeight="1">
      <c r="A112" s="49"/>
      <c r="B112" s="51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ht="18.0" customHeight="1">
      <c r="A113" s="37"/>
      <c r="B113" s="38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ht="18.0" customHeight="1">
      <c r="A114" s="37"/>
      <c r="B114" s="38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ht="18.0" customHeight="1">
      <c r="A115" s="6" t="s">
        <v>181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8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ht="18.0" customHeight="1">
      <c r="A116" s="9">
        <v>44045.0</v>
      </c>
      <c r="B116" s="10">
        <v>8500.0</v>
      </c>
      <c r="C116" s="10">
        <v>7250.0</v>
      </c>
      <c r="D116" s="10">
        <v>6050.0</v>
      </c>
      <c r="E116" s="10">
        <v>6050.0</v>
      </c>
      <c r="F116" s="10"/>
      <c r="G116" s="10">
        <v>5800.0</v>
      </c>
      <c r="H116" s="10">
        <v>5800.0</v>
      </c>
      <c r="I116" s="10">
        <v>5000.0</v>
      </c>
      <c r="J116" s="11">
        <v>0.0</v>
      </c>
      <c r="K116" s="12"/>
      <c r="L116" s="12"/>
      <c r="M116" s="13">
        <f>SUM(B116:L116)</f>
        <v>44450</v>
      </c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ht="18.0" customHeight="1">
      <c r="A117" s="15" t="s">
        <v>744</v>
      </c>
      <c r="B117" s="10">
        <v>8500.0</v>
      </c>
      <c r="C117" s="10">
        <v>7250.0</v>
      </c>
      <c r="D117" s="10">
        <v>6050.0</v>
      </c>
      <c r="E117" s="10">
        <v>6050.0</v>
      </c>
      <c r="F117" s="10"/>
      <c r="G117" s="10">
        <v>5800.0</v>
      </c>
      <c r="H117" s="10">
        <v>5800.0</v>
      </c>
      <c r="I117" s="10">
        <v>5000.0</v>
      </c>
      <c r="J117" s="11">
        <v>0.0</v>
      </c>
      <c r="K117" s="12"/>
      <c r="L117" s="12"/>
      <c r="M117" s="13">
        <f t="shared" ref="M117:M119" si="40">SUM(B117:J117)</f>
        <v>44450</v>
      </c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</row>
    <row r="118" ht="18.0" customHeight="1">
      <c r="A118" s="15" t="s">
        <v>745</v>
      </c>
      <c r="B118" s="10">
        <v>8500.0</v>
      </c>
      <c r="C118" s="10">
        <v>7250.0</v>
      </c>
      <c r="D118" s="10">
        <v>6050.0</v>
      </c>
      <c r="E118" s="10">
        <v>6050.0</v>
      </c>
      <c r="F118" s="10"/>
      <c r="G118" s="10">
        <v>5800.0</v>
      </c>
      <c r="H118" s="10">
        <v>5800.0</v>
      </c>
      <c r="I118" s="10">
        <v>5000.0</v>
      </c>
      <c r="J118" s="11">
        <v>0.0</v>
      </c>
      <c r="K118" s="12"/>
      <c r="L118" s="12"/>
      <c r="M118" s="13">
        <f t="shared" si="40"/>
        <v>44450</v>
      </c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</row>
    <row r="119" ht="18.0" customHeight="1">
      <c r="A119" s="15" t="s">
        <v>746</v>
      </c>
      <c r="B119" s="16">
        <v>8500.0</v>
      </c>
      <c r="C119" s="16">
        <v>7250.0</v>
      </c>
      <c r="D119" s="16">
        <v>6050.0</v>
      </c>
      <c r="E119" s="16">
        <v>6050.0</v>
      </c>
      <c r="F119" s="16"/>
      <c r="G119" s="16">
        <v>5800.0</v>
      </c>
      <c r="H119" s="16">
        <v>5800.0</v>
      </c>
      <c r="I119" s="16">
        <v>5000.0</v>
      </c>
      <c r="J119" s="17">
        <v>0.0</v>
      </c>
      <c r="K119" s="18"/>
      <c r="L119" s="18"/>
      <c r="M119" s="19">
        <f t="shared" si="40"/>
        <v>44450</v>
      </c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</row>
    <row r="120" ht="18.0" customHeight="1">
      <c r="A120" s="20" t="s">
        <v>15</v>
      </c>
      <c r="B120" s="21">
        <f t="shared" ref="B120:E120" si="41">SUM(B116:B119)</f>
        <v>34000</v>
      </c>
      <c r="C120" s="21">
        <f t="shared" si="41"/>
        <v>29000</v>
      </c>
      <c r="D120" s="21">
        <f t="shared" si="41"/>
        <v>24200</v>
      </c>
      <c r="E120" s="21">
        <f t="shared" si="41"/>
        <v>24200</v>
      </c>
      <c r="F120" s="21"/>
      <c r="G120" s="21">
        <f t="shared" ref="G120:J120" si="42">SUM(G116:G119)</f>
        <v>23200</v>
      </c>
      <c r="H120" s="21">
        <f t="shared" si="42"/>
        <v>23200</v>
      </c>
      <c r="I120" s="21">
        <f t="shared" si="42"/>
        <v>20000</v>
      </c>
      <c r="J120" s="21">
        <f t="shared" si="42"/>
        <v>0</v>
      </c>
      <c r="K120" s="21"/>
      <c r="L120" s="600"/>
      <c r="M120" s="22">
        <f>SUM(M116:M119)</f>
        <v>177800</v>
      </c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</row>
    <row r="121" ht="18.0" customHeight="1">
      <c r="A121" s="23" t="s">
        <v>16</v>
      </c>
      <c r="B121" s="24">
        <v>10475.0</v>
      </c>
      <c r="C121" s="24">
        <v>9463.0</v>
      </c>
      <c r="D121" s="24">
        <v>9075.0</v>
      </c>
      <c r="E121" s="24">
        <v>9075.0</v>
      </c>
      <c r="F121" s="24"/>
      <c r="G121" s="24">
        <v>10410.0</v>
      </c>
      <c r="H121" s="24">
        <v>10410.0</v>
      </c>
      <c r="I121" s="24"/>
      <c r="J121" s="24"/>
      <c r="K121" s="24"/>
      <c r="L121" s="576"/>
      <c r="M121" s="26">
        <f t="shared" ref="M121:M124" si="45">SUM(B121:L121)</f>
        <v>58908</v>
      </c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</row>
    <row r="122" ht="18.0" customHeight="1">
      <c r="A122" s="27" t="s">
        <v>17</v>
      </c>
      <c r="B122" s="28">
        <f t="shared" ref="B122:E122" si="43">B120-(B121)</f>
        <v>23525</v>
      </c>
      <c r="C122" s="28">
        <f t="shared" si="43"/>
        <v>19537</v>
      </c>
      <c r="D122" s="28">
        <f t="shared" si="43"/>
        <v>15125</v>
      </c>
      <c r="E122" s="28">
        <f t="shared" si="43"/>
        <v>15125</v>
      </c>
      <c r="F122" s="28"/>
      <c r="G122" s="28">
        <f t="shared" ref="G122:J122" si="44">G120-(G121)</f>
        <v>12790</v>
      </c>
      <c r="H122" s="28">
        <f t="shared" si="44"/>
        <v>12790</v>
      </c>
      <c r="I122" s="28">
        <f t="shared" si="44"/>
        <v>20000</v>
      </c>
      <c r="J122" s="28">
        <f t="shared" si="44"/>
        <v>0</v>
      </c>
      <c r="K122" s="28"/>
      <c r="L122" s="594"/>
      <c r="M122" s="30">
        <f t="shared" si="45"/>
        <v>118892</v>
      </c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</row>
    <row r="123" ht="18.0" customHeight="1">
      <c r="A123" s="23" t="s">
        <v>18</v>
      </c>
      <c r="B123" s="24">
        <v>10690.68</v>
      </c>
      <c r="C123" s="24">
        <v>9655.71</v>
      </c>
      <c r="D123" s="24">
        <v>9316.77</v>
      </c>
      <c r="E123" s="24">
        <v>9316.77</v>
      </c>
      <c r="F123" s="24"/>
      <c r="G123" s="24">
        <v>10690.68</v>
      </c>
      <c r="H123" s="24">
        <v>10690.68</v>
      </c>
      <c r="I123" s="24"/>
      <c r="J123" s="24"/>
      <c r="K123" s="24"/>
      <c r="L123" s="576"/>
      <c r="M123" s="26">
        <f t="shared" si="45"/>
        <v>60361.29</v>
      </c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</row>
    <row r="124" ht="18.0" customHeight="1">
      <c r="A124" s="9">
        <v>44045.0</v>
      </c>
      <c r="B124" s="10">
        <f t="shared" ref="B124:E124" si="46">B122/3</f>
        <v>7841.666667</v>
      </c>
      <c r="C124" s="10">
        <f t="shared" si="46"/>
        <v>6512.333333</v>
      </c>
      <c r="D124" s="10">
        <f t="shared" si="46"/>
        <v>5041.666667</v>
      </c>
      <c r="E124" s="10">
        <f t="shared" si="46"/>
        <v>5041.666667</v>
      </c>
      <c r="F124" s="10"/>
      <c r="G124" s="10">
        <f t="shared" ref="G124:H124" si="47">G122/3</f>
        <v>4263.333333</v>
      </c>
      <c r="H124" s="10">
        <f t="shared" si="47"/>
        <v>4263.333333</v>
      </c>
      <c r="I124" s="10">
        <v>5000.0</v>
      </c>
      <c r="J124" s="11">
        <v>0.0</v>
      </c>
      <c r="K124" s="12"/>
      <c r="L124" s="12"/>
      <c r="M124" s="13">
        <f t="shared" si="45"/>
        <v>37964</v>
      </c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</row>
    <row r="125" ht="18.0" customHeight="1">
      <c r="A125" s="15" t="s">
        <v>744</v>
      </c>
      <c r="B125" s="10"/>
      <c r="C125" s="10"/>
      <c r="D125" s="10"/>
      <c r="E125" s="10"/>
      <c r="F125" s="10"/>
      <c r="G125" s="10"/>
      <c r="H125" s="10"/>
      <c r="I125" s="10">
        <v>5000.0</v>
      </c>
      <c r="J125" s="11">
        <v>0.0</v>
      </c>
      <c r="K125" s="12"/>
      <c r="L125" s="12"/>
      <c r="M125" s="13">
        <f t="shared" ref="M125:M127" si="50">SUM(B125:J125)</f>
        <v>5000</v>
      </c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</row>
    <row r="126" ht="18.0" customHeight="1">
      <c r="A126" s="15" t="s">
        <v>745</v>
      </c>
      <c r="B126" s="10">
        <f t="shared" ref="B126:E126" si="48">B122/3</f>
        <v>7841.666667</v>
      </c>
      <c r="C126" s="10">
        <f t="shared" si="48"/>
        <v>6512.333333</v>
      </c>
      <c r="D126" s="10">
        <f t="shared" si="48"/>
        <v>5041.666667</v>
      </c>
      <c r="E126" s="10">
        <f t="shared" si="48"/>
        <v>5041.666667</v>
      </c>
      <c r="F126" s="10"/>
      <c r="G126" s="10">
        <f t="shared" ref="G126:H126" si="49">G122/3</f>
        <v>4263.333333</v>
      </c>
      <c r="H126" s="10">
        <f t="shared" si="49"/>
        <v>4263.333333</v>
      </c>
      <c r="I126" s="10">
        <v>5000.0</v>
      </c>
      <c r="J126" s="11">
        <v>0.0</v>
      </c>
      <c r="K126" s="12"/>
      <c r="L126" s="12"/>
      <c r="M126" s="13">
        <f t="shared" si="50"/>
        <v>37964</v>
      </c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</row>
    <row r="127" ht="18.0" customHeight="1">
      <c r="A127" s="15" t="s">
        <v>746</v>
      </c>
      <c r="B127" s="16">
        <f t="shared" ref="B127:E127" si="51">B122/3</f>
        <v>7841.666667</v>
      </c>
      <c r="C127" s="16">
        <f t="shared" si="51"/>
        <v>6512.333333</v>
      </c>
      <c r="D127" s="16">
        <f t="shared" si="51"/>
        <v>5041.666667</v>
      </c>
      <c r="E127" s="16">
        <f t="shared" si="51"/>
        <v>5041.666667</v>
      </c>
      <c r="F127" s="16"/>
      <c r="G127" s="16">
        <f t="shared" ref="G127:H127" si="52">G122/3</f>
        <v>4263.333333</v>
      </c>
      <c r="H127" s="16">
        <f t="shared" si="52"/>
        <v>4263.333333</v>
      </c>
      <c r="I127" s="16">
        <v>5000.0</v>
      </c>
      <c r="J127" s="17">
        <v>0.0</v>
      </c>
      <c r="K127" s="18"/>
      <c r="L127" s="18"/>
      <c r="M127" s="19">
        <f t="shared" si="50"/>
        <v>37964</v>
      </c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</row>
    <row r="128" ht="18.0" customHeight="1">
      <c r="A128" s="37"/>
      <c r="B128" s="38">
        <f t="shared" ref="B128:E128" si="53">SUM(B125:B127)</f>
        <v>15683.33333</v>
      </c>
      <c r="C128" s="37">
        <f t="shared" si="53"/>
        <v>13024.66667</v>
      </c>
      <c r="D128" s="37">
        <f t="shared" si="53"/>
        <v>10083.33333</v>
      </c>
      <c r="E128" s="37">
        <f t="shared" si="53"/>
        <v>10083.33333</v>
      </c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</row>
    <row r="129" ht="18.0" customHeight="1">
      <c r="A129" s="37"/>
      <c r="B129" s="38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</row>
    <row r="130" ht="18.0" customHeight="1">
      <c r="A130" s="39" t="s">
        <v>22</v>
      </c>
      <c r="B130" s="40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</row>
    <row r="131" ht="18.0" customHeight="1">
      <c r="A131" s="601">
        <v>44045.0</v>
      </c>
      <c r="B131" s="43">
        <v>4000.0</v>
      </c>
      <c r="C131" s="44"/>
      <c r="D131" s="44"/>
      <c r="E131" s="45"/>
      <c r="F131" s="44"/>
      <c r="G131" s="44"/>
      <c r="H131" s="45"/>
      <c r="I131" s="45">
        <v>2000.0</v>
      </c>
      <c r="J131" s="44"/>
      <c r="K131" s="44"/>
      <c r="L131" s="44"/>
      <c r="M131" s="44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</row>
    <row r="132" ht="18.0" customHeight="1">
      <c r="A132" s="60" t="s">
        <v>744</v>
      </c>
      <c r="B132" s="46"/>
      <c r="C132" s="44"/>
      <c r="D132" s="44"/>
      <c r="E132" s="45"/>
      <c r="F132" s="45"/>
      <c r="G132" s="44"/>
      <c r="H132" s="44"/>
      <c r="I132" s="44"/>
      <c r="J132" s="44"/>
      <c r="K132" s="44"/>
      <c r="L132" s="44"/>
      <c r="M132" s="44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</row>
    <row r="133" ht="18.0" customHeight="1">
      <c r="A133" s="60" t="s">
        <v>745</v>
      </c>
      <c r="B133" s="43">
        <v>3000.0</v>
      </c>
      <c r="C133" s="44"/>
      <c r="D133" s="44"/>
      <c r="E133" s="45">
        <v>3000.0</v>
      </c>
      <c r="F133" s="44"/>
      <c r="G133" s="44"/>
      <c r="H133" s="44"/>
      <c r="I133" s="44"/>
      <c r="J133" s="44"/>
      <c r="K133" s="44"/>
      <c r="L133" s="44"/>
      <c r="M133" s="44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</row>
    <row r="134" ht="18.0" customHeight="1">
      <c r="A134" s="60" t="s">
        <v>746</v>
      </c>
      <c r="B134" s="46"/>
      <c r="C134" s="44"/>
      <c r="D134" s="44"/>
      <c r="E134" s="45">
        <v>500.0</v>
      </c>
      <c r="F134" s="44"/>
      <c r="G134" s="44"/>
      <c r="H134" s="44"/>
      <c r="I134" s="44"/>
      <c r="J134" s="44"/>
      <c r="K134" s="44"/>
      <c r="L134" s="44"/>
      <c r="M134" s="44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</row>
    <row r="135" ht="18.0" customHeight="1">
      <c r="A135" s="41"/>
      <c r="B135" s="46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</row>
    <row r="136" ht="18.0" customHeight="1">
      <c r="A136" s="37"/>
      <c r="B136" s="38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</row>
    <row r="137" ht="18.0" customHeight="1">
      <c r="A137" s="47" t="s">
        <v>23</v>
      </c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7" t="s">
        <v>24</v>
      </c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</row>
    <row r="138" ht="18.0" customHeight="1">
      <c r="A138" s="602">
        <v>44045.0</v>
      </c>
      <c r="B138" s="51">
        <f t="shared" ref="B138:E138" si="54">B124-B131</f>
        <v>3841.666667</v>
      </c>
      <c r="C138" s="52">
        <f t="shared" si="54"/>
        <v>6512.333333</v>
      </c>
      <c r="D138" s="52">
        <f t="shared" si="54"/>
        <v>5041.666667</v>
      </c>
      <c r="E138" s="52">
        <f t="shared" si="54"/>
        <v>5041.666667</v>
      </c>
      <c r="F138" s="52"/>
      <c r="G138" s="52">
        <f t="shared" ref="G138:I138" si="55">G124-G131</f>
        <v>4263.333333</v>
      </c>
      <c r="H138" s="52">
        <f t="shared" si="55"/>
        <v>4263.333333</v>
      </c>
      <c r="I138" s="52">
        <f t="shared" si="55"/>
        <v>3000</v>
      </c>
      <c r="J138" s="52"/>
      <c r="K138" s="52"/>
      <c r="L138" s="52"/>
      <c r="M138" s="53">
        <f t="shared" ref="M138:M140" si="58">SUM(B138:L138)</f>
        <v>31964</v>
      </c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</row>
    <row r="139" ht="18.0" customHeight="1">
      <c r="A139" s="63" t="s">
        <v>744</v>
      </c>
      <c r="B139" s="51">
        <f t="shared" ref="B139:E139" si="56">B125-B132</f>
        <v>0</v>
      </c>
      <c r="C139" s="52">
        <f t="shared" si="56"/>
        <v>0</v>
      </c>
      <c r="D139" s="52">
        <f t="shared" si="56"/>
        <v>0</v>
      </c>
      <c r="E139" s="52">
        <f t="shared" si="56"/>
        <v>0</v>
      </c>
      <c r="F139" s="52"/>
      <c r="G139" s="52">
        <f t="shared" ref="G139:I139" si="57">G125-G132</f>
        <v>0</v>
      </c>
      <c r="H139" s="52">
        <f t="shared" si="57"/>
        <v>0</v>
      </c>
      <c r="I139" s="52">
        <f t="shared" si="57"/>
        <v>5000</v>
      </c>
      <c r="J139" s="52"/>
      <c r="K139" s="52"/>
      <c r="L139" s="52"/>
      <c r="M139" s="53">
        <f t="shared" si="58"/>
        <v>5000</v>
      </c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</row>
    <row r="140" ht="18.0" customHeight="1">
      <c r="A140" s="63" t="s">
        <v>745</v>
      </c>
      <c r="B140" s="51">
        <f t="shared" ref="B140:E140" si="59">B126-B133</f>
        <v>4841.666667</v>
      </c>
      <c r="C140" s="52">
        <f t="shared" si="59"/>
        <v>6512.333333</v>
      </c>
      <c r="D140" s="52">
        <f t="shared" si="59"/>
        <v>5041.666667</v>
      </c>
      <c r="E140" s="52">
        <f t="shared" si="59"/>
        <v>2041.666667</v>
      </c>
      <c r="F140" s="52"/>
      <c r="G140" s="52">
        <f t="shared" ref="G140:I140" si="60">G126-G133</f>
        <v>4263.333333</v>
      </c>
      <c r="H140" s="52">
        <f t="shared" si="60"/>
        <v>4263.333333</v>
      </c>
      <c r="I140" s="52">
        <f t="shared" si="60"/>
        <v>5000</v>
      </c>
      <c r="J140" s="52"/>
      <c r="K140" s="52"/>
      <c r="L140" s="52"/>
      <c r="M140" s="53">
        <f t="shared" si="58"/>
        <v>31964</v>
      </c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</row>
    <row r="141" ht="18.0" customHeight="1">
      <c r="A141" s="63" t="s">
        <v>746</v>
      </c>
      <c r="B141" s="51">
        <f t="shared" ref="B141:E141" si="61">B127-B134</f>
        <v>7841.666667</v>
      </c>
      <c r="C141" s="52">
        <f t="shared" si="61"/>
        <v>6512.333333</v>
      </c>
      <c r="D141" s="52">
        <f t="shared" si="61"/>
        <v>5041.666667</v>
      </c>
      <c r="E141" s="52">
        <f t="shared" si="61"/>
        <v>4541.666667</v>
      </c>
      <c r="F141" s="52"/>
      <c r="G141" s="52">
        <f t="shared" ref="G141:I141" si="62">G127-G134</f>
        <v>4263.333333</v>
      </c>
      <c r="H141" s="52">
        <f t="shared" si="62"/>
        <v>4263.333333</v>
      </c>
      <c r="I141" s="52">
        <f t="shared" si="62"/>
        <v>5000</v>
      </c>
      <c r="J141" s="52"/>
      <c r="K141" s="52"/>
      <c r="L141" s="52"/>
      <c r="M141" s="53">
        <f>SUM(B141:I141)</f>
        <v>37464</v>
      </c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</row>
    <row r="142" ht="18.0" customHeight="1">
      <c r="A142" s="47"/>
      <c r="B142" s="51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</row>
    <row r="143" ht="18.0" customHeight="1">
      <c r="A143" s="37"/>
      <c r="B143" s="38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</row>
    <row r="144" ht="18.0" customHeight="1">
      <c r="A144" s="37"/>
      <c r="B144" s="38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</row>
    <row r="145" ht="18.0" customHeight="1">
      <c r="A145" s="6" t="s">
        <v>187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8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</row>
    <row r="146" ht="18.0" customHeight="1">
      <c r="A146" s="9">
        <v>43983.0</v>
      </c>
      <c r="B146" s="10">
        <v>8500.0</v>
      </c>
      <c r="C146" s="10">
        <v>7250.0</v>
      </c>
      <c r="D146" s="10">
        <v>6050.0</v>
      </c>
      <c r="E146" s="10">
        <v>6050.0</v>
      </c>
      <c r="F146" s="10"/>
      <c r="G146" s="10">
        <v>5800.0</v>
      </c>
      <c r="H146" s="10">
        <v>5800.0</v>
      </c>
      <c r="I146" s="10">
        <v>7000.0</v>
      </c>
      <c r="J146" s="11">
        <v>0.0</v>
      </c>
      <c r="K146" s="12"/>
      <c r="L146" s="12"/>
      <c r="M146" s="13">
        <f>SUM(B146:L146)</f>
        <v>46450</v>
      </c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</row>
    <row r="147" ht="18.0" customHeight="1">
      <c r="A147" s="15" t="s">
        <v>747</v>
      </c>
      <c r="B147" s="10">
        <v>8500.0</v>
      </c>
      <c r="C147" s="10">
        <v>7250.0</v>
      </c>
      <c r="D147" s="10">
        <v>6050.0</v>
      </c>
      <c r="E147" s="10">
        <v>6050.0</v>
      </c>
      <c r="F147" s="10"/>
      <c r="G147" s="10">
        <v>5800.0</v>
      </c>
      <c r="H147" s="10">
        <v>5800.0</v>
      </c>
      <c r="I147" s="10">
        <v>7000.0</v>
      </c>
      <c r="J147" s="11">
        <v>0.0</v>
      </c>
      <c r="K147" s="12"/>
      <c r="L147" s="12"/>
      <c r="M147" s="13">
        <f t="shared" ref="M147:M149" si="63">SUM(B147:J147)</f>
        <v>46450</v>
      </c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</row>
    <row r="148" ht="18.0" customHeight="1">
      <c r="A148" s="15" t="s">
        <v>748</v>
      </c>
      <c r="B148" s="10">
        <v>8500.0</v>
      </c>
      <c r="C148" s="10">
        <v>7250.0</v>
      </c>
      <c r="D148" s="10">
        <v>6050.0</v>
      </c>
      <c r="E148" s="10">
        <v>6050.0</v>
      </c>
      <c r="F148" s="10"/>
      <c r="G148" s="10">
        <v>5800.0</v>
      </c>
      <c r="H148" s="10">
        <v>5800.0</v>
      </c>
      <c r="I148" s="10">
        <v>7000.0</v>
      </c>
      <c r="J148" s="11">
        <v>0.0</v>
      </c>
      <c r="K148" s="12"/>
      <c r="L148" s="12"/>
      <c r="M148" s="13">
        <f t="shared" si="63"/>
        <v>46450</v>
      </c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</row>
    <row r="149" ht="18.0" customHeight="1">
      <c r="A149" s="15" t="s">
        <v>749</v>
      </c>
      <c r="B149" s="16">
        <v>8500.0</v>
      </c>
      <c r="C149" s="16">
        <v>7250.0</v>
      </c>
      <c r="D149" s="16">
        <v>6050.0</v>
      </c>
      <c r="E149" s="16">
        <v>6050.0</v>
      </c>
      <c r="F149" s="16"/>
      <c r="G149" s="16">
        <v>5800.0</v>
      </c>
      <c r="H149" s="16">
        <v>5800.0</v>
      </c>
      <c r="I149" s="16">
        <v>7000.0</v>
      </c>
      <c r="J149" s="17">
        <v>0.0</v>
      </c>
      <c r="K149" s="18"/>
      <c r="L149" s="18"/>
      <c r="M149" s="19">
        <f t="shared" si="63"/>
        <v>46450</v>
      </c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</row>
    <row r="150" ht="18.0" customHeight="1">
      <c r="A150" s="20" t="s">
        <v>15</v>
      </c>
      <c r="B150" s="21">
        <f t="shared" ref="B150:E150" si="64">SUM(B146:B149)</f>
        <v>34000</v>
      </c>
      <c r="C150" s="21">
        <f t="shared" si="64"/>
        <v>29000</v>
      </c>
      <c r="D150" s="21">
        <f t="shared" si="64"/>
        <v>24200</v>
      </c>
      <c r="E150" s="21">
        <f t="shared" si="64"/>
        <v>24200</v>
      </c>
      <c r="F150" s="21"/>
      <c r="G150" s="21">
        <f t="shared" ref="G150:J150" si="65">SUM(G146:G149)</f>
        <v>23200</v>
      </c>
      <c r="H150" s="21">
        <f t="shared" si="65"/>
        <v>23200</v>
      </c>
      <c r="I150" s="21">
        <f t="shared" si="65"/>
        <v>28000</v>
      </c>
      <c r="J150" s="21">
        <f t="shared" si="65"/>
        <v>0</v>
      </c>
      <c r="K150" s="21"/>
      <c r="L150" s="600"/>
      <c r="M150" s="22">
        <f>SUM(M146:M149)</f>
        <v>185800</v>
      </c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</row>
    <row r="151" ht="18.0" customHeight="1">
      <c r="A151" s="23" t="s">
        <v>16</v>
      </c>
      <c r="B151" s="24">
        <v>10475.0</v>
      </c>
      <c r="C151" s="24">
        <v>9463.0</v>
      </c>
      <c r="D151" s="24">
        <v>9075.0</v>
      </c>
      <c r="E151" s="24">
        <v>9075.0</v>
      </c>
      <c r="F151" s="24"/>
      <c r="G151" s="24">
        <v>10410.0</v>
      </c>
      <c r="H151" s="24">
        <v>10410.0</v>
      </c>
      <c r="I151" s="24"/>
      <c r="J151" s="24"/>
      <c r="K151" s="24"/>
      <c r="L151" s="576"/>
      <c r="M151" s="26">
        <f t="shared" ref="M151:M154" si="68">SUM(B151:L151)</f>
        <v>58908</v>
      </c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</row>
    <row r="152" ht="18.0" customHeight="1">
      <c r="A152" s="27" t="s">
        <v>17</v>
      </c>
      <c r="B152" s="28">
        <f t="shared" ref="B152:E152" si="66">B150-(B151)</f>
        <v>23525</v>
      </c>
      <c r="C152" s="28">
        <f t="shared" si="66"/>
        <v>19537</v>
      </c>
      <c r="D152" s="28">
        <f t="shared" si="66"/>
        <v>15125</v>
      </c>
      <c r="E152" s="28">
        <f t="shared" si="66"/>
        <v>15125</v>
      </c>
      <c r="F152" s="28"/>
      <c r="G152" s="28">
        <f t="shared" ref="G152:J152" si="67">G150-(G151)</f>
        <v>12790</v>
      </c>
      <c r="H152" s="28">
        <f t="shared" si="67"/>
        <v>12790</v>
      </c>
      <c r="I152" s="28">
        <f t="shared" si="67"/>
        <v>28000</v>
      </c>
      <c r="J152" s="28">
        <f t="shared" si="67"/>
        <v>0</v>
      </c>
      <c r="K152" s="28"/>
      <c r="L152" s="594"/>
      <c r="M152" s="30">
        <f t="shared" si="68"/>
        <v>126892</v>
      </c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</row>
    <row r="153" ht="18.0" customHeight="1">
      <c r="A153" s="23" t="s">
        <v>18</v>
      </c>
      <c r="B153" s="24">
        <v>10690.68</v>
      </c>
      <c r="C153" s="24">
        <v>9655.71</v>
      </c>
      <c r="D153" s="24">
        <v>9316.77</v>
      </c>
      <c r="E153" s="24">
        <v>9316.77</v>
      </c>
      <c r="F153" s="24"/>
      <c r="G153" s="24">
        <v>10690.68</v>
      </c>
      <c r="H153" s="24">
        <v>10690.68</v>
      </c>
      <c r="I153" s="24"/>
      <c r="J153" s="24"/>
      <c r="K153" s="24"/>
      <c r="L153" s="576"/>
      <c r="M153" s="26">
        <f t="shared" si="68"/>
        <v>60361.29</v>
      </c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</row>
    <row r="154" ht="18.0" customHeight="1">
      <c r="A154" s="9">
        <v>43983.0</v>
      </c>
      <c r="B154" s="10">
        <f t="shared" ref="B154:E154" si="69">B146</f>
        <v>8500</v>
      </c>
      <c r="C154" s="10">
        <f t="shared" si="69"/>
        <v>7250</v>
      </c>
      <c r="D154" s="10">
        <f t="shared" si="69"/>
        <v>6050</v>
      </c>
      <c r="E154" s="10">
        <f t="shared" si="69"/>
        <v>6050</v>
      </c>
      <c r="F154" s="10"/>
      <c r="G154" s="10">
        <f t="shared" ref="G154:H154" si="70">G146</f>
        <v>5800</v>
      </c>
      <c r="H154" s="10">
        <f t="shared" si="70"/>
        <v>5800</v>
      </c>
      <c r="I154" s="10">
        <v>7000.0</v>
      </c>
      <c r="J154" s="11">
        <v>0.0</v>
      </c>
      <c r="K154" s="12"/>
      <c r="L154" s="12"/>
      <c r="M154" s="13">
        <f t="shared" si="68"/>
        <v>46450</v>
      </c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</row>
    <row r="155" ht="18.0" customHeight="1">
      <c r="A155" s="15" t="s">
        <v>750</v>
      </c>
      <c r="B155" s="10">
        <f t="shared" ref="B155:E155" si="71">B152/3+(B150/2/3)</f>
        <v>13508.33333</v>
      </c>
      <c r="C155" s="10">
        <f t="shared" si="71"/>
        <v>11345.66667</v>
      </c>
      <c r="D155" s="10">
        <f t="shared" si="71"/>
        <v>9075</v>
      </c>
      <c r="E155" s="10">
        <f t="shared" si="71"/>
        <v>9075</v>
      </c>
      <c r="F155" s="10"/>
      <c r="G155" s="10">
        <f t="shared" ref="G155:H155" si="72">G152/3+(G150/2/3)</f>
        <v>8130</v>
      </c>
      <c r="H155" s="10">
        <f t="shared" si="72"/>
        <v>8130</v>
      </c>
      <c r="I155" s="10">
        <f>I150/4+((I150/2/3))</f>
        <v>11666.66667</v>
      </c>
      <c r="J155" s="11">
        <v>0.0</v>
      </c>
      <c r="K155" s="12"/>
      <c r="L155" s="12"/>
      <c r="M155" s="13">
        <f t="shared" ref="M155:M157" si="75">SUM(B155:J155)</f>
        <v>70930.66667</v>
      </c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</row>
    <row r="156" ht="18.0" customHeight="1">
      <c r="A156" s="15" t="s">
        <v>751</v>
      </c>
      <c r="B156" s="10">
        <f t="shared" ref="B156:E156" si="73">B152/3+(B150/2/3)</f>
        <v>13508.33333</v>
      </c>
      <c r="C156" s="10">
        <f t="shared" si="73"/>
        <v>11345.66667</v>
      </c>
      <c r="D156" s="10">
        <f t="shared" si="73"/>
        <v>9075</v>
      </c>
      <c r="E156" s="10">
        <f t="shared" si="73"/>
        <v>9075</v>
      </c>
      <c r="F156" s="10"/>
      <c r="G156" s="10">
        <f t="shared" ref="G156:H156" si="74">G152/3+(G150/2/3)</f>
        <v>8130</v>
      </c>
      <c r="H156" s="10">
        <f t="shared" si="74"/>
        <v>8130</v>
      </c>
      <c r="I156" s="10">
        <f t="shared" ref="I156:I157" si="77">I155</f>
        <v>11666.66667</v>
      </c>
      <c r="J156" s="11">
        <v>0.0</v>
      </c>
      <c r="K156" s="12"/>
      <c r="L156" s="12"/>
      <c r="M156" s="13">
        <f t="shared" si="75"/>
        <v>70930.66667</v>
      </c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</row>
    <row r="157" ht="18.0" customHeight="1">
      <c r="A157" s="15" t="s">
        <v>752</v>
      </c>
      <c r="B157" s="16">
        <f t="shared" ref="B157:E157" si="76">B152/3+(B150/2/3)</f>
        <v>13508.33333</v>
      </c>
      <c r="C157" s="16">
        <f t="shared" si="76"/>
        <v>11345.66667</v>
      </c>
      <c r="D157" s="16">
        <f t="shared" si="76"/>
        <v>9075</v>
      </c>
      <c r="E157" s="16">
        <f t="shared" si="76"/>
        <v>9075</v>
      </c>
      <c r="F157" s="16"/>
      <c r="G157" s="16">
        <f>G152/3+((G150/2/3))</f>
        <v>8130</v>
      </c>
      <c r="H157" s="16">
        <f>H152/3+(H150/2/3)</f>
        <v>8130</v>
      </c>
      <c r="I157" s="16">
        <f t="shared" si="77"/>
        <v>11666.66667</v>
      </c>
      <c r="J157" s="17">
        <v>0.0</v>
      </c>
      <c r="K157" s="18"/>
      <c r="L157" s="18"/>
      <c r="M157" s="19">
        <f t="shared" si="75"/>
        <v>70930.66667</v>
      </c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</row>
    <row r="158" ht="18.0" customHeight="1">
      <c r="A158" s="27" t="s">
        <v>20</v>
      </c>
      <c r="B158" s="28">
        <v>1300.0</v>
      </c>
      <c r="C158" s="28"/>
      <c r="D158" s="28">
        <v>1000.0</v>
      </c>
      <c r="E158" s="28">
        <v>1000.0</v>
      </c>
      <c r="F158" s="28"/>
      <c r="G158" s="28">
        <v>1000.0</v>
      </c>
      <c r="H158" s="28">
        <v>1000.0</v>
      </c>
      <c r="I158" s="28">
        <v>1000.0</v>
      </c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</row>
    <row r="159" ht="18.0" customHeight="1">
      <c r="A159" s="603" t="s">
        <v>753</v>
      </c>
      <c r="B159" s="604">
        <f t="shared" ref="B159:E159" si="78">SUM(B153:B158)</f>
        <v>61015.68</v>
      </c>
      <c r="C159" s="605">
        <f t="shared" si="78"/>
        <v>50942.71</v>
      </c>
      <c r="D159" s="605">
        <f t="shared" si="78"/>
        <v>43591.77</v>
      </c>
      <c r="E159" s="605">
        <f t="shared" si="78"/>
        <v>43591.77</v>
      </c>
      <c r="F159" s="605"/>
      <c r="G159" s="605">
        <f t="shared" ref="G159:H159" si="79">SUM(G153:G158)</f>
        <v>41880.68</v>
      </c>
      <c r="H159" s="605">
        <f t="shared" si="79"/>
        <v>41880.68</v>
      </c>
      <c r="I159" s="605">
        <f>SUM(I154:I158)</f>
        <v>43000</v>
      </c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</row>
    <row r="160" ht="18.0" customHeight="1">
      <c r="A160" s="39" t="s">
        <v>22</v>
      </c>
      <c r="B160" s="40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</row>
    <row r="161" ht="18.0" customHeight="1">
      <c r="A161" s="42">
        <v>43983.0</v>
      </c>
      <c r="B161" s="43"/>
      <c r="C161" s="44"/>
      <c r="D161" s="44"/>
      <c r="E161" s="45">
        <f>2400+180</f>
        <v>2580</v>
      </c>
      <c r="F161" s="44"/>
      <c r="G161" s="44"/>
      <c r="H161" s="45"/>
      <c r="I161" s="45"/>
      <c r="J161" s="44"/>
      <c r="K161" s="44"/>
      <c r="L161" s="44"/>
      <c r="M161" s="44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</row>
    <row r="162" ht="18.0" customHeight="1">
      <c r="A162" s="39" t="s">
        <v>747</v>
      </c>
      <c r="B162" s="46"/>
      <c r="C162" s="45">
        <v>2000.0</v>
      </c>
      <c r="D162" s="45"/>
      <c r="E162" s="45">
        <f>1100+1000</f>
        <v>2100</v>
      </c>
      <c r="F162" s="45"/>
      <c r="G162" s="44"/>
      <c r="H162" s="44"/>
      <c r="I162" s="45">
        <f>1200+2000</f>
        <v>3200</v>
      </c>
      <c r="J162" s="44"/>
      <c r="K162" s="44"/>
      <c r="L162" s="44"/>
      <c r="M162" s="44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</row>
    <row r="163" ht="18.0" customHeight="1">
      <c r="A163" s="39" t="s">
        <v>748</v>
      </c>
      <c r="B163" s="43"/>
      <c r="C163" s="44"/>
      <c r="D163" s="44"/>
      <c r="E163" s="45"/>
      <c r="F163" s="44"/>
      <c r="G163" s="44"/>
      <c r="H163" s="44"/>
      <c r="I163" s="45"/>
      <c r="J163" s="44"/>
      <c r="K163" s="44"/>
      <c r="L163" s="44"/>
      <c r="M163" s="44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</row>
    <row r="164" ht="18.0" customHeight="1">
      <c r="A164" s="39" t="s">
        <v>749</v>
      </c>
      <c r="B164" s="46"/>
      <c r="C164" s="45">
        <v>7000.0</v>
      </c>
      <c r="D164" s="44"/>
      <c r="E164" s="45">
        <v>7000.0</v>
      </c>
      <c r="F164" s="44"/>
      <c r="G164" s="44"/>
      <c r="H164" s="44"/>
      <c r="I164" s="45">
        <v>5000.0</v>
      </c>
      <c r="J164" s="44"/>
      <c r="K164" s="44"/>
      <c r="L164" s="44"/>
      <c r="M164" s="44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</row>
    <row r="165" ht="18.0" customHeight="1">
      <c r="A165" s="41"/>
      <c r="B165" s="46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</row>
    <row r="166" ht="18.0" customHeight="1">
      <c r="A166" s="37"/>
      <c r="B166" s="38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</row>
    <row r="167" ht="18.0" customHeight="1">
      <c r="A167" s="47" t="s">
        <v>23</v>
      </c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7" t="s">
        <v>24</v>
      </c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</row>
    <row r="168" ht="18.0" customHeight="1">
      <c r="A168" s="50">
        <v>43983.0</v>
      </c>
      <c r="B168" s="51">
        <f t="shared" ref="B168:D168" si="80">B154-B161</f>
        <v>8500</v>
      </c>
      <c r="C168" s="52">
        <f t="shared" si="80"/>
        <v>7250</v>
      </c>
      <c r="D168" s="52">
        <f t="shared" si="80"/>
        <v>6050</v>
      </c>
      <c r="E168" s="52"/>
      <c r="F168" s="52"/>
      <c r="G168" s="52">
        <f t="shared" ref="G168:I168" si="81">G154-G161</f>
        <v>5800</v>
      </c>
      <c r="H168" s="52">
        <f t="shared" si="81"/>
        <v>5800</v>
      </c>
      <c r="I168" s="52">
        <f t="shared" si="81"/>
        <v>7000</v>
      </c>
      <c r="J168" s="52"/>
      <c r="K168" s="52"/>
      <c r="L168" s="52"/>
      <c r="M168" s="53">
        <f t="shared" ref="M168:M170" si="84">SUM(B168:L168)</f>
        <v>40400</v>
      </c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</row>
    <row r="169" ht="18.0" customHeight="1">
      <c r="A169" s="47" t="s">
        <v>747</v>
      </c>
      <c r="B169" s="51">
        <f>B155-B161-B162</f>
        <v>13508.33333</v>
      </c>
      <c r="C169" s="52">
        <f t="shared" ref="C169:E169" si="82">C155-C162-C161</f>
        <v>9345.666667</v>
      </c>
      <c r="D169" s="52">
        <f t="shared" si="82"/>
        <v>9075</v>
      </c>
      <c r="E169" s="52">
        <f t="shared" si="82"/>
        <v>4395</v>
      </c>
      <c r="F169" s="52"/>
      <c r="G169" s="52">
        <f t="shared" ref="G169:H169" si="83">G155-G162-G161</f>
        <v>8130</v>
      </c>
      <c r="H169" s="52">
        <f t="shared" si="83"/>
        <v>8130</v>
      </c>
      <c r="I169" s="52">
        <f>I155-I162</f>
        <v>8466.666667</v>
      </c>
      <c r="J169" s="52"/>
      <c r="K169" s="52"/>
      <c r="L169" s="52"/>
      <c r="M169" s="53">
        <f t="shared" si="84"/>
        <v>61050.66667</v>
      </c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</row>
    <row r="170" ht="18.0" customHeight="1">
      <c r="A170" s="47" t="s">
        <v>754</v>
      </c>
      <c r="B170" s="51">
        <f t="shared" ref="B170:E170" si="85">B156-B163</f>
        <v>13508.33333</v>
      </c>
      <c r="C170" s="52">
        <f t="shared" si="85"/>
        <v>11345.66667</v>
      </c>
      <c r="D170" s="52">
        <f t="shared" si="85"/>
        <v>9075</v>
      </c>
      <c r="E170" s="52">
        <f t="shared" si="85"/>
        <v>9075</v>
      </c>
      <c r="F170" s="52"/>
      <c r="G170" s="52">
        <f t="shared" ref="G170:I170" si="86">G156-G163</f>
        <v>8130</v>
      </c>
      <c r="H170" s="52">
        <f t="shared" si="86"/>
        <v>8130</v>
      </c>
      <c r="I170" s="52">
        <f t="shared" si="86"/>
        <v>11666.66667</v>
      </c>
      <c r="J170" s="52"/>
      <c r="K170" s="52"/>
      <c r="L170" s="52"/>
      <c r="M170" s="53">
        <f t="shared" si="84"/>
        <v>70930.66667</v>
      </c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</row>
    <row r="171" ht="18.0" customHeight="1">
      <c r="A171" s="47" t="s">
        <v>749</v>
      </c>
      <c r="B171" s="51">
        <f t="shared" ref="B171:E171" si="87">B157-B164</f>
        <v>13508.33333</v>
      </c>
      <c r="C171" s="52">
        <f t="shared" si="87"/>
        <v>4345.666667</v>
      </c>
      <c r="D171" s="52">
        <f t="shared" si="87"/>
        <v>9075</v>
      </c>
      <c r="E171" s="52">
        <f t="shared" si="87"/>
        <v>2075</v>
      </c>
      <c r="F171" s="52"/>
      <c r="G171" s="52">
        <f t="shared" ref="G171:I171" si="88">G157-G164</f>
        <v>8130</v>
      </c>
      <c r="H171" s="52">
        <f t="shared" si="88"/>
        <v>8130</v>
      </c>
      <c r="I171" s="52">
        <f t="shared" si="88"/>
        <v>6666.666667</v>
      </c>
      <c r="J171" s="52"/>
      <c r="K171" s="52"/>
      <c r="L171" s="52"/>
      <c r="M171" s="53">
        <f>SUM(B171:I171)</f>
        <v>51930.66667</v>
      </c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</row>
    <row r="172" ht="18.0" customHeight="1">
      <c r="A172" s="47"/>
      <c r="B172" s="51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</row>
    <row r="173" ht="18.0" customHeight="1">
      <c r="A173" s="37"/>
      <c r="B173" s="38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</row>
    <row r="174" ht="18.0" customHeight="1">
      <c r="A174" s="235" t="s">
        <v>755</v>
      </c>
      <c r="B174" s="606">
        <v>344.0</v>
      </c>
      <c r="C174" s="235">
        <v>115.0</v>
      </c>
      <c r="D174" s="235">
        <v>352.0</v>
      </c>
      <c r="E174" s="235">
        <v>352.0</v>
      </c>
      <c r="F174" s="37"/>
      <c r="G174" s="235">
        <v>409.0</v>
      </c>
      <c r="H174" s="235">
        <v>409.0</v>
      </c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</row>
    <row r="175" ht="18.0" customHeight="1">
      <c r="A175" s="37"/>
      <c r="B175" s="38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</row>
    <row r="176" ht="18.0" customHeight="1">
      <c r="A176" s="6" t="s">
        <v>12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</row>
    <row r="177" ht="18.0" customHeight="1">
      <c r="A177" s="9">
        <v>43918.0</v>
      </c>
      <c r="B177" s="10">
        <v>8500.0</v>
      </c>
      <c r="C177" s="10">
        <v>7250.0</v>
      </c>
      <c r="D177" s="10">
        <v>6050.0</v>
      </c>
      <c r="E177" s="10">
        <v>6050.0</v>
      </c>
      <c r="F177" s="10"/>
      <c r="G177" s="10">
        <v>5800.0</v>
      </c>
      <c r="H177" s="10">
        <v>5800.0</v>
      </c>
      <c r="I177" s="10">
        <v>7000.0</v>
      </c>
      <c r="J177" s="11">
        <v>0.0</v>
      </c>
      <c r="K177" s="12"/>
      <c r="L177" s="12"/>
      <c r="M177" s="13">
        <f>SUM(B177:L177)</f>
        <v>46450</v>
      </c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</row>
    <row r="178" ht="18.0" customHeight="1">
      <c r="A178" s="14">
        <v>44108.0</v>
      </c>
      <c r="B178" s="10">
        <v>8500.0</v>
      </c>
      <c r="C178" s="10">
        <v>7250.0</v>
      </c>
      <c r="D178" s="10">
        <v>6050.0</v>
      </c>
      <c r="E178" s="10">
        <v>6050.0</v>
      </c>
      <c r="F178" s="10"/>
      <c r="G178" s="10">
        <v>5800.0</v>
      </c>
      <c r="H178" s="10">
        <v>5800.0</v>
      </c>
      <c r="I178" s="10">
        <v>7000.0</v>
      </c>
      <c r="J178" s="11">
        <v>0.0</v>
      </c>
      <c r="K178" s="12"/>
      <c r="L178" s="12"/>
      <c r="M178" s="13">
        <f t="shared" ref="M178:M181" si="89">SUM(B178:J178)</f>
        <v>46450</v>
      </c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</row>
    <row r="179" ht="18.0" customHeight="1">
      <c r="A179" s="15" t="s">
        <v>13</v>
      </c>
      <c r="B179" s="10">
        <v>8500.0</v>
      </c>
      <c r="C179" s="10">
        <v>7250.0</v>
      </c>
      <c r="D179" s="10">
        <v>6050.0</v>
      </c>
      <c r="E179" s="10">
        <v>6050.0</v>
      </c>
      <c r="F179" s="10"/>
      <c r="G179" s="10">
        <v>5800.0</v>
      </c>
      <c r="H179" s="10">
        <v>5800.0</v>
      </c>
      <c r="I179" s="10">
        <v>7000.0</v>
      </c>
      <c r="J179" s="11">
        <v>0.0</v>
      </c>
      <c r="K179" s="12"/>
      <c r="L179" s="12"/>
      <c r="M179" s="13">
        <f t="shared" si="89"/>
        <v>46450</v>
      </c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</row>
    <row r="180" ht="18.0" customHeight="1">
      <c r="A180" s="15" t="s">
        <v>14</v>
      </c>
      <c r="B180" s="16">
        <v>8500.0</v>
      </c>
      <c r="C180" s="16">
        <v>7250.0</v>
      </c>
      <c r="D180" s="16">
        <v>6050.0</v>
      </c>
      <c r="E180" s="16">
        <v>6050.0</v>
      </c>
      <c r="F180" s="16"/>
      <c r="G180" s="16">
        <v>5800.0</v>
      </c>
      <c r="H180" s="16">
        <v>5800.0</v>
      </c>
      <c r="I180" s="16">
        <v>7000.0</v>
      </c>
      <c r="J180" s="17">
        <v>0.0</v>
      </c>
      <c r="K180" s="18"/>
      <c r="L180" s="18"/>
      <c r="M180" s="19">
        <f t="shared" si="89"/>
        <v>46450</v>
      </c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</row>
    <row r="181" ht="18.0" customHeight="1">
      <c r="A181" s="15" t="s">
        <v>14</v>
      </c>
      <c r="B181" s="16">
        <v>8500.0</v>
      </c>
      <c r="C181" s="16">
        <v>7250.0</v>
      </c>
      <c r="D181" s="16">
        <v>6050.0</v>
      </c>
      <c r="E181" s="16">
        <v>6050.0</v>
      </c>
      <c r="F181" s="16"/>
      <c r="G181" s="16">
        <v>5800.0</v>
      </c>
      <c r="H181" s="16">
        <v>5800.0</v>
      </c>
      <c r="I181" s="16">
        <v>7000.0</v>
      </c>
      <c r="J181" s="17">
        <v>0.0</v>
      </c>
      <c r="K181" s="18"/>
      <c r="L181" s="18"/>
      <c r="M181" s="19">
        <f t="shared" si="89"/>
        <v>46450</v>
      </c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</row>
    <row r="182" ht="18.0" customHeight="1">
      <c r="A182" s="20" t="s">
        <v>15</v>
      </c>
      <c r="B182" s="21">
        <f t="shared" ref="B182:E182" si="90">SUM(B177:B180)</f>
        <v>34000</v>
      </c>
      <c r="C182" s="21">
        <f t="shared" si="90"/>
        <v>29000</v>
      </c>
      <c r="D182" s="21">
        <f t="shared" si="90"/>
        <v>24200</v>
      </c>
      <c r="E182" s="21">
        <f t="shared" si="90"/>
        <v>24200</v>
      </c>
      <c r="F182" s="21"/>
      <c r="G182" s="21">
        <f t="shared" ref="G182:J182" si="91">SUM(G177:G180)</f>
        <v>23200</v>
      </c>
      <c r="H182" s="21">
        <f t="shared" si="91"/>
        <v>23200</v>
      </c>
      <c r="I182" s="21">
        <f t="shared" si="91"/>
        <v>28000</v>
      </c>
      <c r="J182" s="21">
        <f t="shared" si="91"/>
        <v>0</v>
      </c>
      <c r="K182" s="21"/>
      <c r="L182" s="600"/>
      <c r="M182" s="22">
        <f>SUM(M177:M180)</f>
        <v>185800</v>
      </c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</row>
    <row r="183" ht="18.0" customHeight="1">
      <c r="A183" s="23" t="s">
        <v>16</v>
      </c>
      <c r="B183" s="24">
        <v>10475.0</v>
      </c>
      <c r="C183" s="24">
        <v>9463.0</v>
      </c>
      <c r="D183" s="24">
        <v>9075.0</v>
      </c>
      <c r="E183" s="24">
        <v>9075.0</v>
      </c>
      <c r="F183" s="24"/>
      <c r="G183" s="24">
        <v>10410.0</v>
      </c>
      <c r="H183" s="24">
        <v>10410.0</v>
      </c>
      <c r="I183" s="24"/>
      <c r="J183" s="24"/>
      <c r="K183" s="24"/>
      <c r="L183" s="576"/>
      <c r="M183" s="26">
        <f t="shared" ref="M183:M186" si="94">SUM(B183:L183)</f>
        <v>58908</v>
      </c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</row>
    <row r="184" ht="18.0" customHeight="1">
      <c r="A184" s="27" t="s">
        <v>17</v>
      </c>
      <c r="B184" s="28">
        <f t="shared" ref="B184:E184" si="92">B182-(B183)</f>
        <v>23525</v>
      </c>
      <c r="C184" s="28">
        <f t="shared" si="92"/>
        <v>19537</v>
      </c>
      <c r="D184" s="28">
        <f t="shared" si="92"/>
        <v>15125</v>
      </c>
      <c r="E184" s="28">
        <f t="shared" si="92"/>
        <v>15125</v>
      </c>
      <c r="F184" s="28"/>
      <c r="G184" s="28">
        <f t="shared" ref="G184:J184" si="93">G182-(G183)</f>
        <v>12790</v>
      </c>
      <c r="H184" s="28">
        <f t="shared" si="93"/>
        <v>12790</v>
      </c>
      <c r="I184" s="28">
        <f t="shared" si="93"/>
        <v>28000</v>
      </c>
      <c r="J184" s="28">
        <f t="shared" si="93"/>
        <v>0</v>
      </c>
      <c r="K184" s="28"/>
      <c r="L184" s="594"/>
      <c r="M184" s="30">
        <f t="shared" si="94"/>
        <v>126892</v>
      </c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</row>
    <row r="185" ht="18.0" customHeight="1">
      <c r="A185" s="23" t="s">
        <v>18</v>
      </c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576"/>
      <c r="M185" s="26">
        <f t="shared" si="94"/>
        <v>0</v>
      </c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</row>
    <row r="186" ht="18.0" customHeight="1">
      <c r="A186" s="9">
        <v>43918.0</v>
      </c>
      <c r="B186" s="10">
        <f t="shared" ref="B186:D186" si="95">B184/3</f>
        <v>7841.666667</v>
      </c>
      <c r="C186" s="10">
        <f t="shared" si="95"/>
        <v>6512.333333</v>
      </c>
      <c r="D186" s="10">
        <f t="shared" si="95"/>
        <v>5041.666667</v>
      </c>
      <c r="E186" s="10">
        <v>7050.0</v>
      </c>
      <c r="F186" s="10"/>
      <c r="G186" s="10">
        <f t="shared" ref="G186:H186" si="96">G184/3</f>
        <v>4263.333333</v>
      </c>
      <c r="H186" s="10">
        <f t="shared" si="96"/>
        <v>4263.333333</v>
      </c>
      <c r="I186" s="10">
        <v>7000.0</v>
      </c>
      <c r="J186" s="11">
        <v>0.0</v>
      </c>
      <c r="K186" s="12"/>
      <c r="L186" s="12"/>
      <c r="M186" s="13">
        <f t="shared" si="94"/>
        <v>41972.33333</v>
      </c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</row>
    <row r="187" ht="18.0" customHeight="1">
      <c r="A187" s="14">
        <v>44108.0</v>
      </c>
      <c r="B187" s="10">
        <f>B182/4+650</f>
        <v>9150</v>
      </c>
      <c r="C187" s="10">
        <f>C182/4+700</f>
        <v>7950</v>
      </c>
      <c r="D187" s="10">
        <f t="shared" ref="D187:E187" si="97">D182/4+1000</f>
        <v>7050</v>
      </c>
      <c r="E187" s="10">
        <f t="shared" si="97"/>
        <v>7050</v>
      </c>
      <c r="F187" s="10"/>
      <c r="G187" s="31">
        <f t="shared" ref="G187:H187" si="98">G182/4+1500</f>
        <v>7300</v>
      </c>
      <c r="H187" s="31">
        <f t="shared" si="98"/>
        <v>7300</v>
      </c>
      <c r="I187" s="10">
        <f>I182/4</f>
        <v>7000</v>
      </c>
      <c r="J187" s="11">
        <v>0.0</v>
      </c>
      <c r="K187" s="12"/>
      <c r="L187" s="12"/>
      <c r="M187" s="13">
        <f t="shared" ref="M187:M189" si="101">SUM(B187:J187)</f>
        <v>52800</v>
      </c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</row>
    <row r="188" ht="18.0" customHeight="1">
      <c r="A188" s="15" t="s">
        <v>13</v>
      </c>
      <c r="B188" s="10">
        <f t="shared" ref="B188:D188" si="99">B182/4</f>
        <v>8500</v>
      </c>
      <c r="C188" s="10">
        <f t="shared" si="99"/>
        <v>7250</v>
      </c>
      <c r="D188" s="10">
        <f t="shared" si="99"/>
        <v>6050</v>
      </c>
      <c r="E188" s="10">
        <f>E182/4+1000</f>
        <v>7050</v>
      </c>
      <c r="F188" s="10"/>
      <c r="G188" s="10">
        <f t="shared" ref="G188:H188" si="100">G182/4</f>
        <v>5800</v>
      </c>
      <c r="H188" s="10">
        <f t="shared" si="100"/>
        <v>5800</v>
      </c>
      <c r="I188" s="10">
        <f t="shared" ref="I188:I189" si="104">I187</f>
        <v>7000</v>
      </c>
      <c r="J188" s="11">
        <v>0.0</v>
      </c>
      <c r="K188" s="12"/>
      <c r="L188" s="12"/>
      <c r="M188" s="13">
        <f t="shared" si="101"/>
        <v>47450</v>
      </c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</row>
    <row r="189" ht="18.0" customHeight="1">
      <c r="A189" s="15" t="s">
        <v>14</v>
      </c>
      <c r="B189" s="16">
        <f t="shared" ref="B189:E189" si="102">B182/4</f>
        <v>8500</v>
      </c>
      <c r="C189" s="16">
        <f t="shared" si="102"/>
        <v>7250</v>
      </c>
      <c r="D189" s="16">
        <f t="shared" si="102"/>
        <v>6050</v>
      </c>
      <c r="E189" s="16">
        <f t="shared" si="102"/>
        <v>6050</v>
      </c>
      <c r="F189" s="16"/>
      <c r="G189" s="16">
        <f t="shared" ref="G189:H189" si="103">G182/4</f>
        <v>5800</v>
      </c>
      <c r="H189" s="16">
        <f t="shared" si="103"/>
        <v>5800</v>
      </c>
      <c r="I189" s="16">
        <f t="shared" si="104"/>
        <v>7000</v>
      </c>
      <c r="J189" s="17">
        <v>0.0</v>
      </c>
      <c r="K189" s="18"/>
      <c r="L189" s="18"/>
      <c r="M189" s="19">
        <f t="shared" si="101"/>
        <v>46450</v>
      </c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</row>
    <row r="190" ht="18.0" customHeight="1">
      <c r="A190" s="32" t="s">
        <v>19</v>
      </c>
      <c r="B190" s="16"/>
      <c r="C190" s="33"/>
      <c r="D190" s="33"/>
      <c r="E190" s="33"/>
      <c r="F190" s="33"/>
      <c r="G190" s="33"/>
      <c r="H190" s="33"/>
      <c r="I190" s="33"/>
      <c r="J190" s="34"/>
      <c r="K190" s="35"/>
      <c r="L190" s="35"/>
      <c r="M190" s="35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</row>
    <row r="191" ht="18.0" customHeight="1">
      <c r="A191" s="27" t="s">
        <v>20</v>
      </c>
      <c r="B191" s="28"/>
      <c r="C191" s="28"/>
      <c r="D191" s="28"/>
      <c r="E191" s="28"/>
      <c r="F191" s="28"/>
      <c r="G191" s="36" t="s">
        <v>21</v>
      </c>
      <c r="H191" s="36" t="s">
        <v>21</v>
      </c>
      <c r="I191" s="28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</row>
    <row r="192" ht="18.0" customHeight="1">
      <c r="A192" s="37"/>
      <c r="B192" s="38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</row>
    <row r="193" ht="18.0" customHeight="1">
      <c r="A193" s="39" t="s">
        <v>22</v>
      </c>
      <c r="B193" s="40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</row>
    <row r="194" ht="18.0" customHeight="1">
      <c r="A194" s="42">
        <v>43918.0</v>
      </c>
      <c r="B194" s="43"/>
      <c r="C194" s="44"/>
      <c r="D194" s="44"/>
      <c r="E194" s="45"/>
      <c r="F194" s="44"/>
      <c r="G194" s="44"/>
      <c r="H194" s="45"/>
      <c r="I194" s="45"/>
      <c r="J194" s="44"/>
      <c r="K194" s="44"/>
      <c r="L194" s="44"/>
      <c r="M194" s="44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</row>
    <row r="195" ht="18.0" customHeight="1">
      <c r="A195" s="42">
        <v>44108.0</v>
      </c>
      <c r="B195" s="46"/>
      <c r="C195" s="45"/>
      <c r="D195" s="45"/>
      <c r="E195" s="45"/>
      <c r="F195" s="45"/>
      <c r="G195" s="44"/>
      <c r="H195" s="44"/>
      <c r="I195" s="45"/>
      <c r="J195" s="44"/>
      <c r="K195" s="44"/>
      <c r="L195" s="44"/>
      <c r="M195" s="44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</row>
    <row r="196" ht="18.0" customHeight="1">
      <c r="A196" s="39" t="s">
        <v>13</v>
      </c>
      <c r="B196" s="43"/>
      <c r="C196" s="44"/>
      <c r="D196" s="44"/>
      <c r="E196" s="45"/>
      <c r="F196" s="44"/>
      <c r="G196" s="44"/>
      <c r="H196" s="44"/>
      <c r="I196" s="45"/>
      <c r="J196" s="44"/>
      <c r="K196" s="44"/>
      <c r="L196" s="44"/>
      <c r="M196" s="44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</row>
    <row r="197" ht="18.0" customHeight="1">
      <c r="A197" s="39" t="s">
        <v>14</v>
      </c>
      <c r="B197" s="46"/>
      <c r="C197" s="45"/>
      <c r="D197" s="44"/>
      <c r="E197" s="45"/>
      <c r="F197" s="44"/>
      <c r="G197" s="44"/>
      <c r="H197" s="44"/>
      <c r="I197" s="45"/>
      <c r="J197" s="44"/>
      <c r="K197" s="44"/>
      <c r="L197" s="44"/>
      <c r="M197" s="44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</row>
    <row r="198" ht="18.0" customHeight="1">
      <c r="A198" s="39" t="s">
        <v>19</v>
      </c>
      <c r="B198" s="46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</row>
    <row r="199" ht="18.0" customHeight="1">
      <c r="A199" s="37"/>
      <c r="B199" s="38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</row>
    <row r="200" ht="18.0" customHeight="1">
      <c r="A200" s="47" t="s">
        <v>23</v>
      </c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7" t="s">
        <v>24</v>
      </c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</row>
    <row r="201" ht="18.0" customHeight="1">
      <c r="A201" s="50">
        <v>43918.0</v>
      </c>
      <c r="B201" s="51">
        <f t="shared" ref="B201:D201" si="105">B186-B194</f>
        <v>7841.666667</v>
      </c>
      <c r="C201" s="52">
        <f t="shared" si="105"/>
        <v>6512.333333</v>
      </c>
      <c r="D201" s="52">
        <f t="shared" si="105"/>
        <v>5041.666667</v>
      </c>
      <c r="E201" s="52"/>
      <c r="F201" s="52"/>
      <c r="G201" s="52">
        <f t="shared" ref="G201:I201" si="106">G186-G194</f>
        <v>4263.333333</v>
      </c>
      <c r="H201" s="52">
        <f t="shared" si="106"/>
        <v>4263.333333</v>
      </c>
      <c r="I201" s="52">
        <f t="shared" si="106"/>
        <v>7000</v>
      </c>
      <c r="J201" s="52"/>
      <c r="K201" s="52"/>
      <c r="L201" s="52"/>
      <c r="M201" s="53">
        <f t="shared" ref="M201:M203" si="109">SUM(B201:L201)</f>
        <v>34922.33333</v>
      </c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</row>
    <row r="202" ht="18.0" customHeight="1">
      <c r="A202" s="50">
        <v>44108.0</v>
      </c>
      <c r="B202" s="51">
        <f>B187-B194-B195</f>
        <v>9150</v>
      </c>
      <c r="C202" s="52">
        <f t="shared" ref="C202:E202" si="107">C187-C195-C194</f>
        <v>7950</v>
      </c>
      <c r="D202" s="52">
        <f t="shared" si="107"/>
        <v>7050</v>
      </c>
      <c r="E202" s="52">
        <f t="shared" si="107"/>
        <v>7050</v>
      </c>
      <c r="F202" s="52"/>
      <c r="G202" s="52">
        <f t="shared" ref="G202:H202" si="108">G187-G195-G194</f>
        <v>7300</v>
      </c>
      <c r="H202" s="52">
        <f t="shared" si="108"/>
        <v>7300</v>
      </c>
      <c r="I202" s="52">
        <f>I187-I195</f>
        <v>7000</v>
      </c>
      <c r="J202" s="52"/>
      <c r="K202" s="52"/>
      <c r="L202" s="52"/>
      <c r="M202" s="53">
        <f t="shared" si="109"/>
        <v>52800</v>
      </c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</row>
    <row r="203" ht="18.0" customHeight="1">
      <c r="A203" s="47" t="s">
        <v>13</v>
      </c>
      <c r="B203" s="51">
        <f t="shared" ref="B203:E203" si="110">B188-B196</f>
        <v>8500</v>
      </c>
      <c r="C203" s="52">
        <f t="shared" si="110"/>
        <v>7250</v>
      </c>
      <c r="D203" s="52">
        <f t="shared" si="110"/>
        <v>6050</v>
      </c>
      <c r="E203" s="52">
        <f t="shared" si="110"/>
        <v>7050</v>
      </c>
      <c r="F203" s="52"/>
      <c r="G203" s="52">
        <f t="shared" ref="G203:I203" si="111">G188-G196</f>
        <v>5800</v>
      </c>
      <c r="H203" s="52">
        <f t="shared" si="111"/>
        <v>5800</v>
      </c>
      <c r="I203" s="52">
        <f t="shared" si="111"/>
        <v>7000</v>
      </c>
      <c r="J203" s="52"/>
      <c r="K203" s="52"/>
      <c r="L203" s="52"/>
      <c r="M203" s="53">
        <f t="shared" si="109"/>
        <v>47450</v>
      </c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</row>
    <row r="204" ht="18.0" customHeight="1">
      <c r="A204" s="47" t="s">
        <v>25</v>
      </c>
      <c r="B204" s="51">
        <f t="shared" ref="B204:E204" si="112">B189-B197</f>
        <v>8500</v>
      </c>
      <c r="C204" s="52">
        <f t="shared" si="112"/>
        <v>7250</v>
      </c>
      <c r="D204" s="52">
        <f t="shared" si="112"/>
        <v>6050</v>
      </c>
      <c r="E204" s="52">
        <f t="shared" si="112"/>
        <v>6050</v>
      </c>
      <c r="F204" s="52"/>
      <c r="G204" s="52">
        <f t="shared" ref="G204:I204" si="113">G189-G197</f>
        <v>5800</v>
      </c>
      <c r="H204" s="52">
        <f t="shared" si="113"/>
        <v>5800</v>
      </c>
      <c r="I204" s="52">
        <f t="shared" si="113"/>
        <v>7000</v>
      </c>
      <c r="J204" s="52"/>
      <c r="K204" s="52"/>
      <c r="L204" s="52"/>
      <c r="M204" s="53">
        <f>SUM(B204:I204)</f>
        <v>46450</v>
      </c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</row>
    <row r="205" ht="18.0" customHeight="1">
      <c r="A205" s="47" t="s">
        <v>19</v>
      </c>
      <c r="B205" s="51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</row>
    <row r="206" ht="18.0" customHeight="1">
      <c r="A206" s="37"/>
      <c r="B206" s="38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</row>
    <row r="207" ht="18.0" customHeight="1">
      <c r="A207" s="37"/>
      <c r="B207" s="38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</row>
    <row r="208" ht="18.0" customHeight="1">
      <c r="A208" s="37"/>
      <c r="B208" s="38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</row>
    <row r="209" ht="18.0" customHeight="1">
      <c r="A209" s="37"/>
      <c r="B209" s="38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</row>
    <row r="210" ht="18.0" customHeight="1">
      <c r="A210" s="37"/>
      <c r="B210" s="38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</row>
    <row r="211" ht="18.0" customHeight="1">
      <c r="A211" s="37"/>
      <c r="B211" s="38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</row>
    <row r="212" ht="18.0" customHeight="1">
      <c r="A212" s="37"/>
      <c r="B212" s="38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</row>
    <row r="213" ht="18.0" customHeight="1">
      <c r="A213" s="37"/>
      <c r="B213" s="38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</row>
    <row r="214" ht="18.0" customHeight="1">
      <c r="A214" s="37"/>
      <c r="B214" s="38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</row>
    <row r="215" ht="18.0" customHeight="1">
      <c r="A215" s="37"/>
      <c r="B215" s="38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</row>
    <row r="216" ht="18.0" customHeight="1">
      <c r="A216" s="37"/>
      <c r="B216" s="38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</row>
    <row r="217" ht="18.0" customHeight="1">
      <c r="A217" s="37"/>
      <c r="B217" s="38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</row>
    <row r="218" ht="18.0" customHeight="1">
      <c r="A218" s="37"/>
      <c r="B218" s="38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</row>
    <row r="219" ht="18.0" customHeight="1">
      <c r="A219" s="37"/>
      <c r="B219" s="38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</row>
    <row r="220" ht="18.0" customHeight="1">
      <c r="A220" s="37"/>
      <c r="B220" s="38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</row>
    <row r="221" ht="18.0" customHeight="1">
      <c r="A221" s="37"/>
      <c r="B221" s="38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</row>
    <row r="222" ht="18.0" customHeight="1">
      <c r="A222" s="37"/>
      <c r="B222" s="38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</row>
    <row r="223" ht="18.0" customHeight="1">
      <c r="A223" s="37"/>
      <c r="B223" s="38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</row>
    <row r="224" ht="18.0" customHeight="1">
      <c r="A224" s="37"/>
      <c r="B224" s="38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</row>
    <row r="225" ht="18.0" customHeight="1">
      <c r="A225" s="37"/>
      <c r="B225" s="38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</row>
    <row r="226" ht="18.0" customHeight="1">
      <c r="A226" s="37"/>
      <c r="B226" s="38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</row>
    <row r="227" ht="18.0" customHeight="1">
      <c r="A227" s="37"/>
      <c r="B227" s="38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</row>
    <row r="228" ht="18.0" customHeight="1">
      <c r="A228" s="37"/>
      <c r="B228" s="38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</row>
    <row r="229" ht="18.0" customHeight="1">
      <c r="A229" s="37"/>
      <c r="B229" s="38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</row>
    <row r="230" ht="18.0" customHeight="1">
      <c r="A230" s="37"/>
      <c r="B230" s="38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</row>
    <row r="231" ht="18.0" customHeight="1">
      <c r="A231" s="37"/>
      <c r="B231" s="38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</row>
    <row r="232" ht="18.0" customHeight="1">
      <c r="A232" s="37"/>
      <c r="B232" s="38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</row>
    <row r="233" ht="18.0" customHeight="1">
      <c r="A233" s="37"/>
      <c r="B233" s="38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</row>
    <row r="234" ht="18.0" customHeight="1">
      <c r="A234" s="37"/>
      <c r="B234" s="38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</row>
    <row r="235" ht="18.0" customHeight="1">
      <c r="A235" s="37"/>
      <c r="B235" s="38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</row>
    <row r="236" ht="18.0" customHeight="1">
      <c r="A236" s="37"/>
      <c r="B236" s="38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</row>
    <row r="237" ht="18.0" customHeight="1">
      <c r="A237" s="37"/>
      <c r="B237" s="38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</row>
    <row r="238" ht="18.0" customHeight="1">
      <c r="A238" s="37"/>
      <c r="B238" s="38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</row>
    <row r="239" ht="18.0" customHeight="1">
      <c r="A239" s="37"/>
      <c r="B239" s="38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</row>
    <row r="240" ht="18.0" customHeight="1">
      <c r="A240" s="37"/>
      <c r="B240" s="38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</row>
    <row r="241" ht="18.0" customHeight="1">
      <c r="A241" s="37"/>
      <c r="B241" s="38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</row>
    <row r="242" ht="18.0" customHeight="1">
      <c r="A242" s="37"/>
      <c r="B242" s="38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</row>
    <row r="243" ht="18.0" customHeight="1">
      <c r="A243" s="37"/>
      <c r="B243" s="38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</row>
    <row r="244" ht="18.0" customHeight="1">
      <c r="A244" s="37"/>
      <c r="B244" s="38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</row>
    <row r="245" ht="18.0" customHeight="1">
      <c r="A245" s="37"/>
      <c r="B245" s="38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</row>
    <row r="246" ht="18.0" customHeight="1">
      <c r="A246" s="37"/>
      <c r="B246" s="38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</row>
    <row r="247" ht="18.0" customHeight="1">
      <c r="A247" s="37"/>
      <c r="B247" s="38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</row>
    <row r="248" ht="18.0" customHeight="1">
      <c r="A248" s="37"/>
      <c r="B248" s="38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</row>
    <row r="249" ht="18.0" customHeight="1">
      <c r="A249" s="37"/>
      <c r="B249" s="38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</row>
    <row r="250" ht="18.0" customHeight="1">
      <c r="A250" s="37"/>
      <c r="B250" s="38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</row>
    <row r="251" ht="18.0" customHeight="1">
      <c r="A251" s="37"/>
      <c r="B251" s="38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</row>
    <row r="252" ht="18.0" customHeight="1">
      <c r="A252" s="37"/>
      <c r="B252" s="38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</row>
    <row r="253" ht="18.0" customHeight="1">
      <c r="A253" s="37"/>
      <c r="B253" s="38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</row>
    <row r="254" ht="18.0" customHeight="1">
      <c r="A254" s="37"/>
      <c r="B254" s="38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</row>
    <row r="255" ht="18.0" customHeight="1">
      <c r="A255" s="37"/>
      <c r="B255" s="38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</row>
    <row r="256" ht="18.0" customHeight="1">
      <c r="A256" s="37"/>
      <c r="B256" s="38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</row>
    <row r="257" ht="18.0" customHeight="1">
      <c r="A257" s="37"/>
      <c r="B257" s="38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</row>
    <row r="258" ht="18.0" customHeight="1">
      <c r="A258" s="37"/>
      <c r="B258" s="38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</row>
    <row r="259" ht="18.0" customHeight="1">
      <c r="A259" s="37"/>
      <c r="B259" s="38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</row>
    <row r="260" ht="18.0" customHeight="1">
      <c r="A260" s="37"/>
      <c r="B260" s="38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</row>
    <row r="261" ht="18.0" customHeight="1">
      <c r="A261" s="37"/>
      <c r="B261" s="38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</row>
    <row r="262" ht="18.0" customHeight="1">
      <c r="A262" s="37"/>
      <c r="B262" s="38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</row>
    <row r="263" ht="18.0" customHeight="1">
      <c r="A263" s="37"/>
      <c r="B263" s="38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</row>
    <row r="264" ht="18.0" customHeight="1">
      <c r="A264" s="37"/>
      <c r="B264" s="38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</row>
    <row r="265" ht="18.0" customHeight="1">
      <c r="A265" s="37"/>
      <c r="B265" s="38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</row>
    <row r="266" ht="18.0" customHeight="1">
      <c r="A266" s="37"/>
      <c r="B266" s="38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</row>
    <row r="267" ht="18.0" customHeight="1">
      <c r="A267" s="37"/>
      <c r="B267" s="38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</row>
    <row r="268" ht="18.0" customHeight="1">
      <c r="A268" s="37"/>
      <c r="B268" s="38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</row>
    <row r="269" ht="18.0" customHeight="1">
      <c r="A269" s="37"/>
      <c r="B269" s="38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</row>
    <row r="270" ht="18.0" customHeight="1">
      <c r="A270" s="37"/>
      <c r="B270" s="38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</row>
    <row r="271" ht="18.0" customHeight="1">
      <c r="A271" s="37"/>
      <c r="B271" s="38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</row>
    <row r="272" ht="18.0" customHeight="1">
      <c r="A272" s="37"/>
      <c r="B272" s="38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</row>
    <row r="273" ht="18.0" customHeight="1">
      <c r="A273" s="37"/>
      <c r="B273" s="38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</row>
    <row r="274" ht="18.0" customHeight="1">
      <c r="A274" s="37"/>
      <c r="B274" s="38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</row>
    <row r="275" ht="18.0" customHeight="1">
      <c r="A275" s="37"/>
      <c r="B275" s="38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</row>
    <row r="276" ht="18.0" customHeight="1">
      <c r="A276" s="37"/>
      <c r="B276" s="38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</row>
    <row r="277" ht="18.0" customHeight="1">
      <c r="A277" s="37"/>
      <c r="B277" s="38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</row>
    <row r="278" ht="18.0" customHeight="1">
      <c r="A278" s="37"/>
      <c r="B278" s="38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</row>
    <row r="279" ht="18.0" customHeight="1">
      <c r="A279" s="37"/>
      <c r="B279" s="38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</row>
    <row r="280" ht="18.0" customHeight="1">
      <c r="A280" s="37"/>
      <c r="B280" s="38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</row>
    <row r="281" ht="18.0" customHeight="1">
      <c r="A281" s="37"/>
      <c r="B281" s="38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</row>
    <row r="282" ht="18.0" customHeight="1">
      <c r="A282" s="37"/>
      <c r="B282" s="38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</row>
    <row r="283" ht="18.0" customHeight="1">
      <c r="A283" s="37"/>
      <c r="B283" s="38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</row>
    <row r="284" ht="18.0" customHeight="1">
      <c r="A284" s="37"/>
      <c r="B284" s="38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</row>
    <row r="285" ht="18.0" customHeight="1">
      <c r="A285" s="37"/>
      <c r="B285" s="38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</row>
    <row r="286" ht="18.0" customHeight="1">
      <c r="A286" s="37"/>
      <c r="B286" s="38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</row>
    <row r="287" ht="18.0" customHeight="1">
      <c r="A287" s="37"/>
      <c r="B287" s="38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</row>
    <row r="288" ht="18.0" customHeight="1">
      <c r="A288" s="37"/>
      <c r="B288" s="38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</row>
    <row r="289" ht="18.0" customHeight="1">
      <c r="A289" s="37"/>
      <c r="B289" s="38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</row>
    <row r="290" ht="18.0" customHeight="1">
      <c r="A290" s="37"/>
      <c r="B290" s="38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</row>
    <row r="291" ht="18.0" customHeight="1">
      <c r="A291" s="37"/>
      <c r="B291" s="38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</row>
    <row r="292" ht="18.0" customHeight="1">
      <c r="A292" s="37"/>
      <c r="B292" s="38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</row>
    <row r="293" ht="18.0" customHeight="1">
      <c r="A293" s="37"/>
      <c r="B293" s="38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</row>
    <row r="294" ht="18.0" customHeight="1">
      <c r="A294" s="37"/>
      <c r="B294" s="38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</row>
    <row r="295" ht="18.0" customHeight="1">
      <c r="A295" s="37"/>
      <c r="B295" s="38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</row>
    <row r="296" ht="18.0" customHeight="1">
      <c r="A296" s="37"/>
      <c r="B296" s="38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</row>
    <row r="297" ht="18.0" customHeight="1">
      <c r="A297" s="37"/>
      <c r="B297" s="38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</row>
    <row r="298" ht="18.0" customHeight="1">
      <c r="A298" s="37"/>
      <c r="B298" s="38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</row>
    <row r="299" ht="18.0" customHeight="1">
      <c r="A299" s="37"/>
      <c r="B299" s="38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</row>
    <row r="300" ht="18.0" customHeight="1">
      <c r="A300" s="37"/>
      <c r="B300" s="38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</row>
    <row r="301" ht="18.0" customHeight="1">
      <c r="A301" s="37"/>
      <c r="B301" s="38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</row>
    <row r="302" ht="18.0" customHeight="1">
      <c r="A302" s="37"/>
      <c r="B302" s="38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</row>
    <row r="303" ht="18.0" customHeight="1">
      <c r="A303" s="37"/>
      <c r="B303" s="38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</row>
    <row r="304" ht="18.0" customHeight="1">
      <c r="A304" s="37"/>
      <c r="B304" s="38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</row>
    <row r="305" ht="18.0" customHeight="1">
      <c r="A305" s="37"/>
      <c r="B305" s="38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</row>
    <row r="306" ht="18.0" customHeight="1">
      <c r="A306" s="37"/>
      <c r="B306" s="38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</row>
    <row r="307" ht="18.0" customHeight="1">
      <c r="A307" s="37"/>
      <c r="B307" s="38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</row>
    <row r="308" ht="18.0" customHeight="1">
      <c r="A308" s="37"/>
      <c r="B308" s="38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</row>
    <row r="309" ht="18.0" customHeight="1">
      <c r="A309" s="37"/>
      <c r="B309" s="38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</row>
    <row r="310" ht="18.0" customHeight="1">
      <c r="A310" s="37"/>
      <c r="B310" s="38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</row>
    <row r="311" ht="18.0" customHeight="1">
      <c r="A311" s="37"/>
      <c r="B311" s="38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</row>
    <row r="312" ht="18.0" customHeight="1">
      <c r="A312" s="37"/>
      <c r="B312" s="38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</row>
    <row r="313" ht="18.0" customHeight="1">
      <c r="A313" s="37"/>
      <c r="B313" s="38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</row>
    <row r="314" ht="18.0" customHeight="1">
      <c r="A314" s="37"/>
      <c r="B314" s="38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</row>
    <row r="315" ht="18.0" customHeight="1">
      <c r="A315" s="37"/>
      <c r="B315" s="38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</row>
    <row r="316" ht="18.0" customHeight="1">
      <c r="A316" s="37"/>
      <c r="B316" s="38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</row>
    <row r="317" ht="18.0" customHeight="1">
      <c r="A317" s="37"/>
      <c r="B317" s="38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</row>
    <row r="318" ht="18.0" customHeight="1">
      <c r="A318" s="37"/>
      <c r="B318" s="38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</row>
    <row r="319" ht="18.0" customHeight="1">
      <c r="A319" s="37"/>
      <c r="B319" s="38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</row>
    <row r="320" ht="18.0" customHeight="1">
      <c r="A320" s="37"/>
      <c r="B320" s="38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</row>
    <row r="321" ht="18.0" customHeight="1">
      <c r="A321" s="37"/>
      <c r="B321" s="38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</row>
    <row r="322" ht="18.0" customHeight="1">
      <c r="A322" s="37"/>
      <c r="B322" s="38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</row>
    <row r="323" ht="18.0" customHeight="1">
      <c r="A323" s="37"/>
      <c r="B323" s="38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</row>
    <row r="324" ht="18.0" customHeight="1">
      <c r="A324" s="37"/>
      <c r="B324" s="38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</row>
    <row r="325" ht="18.0" customHeight="1">
      <c r="A325" s="37"/>
      <c r="B325" s="38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</row>
    <row r="326" ht="18.0" customHeight="1">
      <c r="A326" s="37"/>
      <c r="B326" s="38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</row>
    <row r="327" ht="18.0" customHeight="1">
      <c r="A327" s="37"/>
      <c r="B327" s="38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</row>
    <row r="328" ht="18.0" customHeight="1">
      <c r="A328" s="37"/>
      <c r="B328" s="38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</row>
    <row r="329" ht="18.0" customHeight="1">
      <c r="A329" s="37"/>
      <c r="B329" s="38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</row>
    <row r="330" ht="18.0" customHeight="1">
      <c r="A330" s="37"/>
      <c r="B330" s="38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</row>
    <row r="331" ht="18.0" customHeight="1">
      <c r="A331" s="37"/>
      <c r="B331" s="38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</row>
    <row r="332" ht="18.0" customHeight="1">
      <c r="A332" s="37"/>
      <c r="B332" s="38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</row>
    <row r="333" ht="18.0" customHeight="1">
      <c r="A333" s="37"/>
      <c r="B333" s="38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</row>
    <row r="334" ht="18.0" customHeight="1">
      <c r="A334" s="37"/>
      <c r="B334" s="38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</row>
    <row r="335" ht="18.0" customHeight="1">
      <c r="A335" s="37"/>
      <c r="B335" s="38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</row>
    <row r="336" ht="18.0" customHeight="1">
      <c r="A336" s="37"/>
      <c r="B336" s="38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</row>
    <row r="337" ht="18.0" customHeight="1">
      <c r="A337" s="37"/>
      <c r="B337" s="38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</row>
    <row r="338" ht="18.0" customHeight="1">
      <c r="A338" s="37"/>
      <c r="B338" s="38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</row>
    <row r="339" ht="18.0" customHeight="1">
      <c r="A339" s="37"/>
      <c r="B339" s="38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</row>
    <row r="340" ht="18.0" customHeight="1">
      <c r="A340" s="37"/>
      <c r="B340" s="38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</row>
    <row r="341" ht="18.0" customHeight="1">
      <c r="A341" s="37"/>
      <c r="B341" s="38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</row>
    <row r="342" ht="18.0" customHeight="1">
      <c r="A342" s="37"/>
      <c r="B342" s="38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</row>
    <row r="343" ht="18.0" customHeight="1">
      <c r="A343" s="37"/>
      <c r="B343" s="38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</row>
    <row r="344" ht="18.0" customHeight="1">
      <c r="A344" s="37"/>
      <c r="B344" s="38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</row>
    <row r="345" ht="18.0" customHeight="1">
      <c r="A345" s="37"/>
      <c r="B345" s="38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</row>
    <row r="346" ht="18.0" customHeight="1">
      <c r="A346" s="37"/>
      <c r="B346" s="38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</row>
    <row r="347" ht="18.0" customHeight="1">
      <c r="A347" s="37"/>
      <c r="B347" s="38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</row>
    <row r="348" ht="18.0" customHeight="1">
      <c r="A348" s="37"/>
      <c r="B348" s="38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</row>
    <row r="349" ht="18.0" customHeight="1">
      <c r="A349" s="37"/>
      <c r="B349" s="38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</row>
    <row r="350" ht="18.0" customHeight="1">
      <c r="A350" s="37"/>
      <c r="B350" s="38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</row>
    <row r="351" ht="18.0" customHeight="1">
      <c r="A351" s="37"/>
      <c r="B351" s="38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</row>
    <row r="352" ht="18.0" customHeight="1">
      <c r="A352" s="37"/>
      <c r="B352" s="38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</row>
    <row r="353" ht="18.0" customHeight="1">
      <c r="A353" s="37"/>
      <c r="B353" s="38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</row>
    <row r="354" ht="18.0" customHeight="1">
      <c r="A354" s="37"/>
      <c r="B354" s="38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</row>
    <row r="355" ht="18.0" customHeight="1">
      <c r="A355" s="37"/>
      <c r="B355" s="38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</row>
    <row r="356" ht="18.0" customHeight="1">
      <c r="A356" s="37"/>
      <c r="B356" s="38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</row>
    <row r="357" ht="18.0" customHeight="1">
      <c r="A357" s="37"/>
      <c r="B357" s="38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</row>
    <row r="358" ht="18.0" customHeight="1">
      <c r="A358" s="37"/>
      <c r="B358" s="38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</row>
    <row r="359" ht="18.0" customHeight="1">
      <c r="A359" s="37"/>
      <c r="B359" s="38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</row>
    <row r="360" ht="18.0" customHeight="1">
      <c r="A360" s="37"/>
      <c r="B360" s="38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</row>
    <row r="361" ht="18.0" customHeight="1">
      <c r="A361" s="37"/>
      <c r="B361" s="38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</row>
    <row r="362" ht="18.0" customHeight="1">
      <c r="A362" s="37"/>
      <c r="B362" s="38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</row>
    <row r="363" ht="18.0" customHeight="1">
      <c r="A363" s="37"/>
      <c r="B363" s="38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</row>
    <row r="364" ht="18.0" customHeight="1">
      <c r="A364" s="37"/>
      <c r="B364" s="38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</row>
    <row r="365" ht="18.0" customHeight="1">
      <c r="A365" s="37"/>
      <c r="B365" s="38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</row>
    <row r="366" ht="18.0" customHeight="1">
      <c r="A366" s="37"/>
      <c r="B366" s="38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</row>
    <row r="367" ht="18.0" customHeight="1">
      <c r="A367" s="37"/>
      <c r="B367" s="38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</row>
    <row r="368" ht="18.0" customHeight="1">
      <c r="A368" s="37"/>
      <c r="B368" s="38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</row>
    <row r="369" ht="18.0" customHeight="1">
      <c r="A369" s="37"/>
      <c r="B369" s="38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</row>
    <row r="370" ht="18.0" customHeight="1">
      <c r="A370" s="37"/>
      <c r="B370" s="38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</row>
    <row r="371" ht="18.0" customHeight="1">
      <c r="A371" s="37"/>
      <c r="B371" s="38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</row>
    <row r="372" ht="18.0" customHeight="1">
      <c r="A372" s="37"/>
      <c r="B372" s="38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</row>
    <row r="373" ht="18.0" customHeight="1">
      <c r="A373" s="37"/>
      <c r="B373" s="38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</row>
    <row r="374" ht="18.0" customHeight="1">
      <c r="A374" s="37"/>
      <c r="B374" s="38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</row>
    <row r="375" ht="18.0" customHeight="1">
      <c r="A375" s="37"/>
      <c r="B375" s="38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</row>
    <row r="376" ht="18.0" customHeight="1">
      <c r="A376" s="37"/>
      <c r="B376" s="38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</row>
    <row r="377" ht="18.0" customHeight="1">
      <c r="A377" s="37"/>
      <c r="B377" s="38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</row>
    <row r="378" ht="18.0" customHeight="1">
      <c r="A378" s="37"/>
      <c r="B378" s="38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</row>
    <row r="379" ht="18.0" customHeight="1">
      <c r="A379" s="37"/>
      <c r="B379" s="38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</row>
    <row r="380" ht="18.0" customHeight="1">
      <c r="A380" s="37"/>
      <c r="B380" s="38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</row>
    <row r="381" ht="18.0" customHeight="1">
      <c r="A381" s="37"/>
      <c r="B381" s="38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</row>
    <row r="382" ht="18.0" customHeight="1">
      <c r="A382" s="37"/>
      <c r="B382" s="38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</row>
    <row r="383" ht="18.0" customHeight="1">
      <c r="A383" s="37"/>
      <c r="B383" s="38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</row>
    <row r="384" ht="18.0" customHeight="1">
      <c r="A384" s="37"/>
      <c r="B384" s="38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</row>
    <row r="385" ht="18.0" customHeight="1">
      <c r="A385" s="37"/>
      <c r="B385" s="38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</row>
    <row r="386" ht="18.0" customHeight="1">
      <c r="A386" s="37"/>
      <c r="B386" s="38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</row>
    <row r="387" ht="18.0" customHeight="1">
      <c r="A387" s="37"/>
      <c r="B387" s="38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</row>
    <row r="388" ht="18.0" customHeight="1">
      <c r="A388" s="37"/>
      <c r="B388" s="38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</row>
    <row r="389" ht="18.0" customHeight="1">
      <c r="A389" s="37"/>
      <c r="B389" s="38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</row>
    <row r="390" ht="18.0" customHeight="1">
      <c r="A390" s="37"/>
      <c r="B390" s="38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</row>
    <row r="391" ht="18.0" customHeight="1">
      <c r="A391" s="37"/>
      <c r="B391" s="38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</row>
    <row r="392" ht="18.0" customHeight="1">
      <c r="A392" s="37"/>
      <c r="B392" s="38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</row>
    <row r="393" ht="18.0" customHeight="1">
      <c r="A393" s="37"/>
      <c r="B393" s="38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</row>
    <row r="394" ht="18.0" customHeight="1">
      <c r="A394" s="37"/>
      <c r="B394" s="38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</row>
    <row r="395" ht="18.0" customHeight="1">
      <c r="A395" s="37"/>
      <c r="B395" s="38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</row>
    <row r="396" ht="18.0" customHeight="1">
      <c r="A396" s="37"/>
      <c r="B396" s="38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</row>
    <row r="397" ht="18.0" customHeight="1">
      <c r="A397" s="37"/>
      <c r="B397" s="38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</row>
    <row r="398" ht="18.0" customHeight="1">
      <c r="A398" s="37"/>
      <c r="B398" s="38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</row>
    <row r="399" ht="18.0" customHeight="1">
      <c r="A399" s="37"/>
      <c r="B399" s="38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</row>
    <row r="400" ht="18.0" customHeight="1">
      <c r="A400" s="37"/>
      <c r="B400" s="38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</row>
    <row r="401" ht="18.0" customHeight="1">
      <c r="A401" s="37"/>
      <c r="B401" s="38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</row>
    <row r="402" ht="18.0" customHeight="1">
      <c r="A402" s="37"/>
      <c r="B402" s="38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</row>
    <row r="403" ht="18.0" customHeight="1">
      <c r="A403" s="37"/>
      <c r="B403" s="38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</row>
    <row r="404" ht="18.0" customHeight="1">
      <c r="A404" s="37"/>
      <c r="B404" s="38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</row>
    <row r="405" ht="18.0" customHeight="1">
      <c r="A405" s="37"/>
      <c r="B405" s="38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</row>
    <row r="406" ht="18.0" customHeight="1">
      <c r="A406" s="37"/>
      <c r="B406" s="38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</row>
    <row r="407" ht="18.0" customHeight="1">
      <c r="A407" s="37"/>
      <c r="B407" s="38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</row>
    <row r="408" ht="18.0" customHeight="1">
      <c r="A408" s="37"/>
      <c r="B408" s="38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</row>
    <row r="409" ht="18.0" customHeight="1">
      <c r="A409" s="37"/>
      <c r="B409" s="38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</row>
    <row r="410" ht="18.0" customHeight="1">
      <c r="A410" s="37"/>
      <c r="B410" s="38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</row>
    <row r="411" ht="18.0" customHeight="1">
      <c r="A411" s="37"/>
      <c r="B411" s="38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</row>
    <row r="412" ht="18.0" customHeight="1">
      <c r="A412" s="37"/>
      <c r="B412" s="38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</row>
    <row r="413" ht="18.0" customHeight="1">
      <c r="A413" s="37"/>
      <c r="B413" s="38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</row>
    <row r="414" ht="18.0" customHeight="1">
      <c r="A414" s="37"/>
      <c r="B414" s="38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</row>
    <row r="415" ht="18.0" customHeight="1">
      <c r="A415" s="37"/>
      <c r="B415" s="38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</row>
    <row r="416" ht="18.0" customHeight="1">
      <c r="A416" s="37"/>
      <c r="B416" s="38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</row>
    <row r="417" ht="18.0" customHeight="1">
      <c r="A417" s="37"/>
      <c r="B417" s="38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</row>
    <row r="418" ht="18.0" customHeight="1">
      <c r="A418" s="37"/>
      <c r="B418" s="38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</row>
    <row r="419" ht="18.0" customHeight="1">
      <c r="A419" s="37"/>
      <c r="B419" s="38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</row>
    <row r="420" ht="18.0" customHeight="1">
      <c r="A420" s="37"/>
      <c r="B420" s="38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</row>
    <row r="421" ht="18.0" customHeight="1">
      <c r="A421" s="37"/>
      <c r="B421" s="38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</row>
    <row r="422" ht="18.0" customHeight="1">
      <c r="A422" s="37"/>
      <c r="B422" s="38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</row>
    <row r="423" ht="18.0" customHeight="1">
      <c r="A423" s="37"/>
      <c r="B423" s="38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</row>
    <row r="424" ht="18.0" customHeight="1">
      <c r="A424" s="37"/>
      <c r="B424" s="38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</row>
    <row r="425" ht="18.0" customHeight="1">
      <c r="A425" s="37"/>
      <c r="B425" s="38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</row>
    <row r="426" ht="18.0" customHeight="1">
      <c r="A426" s="37"/>
      <c r="B426" s="38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</row>
    <row r="427" ht="18.0" customHeight="1">
      <c r="A427" s="37"/>
      <c r="B427" s="38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</row>
    <row r="428" ht="18.0" customHeight="1">
      <c r="A428" s="37"/>
      <c r="B428" s="38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</row>
    <row r="429" ht="18.0" customHeight="1">
      <c r="A429" s="37"/>
      <c r="B429" s="38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</row>
    <row r="430" ht="18.0" customHeight="1">
      <c r="A430" s="37"/>
      <c r="B430" s="38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</row>
    <row r="431" ht="18.0" customHeight="1">
      <c r="A431" s="37"/>
      <c r="B431" s="38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</row>
    <row r="432" ht="18.0" customHeight="1">
      <c r="A432" s="37"/>
      <c r="B432" s="38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</row>
    <row r="433" ht="18.0" customHeight="1">
      <c r="A433" s="37"/>
      <c r="B433" s="38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</row>
    <row r="434" ht="18.0" customHeight="1">
      <c r="A434" s="37"/>
      <c r="B434" s="38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</row>
    <row r="435" ht="18.0" customHeight="1">
      <c r="A435" s="37"/>
      <c r="B435" s="38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</row>
    <row r="436" ht="18.0" customHeight="1">
      <c r="A436" s="37"/>
      <c r="B436" s="38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</row>
    <row r="437" ht="18.0" customHeight="1">
      <c r="A437" s="37"/>
      <c r="B437" s="38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</row>
    <row r="438" ht="18.0" customHeight="1">
      <c r="A438" s="37"/>
      <c r="B438" s="38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</row>
    <row r="439" ht="18.0" customHeight="1">
      <c r="A439" s="37"/>
      <c r="B439" s="38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</row>
    <row r="440" ht="18.0" customHeight="1">
      <c r="A440" s="37"/>
      <c r="B440" s="38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</row>
    <row r="441" ht="18.0" customHeight="1">
      <c r="A441" s="37"/>
      <c r="B441" s="38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</row>
    <row r="442" ht="18.0" customHeight="1">
      <c r="A442" s="37"/>
      <c r="B442" s="38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</row>
    <row r="443" ht="18.0" customHeight="1">
      <c r="A443" s="37"/>
      <c r="B443" s="38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</row>
    <row r="444" ht="18.0" customHeight="1">
      <c r="A444" s="37"/>
      <c r="B444" s="38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</row>
    <row r="445" ht="18.0" customHeight="1">
      <c r="A445" s="37"/>
      <c r="B445" s="38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</row>
    <row r="446" ht="18.0" customHeight="1">
      <c r="A446" s="37"/>
      <c r="B446" s="38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</row>
    <row r="447" ht="18.0" customHeight="1">
      <c r="A447" s="37"/>
      <c r="B447" s="38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</row>
    <row r="448" ht="18.0" customHeight="1">
      <c r="A448" s="37"/>
      <c r="B448" s="38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</row>
    <row r="449" ht="18.0" customHeight="1">
      <c r="A449" s="37"/>
      <c r="B449" s="38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</row>
    <row r="450" ht="18.0" customHeight="1">
      <c r="A450" s="37"/>
      <c r="B450" s="38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</row>
    <row r="451" ht="18.0" customHeight="1">
      <c r="A451" s="37"/>
      <c r="B451" s="38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</row>
    <row r="452" ht="18.0" customHeight="1">
      <c r="A452" s="37"/>
      <c r="B452" s="38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</row>
    <row r="453" ht="18.0" customHeight="1">
      <c r="A453" s="37"/>
      <c r="B453" s="38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</row>
    <row r="454" ht="18.0" customHeight="1">
      <c r="A454" s="37"/>
      <c r="B454" s="38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</row>
    <row r="455" ht="18.0" customHeight="1">
      <c r="A455" s="37"/>
      <c r="B455" s="38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</row>
    <row r="456" ht="18.0" customHeight="1">
      <c r="A456" s="37"/>
      <c r="B456" s="38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</row>
    <row r="457" ht="18.0" customHeight="1">
      <c r="A457" s="37"/>
      <c r="B457" s="38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</row>
    <row r="458" ht="18.0" customHeight="1">
      <c r="A458" s="37"/>
      <c r="B458" s="38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</row>
    <row r="459" ht="18.0" customHeight="1">
      <c r="A459" s="37"/>
      <c r="B459" s="38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</row>
    <row r="460" ht="18.0" customHeight="1">
      <c r="A460" s="37"/>
      <c r="B460" s="38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</row>
    <row r="461" ht="18.0" customHeight="1">
      <c r="A461" s="37"/>
      <c r="B461" s="38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</row>
    <row r="462" ht="18.0" customHeight="1">
      <c r="A462" s="37"/>
      <c r="B462" s="38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</row>
    <row r="463" ht="18.0" customHeight="1">
      <c r="A463" s="37"/>
      <c r="B463" s="38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</row>
    <row r="464" ht="18.0" customHeight="1">
      <c r="A464" s="37"/>
      <c r="B464" s="38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</row>
    <row r="465" ht="18.0" customHeight="1">
      <c r="A465" s="37"/>
      <c r="B465" s="38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</row>
    <row r="466" ht="18.0" customHeight="1">
      <c r="A466" s="37"/>
      <c r="B466" s="38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</row>
    <row r="467" ht="18.0" customHeight="1">
      <c r="A467" s="37"/>
      <c r="B467" s="38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</row>
    <row r="468" ht="18.0" customHeight="1">
      <c r="A468" s="37"/>
      <c r="B468" s="38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</row>
    <row r="469" ht="18.0" customHeight="1">
      <c r="A469" s="37"/>
      <c r="B469" s="38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</row>
    <row r="470" ht="18.0" customHeight="1">
      <c r="A470" s="37"/>
      <c r="B470" s="38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</row>
    <row r="471" ht="18.0" customHeight="1">
      <c r="A471" s="37"/>
      <c r="B471" s="38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</row>
    <row r="472" ht="18.0" customHeight="1">
      <c r="A472" s="37"/>
      <c r="B472" s="38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</row>
    <row r="473" ht="18.0" customHeight="1">
      <c r="A473" s="37"/>
      <c r="B473" s="38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</row>
    <row r="474" ht="18.0" customHeight="1">
      <c r="A474" s="37"/>
      <c r="B474" s="38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</row>
    <row r="475" ht="18.0" customHeight="1">
      <c r="A475" s="37"/>
      <c r="B475" s="38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</row>
    <row r="476" ht="18.0" customHeight="1">
      <c r="A476" s="37"/>
      <c r="B476" s="38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</row>
    <row r="477" ht="18.0" customHeight="1">
      <c r="A477" s="37"/>
      <c r="B477" s="38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</row>
    <row r="478" ht="18.0" customHeight="1">
      <c r="A478" s="37"/>
      <c r="B478" s="38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</row>
    <row r="479" ht="18.0" customHeight="1">
      <c r="A479" s="37"/>
      <c r="B479" s="38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</row>
    <row r="480" ht="18.0" customHeight="1">
      <c r="A480" s="37"/>
      <c r="B480" s="38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</row>
    <row r="481" ht="18.0" customHeight="1">
      <c r="A481" s="37"/>
      <c r="B481" s="38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</row>
    <row r="482" ht="18.0" customHeight="1">
      <c r="A482" s="37"/>
      <c r="B482" s="38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</row>
    <row r="483" ht="18.0" customHeight="1">
      <c r="A483" s="37"/>
      <c r="B483" s="38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</row>
    <row r="484" ht="18.0" customHeight="1">
      <c r="A484" s="37"/>
      <c r="B484" s="38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</row>
    <row r="485" ht="18.0" customHeight="1">
      <c r="A485" s="37"/>
      <c r="B485" s="38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</row>
    <row r="486" ht="18.0" customHeight="1">
      <c r="A486" s="37"/>
      <c r="B486" s="38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</row>
    <row r="487" ht="18.0" customHeight="1">
      <c r="A487" s="37"/>
      <c r="B487" s="38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</row>
    <row r="488" ht="18.0" customHeight="1">
      <c r="A488" s="37"/>
      <c r="B488" s="38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</row>
    <row r="489" ht="18.0" customHeight="1">
      <c r="A489" s="37"/>
      <c r="B489" s="38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</row>
    <row r="490" ht="18.0" customHeight="1">
      <c r="A490" s="37"/>
      <c r="B490" s="38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</row>
    <row r="491" ht="18.0" customHeight="1">
      <c r="A491" s="37"/>
      <c r="B491" s="38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</row>
    <row r="492" ht="18.0" customHeight="1">
      <c r="A492" s="37"/>
      <c r="B492" s="38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</row>
    <row r="493" ht="18.0" customHeight="1">
      <c r="A493" s="37"/>
      <c r="B493" s="38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</row>
    <row r="494" ht="18.0" customHeight="1">
      <c r="A494" s="37"/>
      <c r="B494" s="38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</row>
    <row r="495" ht="18.0" customHeight="1">
      <c r="A495" s="37"/>
      <c r="B495" s="38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</row>
    <row r="496" ht="18.0" customHeight="1">
      <c r="A496" s="37"/>
      <c r="B496" s="38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</row>
    <row r="497" ht="18.0" customHeight="1">
      <c r="A497" s="37"/>
      <c r="B497" s="38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</row>
    <row r="498" ht="18.0" customHeight="1">
      <c r="A498" s="37"/>
      <c r="B498" s="38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</row>
    <row r="499" ht="18.0" customHeight="1">
      <c r="A499" s="37"/>
      <c r="B499" s="38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</row>
    <row r="500" ht="18.0" customHeight="1">
      <c r="A500" s="37"/>
      <c r="B500" s="38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</row>
    <row r="501" ht="18.0" customHeight="1">
      <c r="A501" s="37"/>
      <c r="B501" s="38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</row>
    <row r="502" ht="18.0" customHeight="1">
      <c r="A502" s="37"/>
      <c r="B502" s="38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</row>
    <row r="503" ht="18.0" customHeight="1">
      <c r="A503" s="37"/>
      <c r="B503" s="38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</row>
    <row r="504" ht="18.0" customHeight="1">
      <c r="A504" s="37"/>
      <c r="B504" s="38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</row>
    <row r="505" ht="18.0" customHeight="1">
      <c r="A505" s="37"/>
      <c r="B505" s="38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</row>
    <row r="506" ht="18.0" customHeight="1">
      <c r="A506" s="37"/>
      <c r="B506" s="38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</row>
    <row r="507" ht="18.0" customHeight="1">
      <c r="A507" s="37"/>
      <c r="B507" s="38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</row>
    <row r="508" ht="18.0" customHeight="1">
      <c r="A508" s="37"/>
      <c r="B508" s="38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</row>
    <row r="509" ht="18.0" customHeight="1">
      <c r="A509" s="37"/>
      <c r="B509" s="38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</row>
    <row r="510" ht="18.0" customHeight="1">
      <c r="A510" s="37"/>
      <c r="B510" s="38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</row>
    <row r="511" ht="18.0" customHeight="1">
      <c r="A511" s="37"/>
      <c r="B511" s="38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</row>
    <row r="512" ht="18.0" customHeight="1">
      <c r="A512" s="37"/>
      <c r="B512" s="38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</row>
    <row r="513" ht="18.0" customHeight="1">
      <c r="A513" s="37"/>
      <c r="B513" s="38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</row>
    <row r="514" ht="18.0" customHeight="1">
      <c r="A514" s="37"/>
      <c r="B514" s="38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</row>
    <row r="515" ht="18.0" customHeight="1">
      <c r="A515" s="37"/>
      <c r="B515" s="38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</row>
    <row r="516" ht="18.0" customHeight="1">
      <c r="A516" s="37"/>
      <c r="B516" s="38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</row>
    <row r="517" ht="18.0" customHeight="1">
      <c r="A517" s="37"/>
      <c r="B517" s="38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</row>
    <row r="518" ht="18.0" customHeight="1">
      <c r="A518" s="37"/>
      <c r="B518" s="38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</row>
    <row r="519" ht="18.0" customHeight="1">
      <c r="A519" s="37"/>
      <c r="B519" s="38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</row>
    <row r="520" ht="18.0" customHeight="1">
      <c r="A520" s="37"/>
      <c r="B520" s="38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</row>
    <row r="521" ht="18.0" customHeight="1">
      <c r="A521" s="37"/>
      <c r="B521" s="38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</row>
    <row r="522" ht="18.0" customHeight="1">
      <c r="A522" s="37"/>
      <c r="B522" s="38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</row>
    <row r="523" ht="18.0" customHeight="1">
      <c r="A523" s="37"/>
      <c r="B523" s="38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</row>
    <row r="524" ht="18.0" customHeight="1">
      <c r="A524" s="37"/>
      <c r="B524" s="38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</row>
    <row r="525" ht="18.0" customHeight="1">
      <c r="A525" s="37"/>
      <c r="B525" s="38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</row>
    <row r="526" ht="18.0" customHeight="1">
      <c r="A526" s="37"/>
      <c r="B526" s="38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</row>
    <row r="527" ht="18.0" customHeight="1">
      <c r="A527" s="37"/>
      <c r="B527" s="38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</row>
    <row r="528" ht="18.0" customHeight="1">
      <c r="A528" s="37"/>
      <c r="B528" s="38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</row>
    <row r="529" ht="18.0" customHeight="1">
      <c r="A529" s="37"/>
      <c r="B529" s="38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</row>
    <row r="530" ht="18.0" customHeight="1">
      <c r="A530" s="37"/>
      <c r="B530" s="38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</row>
    <row r="531" ht="18.0" customHeight="1">
      <c r="A531" s="37"/>
      <c r="B531" s="38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</row>
    <row r="532" ht="18.0" customHeight="1">
      <c r="A532" s="37"/>
      <c r="B532" s="38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</row>
    <row r="533" ht="18.0" customHeight="1">
      <c r="A533" s="37"/>
      <c r="B533" s="38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</row>
    <row r="534" ht="18.0" customHeight="1">
      <c r="A534" s="37"/>
      <c r="B534" s="38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</row>
    <row r="535" ht="18.0" customHeight="1">
      <c r="A535" s="37"/>
      <c r="B535" s="38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</row>
    <row r="536" ht="18.0" customHeight="1">
      <c r="A536" s="37"/>
      <c r="B536" s="38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</row>
    <row r="537" ht="18.0" customHeight="1">
      <c r="A537" s="37"/>
      <c r="B537" s="38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</row>
    <row r="538" ht="18.0" customHeight="1">
      <c r="A538" s="37"/>
      <c r="B538" s="38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</row>
    <row r="539" ht="18.0" customHeight="1">
      <c r="A539" s="37"/>
      <c r="B539" s="38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</row>
    <row r="540" ht="18.0" customHeight="1">
      <c r="A540" s="37"/>
      <c r="B540" s="38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</row>
    <row r="541" ht="18.0" customHeight="1">
      <c r="A541" s="37"/>
      <c r="B541" s="38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</row>
    <row r="542" ht="18.0" customHeight="1">
      <c r="A542" s="37"/>
      <c r="B542" s="38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</row>
    <row r="543" ht="18.0" customHeight="1">
      <c r="A543" s="37"/>
      <c r="B543" s="38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</row>
    <row r="544" ht="18.0" customHeight="1">
      <c r="A544" s="37"/>
      <c r="B544" s="38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</row>
    <row r="545" ht="18.0" customHeight="1">
      <c r="A545" s="37"/>
      <c r="B545" s="38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</row>
    <row r="546" ht="18.0" customHeight="1">
      <c r="A546" s="37"/>
      <c r="B546" s="38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</row>
    <row r="547" ht="18.0" customHeight="1">
      <c r="A547" s="37"/>
      <c r="B547" s="38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</row>
    <row r="548" ht="18.0" customHeight="1">
      <c r="A548" s="37"/>
      <c r="B548" s="38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</row>
    <row r="549" ht="18.0" customHeight="1">
      <c r="A549" s="37"/>
      <c r="B549" s="38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</row>
    <row r="550" ht="18.0" customHeight="1">
      <c r="A550" s="37"/>
      <c r="B550" s="38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</row>
    <row r="551" ht="18.0" customHeight="1">
      <c r="A551" s="37"/>
      <c r="B551" s="38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</row>
    <row r="552" ht="18.0" customHeight="1">
      <c r="A552" s="37"/>
      <c r="B552" s="38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</row>
    <row r="553" ht="18.0" customHeight="1">
      <c r="A553" s="37"/>
      <c r="B553" s="38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</row>
    <row r="554" ht="18.0" customHeight="1">
      <c r="A554" s="37"/>
      <c r="B554" s="38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</row>
    <row r="555" ht="18.0" customHeight="1">
      <c r="A555" s="37"/>
      <c r="B555" s="38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</row>
    <row r="556" ht="18.0" customHeight="1">
      <c r="A556" s="37"/>
      <c r="B556" s="38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</row>
    <row r="557" ht="18.0" customHeight="1">
      <c r="A557" s="37"/>
      <c r="B557" s="38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</row>
    <row r="558" ht="18.0" customHeight="1">
      <c r="A558" s="37"/>
      <c r="B558" s="38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</row>
    <row r="559" ht="18.0" customHeight="1">
      <c r="A559" s="37"/>
      <c r="B559" s="38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</row>
    <row r="560" ht="18.0" customHeight="1">
      <c r="A560" s="37"/>
      <c r="B560" s="38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</row>
    <row r="561" ht="18.0" customHeight="1">
      <c r="A561" s="37"/>
      <c r="B561" s="38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</row>
    <row r="562" ht="18.0" customHeight="1">
      <c r="A562" s="37"/>
      <c r="B562" s="38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</row>
    <row r="563" ht="18.0" customHeight="1">
      <c r="A563" s="37"/>
      <c r="B563" s="38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</row>
    <row r="564" ht="18.0" customHeight="1">
      <c r="A564" s="37"/>
      <c r="B564" s="38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</row>
    <row r="565" ht="18.0" customHeight="1">
      <c r="A565" s="37"/>
      <c r="B565" s="38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</row>
    <row r="566" ht="18.0" customHeight="1">
      <c r="A566" s="37"/>
      <c r="B566" s="38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</row>
    <row r="567" ht="18.0" customHeight="1">
      <c r="A567" s="37"/>
      <c r="B567" s="38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</row>
    <row r="568" ht="18.0" customHeight="1">
      <c r="A568" s="37"/>
      <c r="B568" s="38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</row>
    <row r="569" ht="18.0" customHeight="1">
      <c r="A569" s="37"/>
      <c r="B569" s="38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</row>
    <row r="570" ht="18.0" customHeight="1">
      <c r="A570" s="37"/>
      <c r="B570" s="38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</row>
    <row r="571" ht="18.0" customHeight="1">
      <c r="A571" s="37"/>
      <c r="B571" s="38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</row>
    <row r="572" ht="18.0" customHeight="1">
      <c r="A572" s="37"/>
      <c r="B572" s="38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</row>
    <row r="573" ht="18.0" customHeight="1">
      <c r="A573" s="37"/>
      <c r="B573" s="38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</row>
    <row r="574" ht="18.0" customHeight="1">
      <c r="A574" s="37"/>
      <c r="B574" s="38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</row>
    <row r="575" ht="18.0" customHeight="1">
      <c r="A575" s="37"/>
      <c r="B575" s="38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</row>
    <row r="576" ht="18.0" customHeight="1">
      <c r="A576" s="37"/>
      <c r="B576" s="38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</row>
    <row r="577" ht="18.0" customHeight="1">
      <c r="A577" s="37"/>
      <c r="B577" s="38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</row>
    <row r="578" ht="18.0" customHeight="1">
      <c r="A578" s="37"/>
      <c r="B578" s="38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</row>
    <row r="579" ht="18.0" customHeight="1">
      <c r="A579" s="37"/>
      <c r="B579" s="38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</row>
    <row r="580" ht="18.0" customHeight="1">
      <c r="A580" s="37"/>
      <c r="B580" s="38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</row>
    <row r="581" ht="18.0" customHeight="1">
      <c r="A581" s="37"/>
      <c r="B581" s="38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</row>
    <row r="582" ht="18.0" customHeight="1">
      <c r="A582" s="37"/>
      <c r="B582" s="38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</row>
    <row r="583" ht="18.0" customHeight="1">
      <c r="A583" s="37"/>
      <c r="B583" s="38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</row>
    <row r="584" ht="18.0" customHeight="1">
      <c r="A584" s="37"/>
      <c r="B584" s="38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</row>
    <row r="585" ht="18.0" customHeight="1">
      <c r="A585" s="37"/>
      <c r="B585" s="38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</row>
    <row r="586" ht="18.0" customHeight="1">
      <c r="A586" s="37"/>
      <c r="B586" s="38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</row>
    <row r="587" ht="18.0" customHeight="1">
      <c r="A587" s="37"/>
      <c r="B587" s="38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</row>
    <row r="588" ht="18.0" customHeight="1">
      <c r="A588" s="37"/>
      <c r="B588" s="38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</row>
    <row r="589" ht="18.0" customHeight="1">
      <c r="A589" s="37"/>
      <c r="B589" s="38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</row>
    <row r="590" ht="18.0" customHeight="1">
      <c r="A590" s="37"/>
      <c r="B590" s="38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</row>
    <row r="591" ht="18.0" customHeight="1">
      <c r="A591" s="37"/>
      <c r="B591" s="38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</row>
    <row r="592" ht="18.0" customHeight="1">
      <c r="A592" s="37"/>
      <c r="B592" s="38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</row>
    <row r="593" ht="18.0" customHeight="1">
      <c r="A593" s="37"/>
      <c r="B593" s="38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</row>
    <row r="594" ht="18.0" customHeight="1">
      <c r="A594" s="37"/>
      <c r="B594" s="38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</row>
    <row r="595" ht="18.0" customHeight="1">
      <c r="A595" s="37"/>
      <c r="B595" s="38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</row>
    <row r="596" ht="18.0" customHeight="1">
      <c r="A596" s="37"/>
      <c r="B596" s="38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</row>
    <row r="597" ht="18.0" customHeight="1">
      <c r="A597" s="37"/>
      <c r="B597" s="38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</row>
    <row r="598" ht="18.0" customHeight="1">
      <c r="A598" s="37"/>
      <c r="B598" s="38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</row>
    <row r="599" ht="18.0" customHeight="1">
      <c r="A599" s="37"/>
      <c r="B599" s="38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</row>
    <row r="600" ht="18.0" customHeight="1">
      <c r="A600" s="37"/>
      <c r="B600" s="38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</row>
    <row r="601" ht="18.0" customHeight="1">
      <c r="A601" s="37"/>
      <c r="B601" s="38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</row>
    <row r="602" ht="18.0" customHeight="1">
      <c r="A602" s="37"/>
      <c r="B602" s="38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</row>
    <row r="603" ht="18.0" customHeight="1">
      <c r="A603" s="37"/>
      <c r="B603" s="38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</row>
    <row r="604" ht="18.0" customHeight="1">
      <c r="A604" s="37"/>
      <c r="B604" s="38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</row>
    <row r="605" ht="18.0" customHeight="1">
      <c r="A605" s="37"/>
      <c r="B605" s="38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</row>
    <row r="606" ht="18.0" customHeight="1">
      <c r="A606" s="37"/>
      <c r="B606" s="38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</row>
    <row r="607" ht="18.0" customHeight="1">
      <c r="A607" s="37"/>
      <c r="B607" s="38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</row>
    <row r="608" ht="18.0" customHeight="1">
      <c r="A608" s="37"/>
      <c r="B608" s="38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</row>
    <row r="609" ht="18.0" customHeight="1">
      <c r="A609" s="37"/>
      <c r="B609" s="38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</row>
    <row r="610" ht="18.0" customHeight="1">
      <c r="A610" s="37"/>
      <c r="B610" s="38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</row>
    <row r="611" ht="18.0" customHeight="1">
      <c r="A611" s="37"/>
      <c r="B611" s="38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</row>
    <row r="612" ht="18.0" customHeight="1">
      <c r="A612" s="37"/>
      <c r="B612" s="38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</row>
    <row r="613" ht="18.0" customHeight="1">
      <c r="A613" s="37"/>
      <c r="B613" s="38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</row>
    <row r="614" ht="18.0" customHeight="1">
      <c r="A614" s="37"/>
      <c r="B614" s="38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</row>
    <row r="615" ht="18.0" customHeight="1">
      <c r="A615" s="37"/>
      <c r="B615" s="38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</row>
    <row r="616" ht="18.0" customHeight="1">
      <c r="A616" s="37"/>
      <c r="B616" s="38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</row>
    <row r="617" ht="18.0" customHeight="1">
      <c r="A617" s="37"/>
      <c r="B617" s="38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</row>
    <row r="618" ht="18.0" customHeight="1">
      <c r="A618" s="37"/>
      <c r="B618" s="38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</row>
    <row r="619" ht="18.0" customHeight="1">
      <c r="A619" s="37"/>
      <c r="B619" s="38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</row>
    <row r="620" ht="18.0" customHeight="1">
      <c r="A620" s="37"/>
      <c r="B620" s="38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</row>
    <row r="621" ht="18.0" customHeight="1">
      <c r="A621" s="37"/>
      <c r="B621" s="38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</row>
    <row r="622" ht="18.0" customHeight="1">
      <c r="A622" s="37"/>
      <c r="B622" s="38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</row>
    <row r="623" ht="18.0" customHeight="1">
      <c r="A623" s="37"/>
      <c r="B623" s="38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</row>
    <row r="624" ht="18.0" customHeight="1">
      <c r="A624" s="37"/>
      <c r="B624" s="38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</row>
    <row r="625" ht="18.0" customHeight="1">
      <c r="A625" s="37"/>
      <c r="B625" s="38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</row>
    <row r="626" ht="18.0" customHeight="1">
      <c r="A626" s="37"/>
      <c r="B626" s="38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</row>
    <row r="627" ht="18.0" customHeight="1">
      <c r="A627" s="37"/>
      <c r="B627" s="38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</row>
    <row r="628" ht="18.0" customHeight="1">
      <c r="A628" s="37"/>
      <c r="B628" s="38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</row>
    <row r="629" ht="18.0" customHeight="1">
      <c r="A629" s="37"/>
      <c r="B629" s="38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</row>
    <row r="630" ht="18.0" customHeight="1">
      <c r="A630" s="37"/>
      <c r="B630" s="38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</row>
    <row r="631" ht="18.0" customHeight="1">
      <c r="A631" s="37"/>
      <c r="B631" s="38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</row>
    <row r="632" ht="18.0" customHeight="1">
      <c r="A632" s="37"/>
      <c r="B632" s="38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</row>
    <row r="633" ht="18.0" customHeight="1">
      <c r="A633" s="37"/>
      <c r="B633" s="38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</row>
    <row r="634" ht="18.0" customHeight="1">
      <c r="A634" s="37"/>
      <c r="B634" s="38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</row>
    <row r="635" ht="18.0" customHeight="1">
      <c r="A635" s="37"/>
      <c r="B635" s="38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</row>
    <row r="636" ht="18.0" customHeight="1">
      <c r="A636" s="37"/>
      <c r="B636" s="38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</row>
    <row r="637" ht="18.0" customHeight="1">
      <c r="A637" s="37"/>
      <c r="B637" s="38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</row>
    <row r="638" ht="18.0" customHeight="1">
      <c r="A638" s="37"/>
      <c r="B638" s="38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</row>
    <row r="639" ht="18.0" customHeight="1">
      <c r="A639" s="37"/>
      <c r="B639" s="38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</row>
    <row r="640" ht="18.0" customHeight="1">
      <c r="A640" s="37"/>
      <c r="B640" s="38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</row>
    <row r="641" ht="18.0" customHeight="1">
      <c r="A641" s="37"/>
      <c r="B641" s="38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</row>
    <row r="642" ht="18.0" customHeight="1">
      <c r="A642" s="37"/>
      <c r="B642" s="38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</row>
    <row r="643" ht="18.0" customHeight="1">
      <c r="A643" s="37"/>
      <c r="B643" s="38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</row>
    <row r="644" ht="18.0" customHeight="1">
      <c r="A644" s="37"/>
      <c r="B644" s="38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</row>
    <row r="645" ht="18.0" customHeight="1">
      <c r="A645" s="37"/>
      <c r="B645" s="38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</row>
    <row r="646" ht="18.0" customHeight="1">
      <c r="A646" s="37"/>
      <c r="B646" s="38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</row>
    <row r="647" ht="18.0" customHeight="1">
      <c r="A647" s="37"/>
      <c r="B647" s="38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</row>
    <row r="648" ht="18.0" customHeight="1">
      <c r="A648" s="37"/>
      <c r="B648" s="38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</row>
    <row r="649" ht="18.0" customHeight="1">
      <c r="A649" s="37"/>
      <c r="B649" s="38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</row>
    <row r="650" ht="18.0" customHeight="1">
      <c r="A650" s="37"/>
      <c r="B650" s="38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</row>
    <row r="651" ht="18.0" customHeight="1">
      <c r="A651" s="37"/>
      <c r="B651" s="38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</row>
    <row r="652" ht="18.0" customHeight="1">
      <c r="A652" s="37"/>
      <c r="B652" s="38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</row>
    <row r="653" ht="18.0" customHeight="1">
      <c r="A653" s="37"/>
      <c r="B653" s="38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</row>
    <row r="654" ht="18.0" customHeight="1">
      <c r="A654" s="37"/>
      <c r="B654" s="38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</row>
    <row r="655" ht="18.0" customHeight="1">
      <c r="A655" s="37"/>
      <c r="B655" s="38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</row>
    <row r="656" ht="18.0" customHeight="1">
      <c r="A656" s="37"/>
      <c r="B656" s="38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</row>
    <row r="657" ht="18.0" customHeight="1">
      <c r="A657" s="37"/>
      <c r="B657" s="38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</row>
    <row r="658" ht="18.0" customHeight="1">
      <c r="A658" s="37"/>
      <c r="B658" s="38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</row>
    <row r="659" ht="18.0" customHeight="1">
      <c r="A659" s="37"/>
      <c r="B659" s="38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</row>
    <row r="660" ht="18.0" customHeight="1">
      <c r="A660" s="37"/>
      <c r="B660" s="38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</row>
    <row r="661" ht="18.0" customHeight="1">
      <c r="A661" s="37"/>
      <c r="B661" s="38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</row>
    <row r="662" ht="18.0" customHeight="1">
      <c r="A662" s="37"/>
      <c r="B662" s="38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</row>
    <row r="663" ht="18.0" customHeight="1">
      <c r="A663" s="37"/>
      <c r="B663" s="38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</row>
    <row r="664" ht="18.0" customHeight="1">
      <c r="A664" s="37"/>
      <c r="B664" s="38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</row>
    <row r="665" ht="18.0" customHeight="1">
      <c r="A665" s="37"/>
      <c r="B665" s="38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</row>
    <row r="666" ht="18.0" customHeight="1">
      <c r="A666" s="37"/>
      <c r="B666" s="38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</row>
    <row r="667" ht="18.0" customHeight="1">
      <c r="A667" s="37"/>
      <c r="B667" s="38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</row>
    <row r="668" ht="18.0" customHeight="1">
      <c r="A668" s="37"/>
      <c r="B668" s="38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</row>
    <row r="669" ht="18.0" customHeight="1">
      <c r="A669" s="37"/>
      <c r="B669" s="38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</row>
    <row r="670" ht="18.0" customHeight="1">
      <c r="A670" s="37"/>
      <c r="B670" s="38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</row>
    <row r="671" ht="18.0" customHeight="1">
      <c r="A671" s="37"/>
      <c r="B671" s="38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</row>
    <row r="672" ht="18.0" customHeight="1">
      <c r="A672" s="37"/>
      <c r="B672" s="38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</row>
    <row r="673" ht="18.0" customHeight="1">
      <c r="A673" s="37"/>
      <c r="B673" s="38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</row>
    <row r="674" ht="18.0" customHeight="1">
      <c r="A674" s="37"/>
      <c r="B674" s="38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</row>
    <row r="675" ht="18.0" customHeight="1">
      <c r="A675" s="37"/>
      <c r="B675" s="38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</row>
    <row r="676" ht="18.0" customHeight="1">
      <c r="A676" s="37"/>
      <c r="B676" s="38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</row>
    <row r="677" ht="18.0" customHeight="1">
      <c r="A677" s="37"/>
      <c r="B677" s="38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</row>
    <row r="678" ht="18.0" customHeight="1">
      <c r="A678" s="37"/>
      <c r="B678" s="38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</row>
    <row r="679" ht="18.0" customHeight="1">
      <c r="A679" s="37"/>
      <c r="B679" s="38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</row>
    <row r="680" ht="18.0" customHeight="1">
      <c r="A680" s="37"/>
      <c r="B680" s="38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</row>
    <row r="681" ht="18.0" customHeight="1">
      <c r="A681" s="37"/>
      <c r="B681" s="38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</row>
    <row r="682" ht="18.0" customHeight="1">
      <c r="A682" s="37"/>
      <c r="B682" s="38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</row>
    <row r="683" ht="18.0" customHeight="1">
      <c r="A683" s="37"/>
      <c r="B683" s="38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</row>
    <row r="684" ht="18.0" customHeight="1">
      <c r="A684" s="37"/>
      <c r="B684" s="38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</row>
    <row r="685" ht="18.0" customHeight="1">
      <c r="A685" s="37"/>
      <c r="B685" s="38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</row>
    <row r="686" ht="18.0" customHeight="1">
      <c r="A686" s="37"/>
      <c r="B686" s="38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</row>
    <row r="687" ht="18.0" customHeight="1">
      <c r="A687" s="37"/>
      <c r="B687" s="38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</row>
    <row r="688" ht="18.0" customHeight="1">
      <c r="A688" s="37"/>
      <c r="B688" s="38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</row>
    <row r="689" ht="18.0" customHeight="1">
      <c r="A689" s="37"/>
      <c r="B689" s="38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</row>
    <row r="690" ht="18.0" customHeight="1">
      <c r="A690" s="37"/>
      <c r="B690" s="38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</row>
    <row r="691" ht="18.0" customHeight="1">
      <c r="A691" s="37"/>
      <c r="B691" s="38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</row>
    <row r="692" ht="18.0" customHeight="1">
      <c r="A692" s="37"/>
      <c r="B692" s="38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</row>
    <row r="693" ht="18.0" customHeight="1">
      <c r="A693" s="37"/>
      <c r="B693" s="38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</row>
    <row r="694" ht="18.0" customHeight="1">
      <c r="A694" s="37"/>
      <c r="B694" s="38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</row>
    <row r="695" ht="18.0" customHeight="1">
      <c r="A695" s="37"/>
      <c r="B695" s="38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</row>
    <row r="696" ht="18.0" customHeight="1">
      <c r="A696" s="37"/>
      <c r="B696" s="38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</row>
    <row r="697" ht="18.0" customHeight="1">
      <c r="A697" s="37"/>
      <c r="B697" s="38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</row>
    <row r="698" ht="18.0" customHeight="1">
      <c r="A698" s="37"/>
      <c r="B698" s="38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</row>
    <row r="699" ht="18.0" customHeight="1">
      <c r="A699" s="37"/>
      <c r="B699" s="38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</row>
    <row r="700" ht="18.0" customHeight="1">
      <c r="A700" s="37"/>
      <c r="B700" s="38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</row>
    <row r="701" ht="18.0" customHeight="1">
      <c r="A701" s="37"/>
      <c r="B701" s="38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</row>
    <row r="702" ht="18.0" customHeight="1">
      <c r="A702" s="37"/>
      <c r="B702" s="38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</row>
    <row r="703" ht="18.0" customHeight="1">
      <c r="A703" s="37"/>
      <c r="B703" s="38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</row>
    <row r="704" ht="18.0" customHeight="1">
      <c r="A704" s="37"/>
      <c r="B704" s="38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</row>
    <row r="705" ht="18.0" customHeight="1">
      <c r="A705" s="37"/>
      <c r="B705" s="38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</row>
    <row r="706" ht="18.0" customHeight="1">
      <c r="A706" s="37"/>
      <c r="B706" s="38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</row>
    <row r="707" ht="18.0" customHeight="1">
      <c r="A707" s="37"/>
      <c r="B707" s="38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</row>
    <row r="708" ht="18.0" customHeight="1">
      <c r="A708" s="37"/>
      <c r="B708" s="38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</row>
    <row r="709" ht="18.0" customHeight="1">
      <c r="A709" s="37"/>
      <c r="B709" s="38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</row>
    <row r="710" ht="18.0" customHeight="1">
      <c r="A710" s="37"/>
      <c r="B710" s="38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</row>
    <row r="711" ht="18.0" customHeight="1">
      <c r="A711" s="37"/>
      <c r="B711" s="38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</row>
    <row r="712" ht="18.0" customHeight="1">
      <c r="A712" s="37"/>
      <c r="B712" s="38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</row>
    <row r="713" ht="18.0" customHeight="1">
      <c r="A713" s="37"/>
      <c r="B713" s="38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</row>
    <row r="714" ht="18.0" customHeight="1">
      <c r="A714" s="37"/>
      <c r="B714" s="38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</row>
    <row r="715" ht="18.0" customHeight="1">
      <c r="A715" s="37"/>
      <c r="B715" s="38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</row>
    <row r="716" ht="18.0" customHeight="1">
      <c r="A716" s="37"/>
      <c r="B716" s="38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</row>
    <row r="717" ht="18.0" customHeight="1">
      <c r="A717" s="37"/>
      <c r="B717" s="38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</row>
    <row r="718" ht="18.0" customHeight="1">
      <c r="A718" s="37"/>
      <c r="B718" s="38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</row>
    <row r="719" ht="18.0" customHeight="1">
      <c r="A719" s="37"/>
      <c r="B719" s="38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</row>
    <row r="720" ht="18.0" customHeight="1">
      <c r="A720" s="37"/>
      <c r="B720" s="38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</row>
    <row r="721" ht="18.0" customHeight="1">
      <c r="A721" s="37"/>
      <c r="B721" s="38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</row>
    <row r="722" ht="18.0" customHeight="1">
      <c r="A722" s="37"/>
      <c r="B722" s="38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</row>
    <row r="723" ht="18.0" customHeight="1">
      <c r="A723" s="37"/>
      <c r="B723" s="38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</row>
    <row r="724" ht="18.0" customHeight="1">
      <c r="A724" s="37"/>
      <c r="B724" s="38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</row>
    <row r="725" ht="18.0" customHeight="1">
      <c r="A725" s="37"/>
      <c r="B725" s="38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</row>
    <row r="726" ht="18.0" customHeight="1">
      <c r="A726" s="37"/>
      <c r="B726" s="38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</row>
    <row r="727" ht="18.0" customHeight="1">
      <c r="A727" s="37"/>
      <c r="B727" s="38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</row>
    <row r="728" ht="18.0" customHeight="1">
      <c r="A728" s="37"/>
      <c r="B728" s="38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</row>
    <row r="729" ht="18.0" customHeight="1">
      <c r="A729" s="37"/>
      <c r="B729" s="38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</row>
    <row r="730" ht="18.0" customHeight="1">
      <c r="A730" s="37"/>
      <c r="B730" s="38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</row>
    <row r="731" ht="18.0" customHeight="1">
      <c r="A731" s="37"/>
      <c r="B731" s="38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</row>
    <row r="732" ht="18.0" customHeight="1">
      <c r="A732" s="37"/>
      <c r="B732" s="38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</row>
    <row r="733" ht="18.0" customHeight="1">
      <c r="A733" s="37"/>
      <c r="B733" s="38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</row>
    <row r="734" ht="18.0" customHeight="1">
      <c r="A734" s="37"/>
      <c r="B734" s="38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</row>
    <row r="735" ht="18.0" customHeight="1">
      <c r="A735" s="37"/>
      <c r="B735" s="38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</row>
    <row r="736" ht="18.0" customHeight="1">
      <c r="A736" s="37"/>
      <c r="B736" s="38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</row>
    <row r="737" ht="18.0" customHeight="1">
      <c r="A737" s="37"/>
      <c r="B737" s="38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</row>
    <row r="738" ht="18.0" customHeight="1">
      <c r="A738" s="37"/>
      <c r="B738" s="38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</row>
    <row r="739" ht="18.0" customHeight="1">
      <c r="A739" s="37"/>
      <c r="B739" s="38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</row>
    <row r="740" ht="18.0" customHeight="1">
      <c r="A740" s="37"/>
      <c r="B740" s="38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</row>
    <row r="741" ht="18.0" customHeight="1">
      <c r="A741" s="37"/>
      <c r="B741" s="38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</row>
    <row r="742" ht="18.0" customHeight="1">
      <c r="A742" s="37"/>
      <c r="B742" s="38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</row>
    <row r="743" ht="18.0" customHeight="1">
      <c r="A743" s="37"/>
      <c r="B743" s="38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</row>
    <row r="744" ht="18.0" customHeight="1">
      <c r="A744" s="37"/>
      <c r="B744" s="38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</row>
    <row r="745" ht="18.0" customHeight="1">
      <c r="A745" s="37"/>
      <c r="B745" s="38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</row>
    <row r="746" ht="18.0" customHeight="1">
      <c r="A746" s="37"/>
      <c r="B746" s="38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</row>
    <row r="747" ht="18.0" customHeight="1">
      <c r="A747" s="37"/>
      <c r="B747" s="38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</row>
    <row r="748" ht="18.0" customHeight="1">
      <c r="A748" s="37"/>
      <c r="B748" s="38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</row>
    <row r="749" ht="18.0" customHeight="1">
      <c r="A749" s="37"/>
      <c r="B749" s="38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</row>
    <row r="750" ht="18.0" customHeight="1">
      <c r="A750" s="37"/>
      <c r="B750" s="38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</row>
    <row r="751" ht="18.0" customHeight="1">
      <c r="A751" s="37"/>
      <c r="B751" s="38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</row>
    <row r="752" ht="18.0" customHeight="1">
      <c r="A752" s="37"/>
      <c r="B752" s="38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</row>
    <row r="753" ht="18.0" customHeight="1">
      <c r="A753" s="37"/>
      <c r="B753" s="38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</row>
    <row r="754" ht="18.0" customHeight="1">
      <c r="A754" s="37"/>
      <c r="B754" s="38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</row>
    <row r="755" ht="18.0" customHeight="1">
      <c r="A755" s="37"/>
      <c r="B755" s="38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</row>
    <row r="756" ht="18.0" customHeight="1">
      <c r="A756" s="37"/>
      <c r="B756" s="38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</row>
    <row r="757" ht="18.0" customHeight="1">
      <c r="A757" s="37"/>
      <c r="B757" s="38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</row>
    <row r="758" ht="18.0" customHeight="1">
      <c r="A758" s="37"/>
      <c r="B758" s="38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</row>
    <row r="759" ht="18.0" customHeight="1">
      <c r="A759" s="37"/>
      <c r="B759" s="38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</row>
    <row r="760" ht="18.0" customHeight="1">
      <c r="A760" s="37"/>
      <c r="B760" s="38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</row>
    <row r="761" ht="18.0" customHeight="1">
      <c r="A761" s="37"/>
      <c r="B761" s="38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</row>
    <row r="762" ht="18.0" customHeight="1">
      <c r="A762" s="37"/>
      <c r="B762" s="38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</row>
    <row r="763" ht="18.0" customHeight="1">
      <c r="A763" s="37"/>
      <c r="B763" s="38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</row>
    <row r="764" ht="18.0" customHeight="1">
      <c r="A764" s="37"/>
      <c r="B764" s="38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</row>
    <row r="765" ht="18.0" customHeight="1">
      <c r="A765" s="37"/>
      <c r="B765" s="38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</row>
    <row r="766" ht="18.0" customHeight="1">
      <c r="A766" s="37"/>
      <c r="B766" s="38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</row>
    <row r="767" ht="18.0" customHeight="1">
      <c r="A767" s="37"/>
      <c r="B767" s="38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</row>
    <row r="768" ht="18.0" customHeight="1">
      <c r="A768" s="37"/>
      <c r="B768" s="38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</row>
    <row r="769" ht="18.0" customHeight="1">
      <c r="A769" s="37"/>
      <c r="B769" s="38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</row>
    <row r="770" ht="18.0" customHeight="1">
      <c r="A770" s="37"/>
      <c r="B770" s="38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</row>
    <row r="771" ht="18.0" customHeight="1">
      <c r="A771" s="37"/>
      <c r="B771" s="38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</row>
    <row r="772" ht="18.0" customHeight="1">
      <c r="A772" s="37"/>
      <c r="B772" s="38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</row>
    <row r="773" ht="18.0" customHeight="1">
      <c r="A773" s="37"/>
      <c r="B773" s="38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</row>
    <row r="774" ht="18.0" customHeight="1">
      <c r="A774" s="37"/>
      <c r="B774" s="38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</row>
    <row r="775" ht="18.0" customHeight="1">
      <c r="A775" s="37"/>
      <c r="B775" s="38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</row>
    <row r="776" ht="18.0" customHeight="1">
      <c r="A776" s="37"/>
      <c r="B776" s="38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</row>
    <row r="777" ht="18.0" customHeight="1">
      <c r="A777" s="37"/>
      <c r="B777" s="38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</row>
    <row r="778" ht="18.0" customHeight="1">
      <c r="A778" s="37"/>
      <c r="B778" s="38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</row>
    <row r="779" ht="18.0" customHeight="1">
      <c r="A779" s="37"/>
      <c r="B779" s="38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</row>
    <row r="780" ht="18.0" customHeight="1">
      <c r="A780" s="37"/>
      <c r="B780" s="38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</row>
    <row r="781" ht="18.0" customHeight="1">
      <c r="A781" s="37"/>
      <c r="B781" s="38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</row>
    <row r="782" ht="18.0" customHeight="1">
      <c r="A782" s="37"/>
      <c r="B782" s="38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</row>
    <row r="783" ht="18.0" customHeight="1">
      <c r="A783" s="37"/>
      <c r="B783" s="38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</row>
    <row r="784" ht="18.0" customHeight="1">
      <c r="A784" s="37"/>
      <c r="B784" s="38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</row>
    <row r="785" ht="18.0" customHeight="1">
      <c r="A785" s="37"/>
      <c r="B785" s="38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</row>
    <row r="786" ht="18.0" customHeight="1">
      <c r="A786" s="37"/>
      <c r="B786" s="38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</row>
    <row r="787" ht="18.0" customHeight="1">
      <c r="A787" s="37"/>
      <c r="B787" s="38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</row>
    <row r="788" ht="18.0" customHeight="1">
      <c r="A788" s="37"/>
      <c r="B788" s="38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</row>
    <row r="789" ht="18.0" customHeight="1">
      <c r="A789" s="37"/>
      <c r="B789" s="38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</row>
    <row r="790" ht="18.0" customHeight="1">
      <c r="A790" s="37"/>
      <c r="B790" s="38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</row>
    <row r="791" ht="18.0" customHeight="1">
      <c r="A791" s="37"/>
      <c r="B791" s="38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</row>
    <row r="792" ht="18.0" customHeight="1">
      <c r="A792" s="37"/>
      <c r="B792" s="38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</row>
    <row r="793" ht="18.0" customHeight="1">
      <c r="A793" s="37"/>
      <c r="B793" s="38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</row>
    <row r="794" ht="18.0" customHeight="1">
      <c r="A794" s="37"/>
      <c r="B794" s="38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</row>
    <row r="795" ht="18.0" customHeight="1">
      <c r="A795" s="37"/>
      <c r="B795" s="38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</row>
    <row r="796" ht="18.0" customHeight="1">
      <c r="A796" s="37"/>
      <c r="B796" s="38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</row>
    <row r="797" ht="18.0" customHeight="1">
      <c r="A797" s="37"/>
      <c r="B797" s="38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</row>
    <row r="798" ht="18.0" customHeight="1">
      <c r="A798" s="37"/>
      <c r="B798" s="38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</row>
    <row r="799" ht="18.0" customHeight="1">
      <c r="A799" s="37"/>
      <c r="B799" s="38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</row>
    <row r="800" ht="18.0" customHeight="1">
      <c r="A800" s="37"/>
      <c r="B800" s="38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</row>
    <row r="801" ht="18.0" customHeight="1">
      <c r="A801" s="37"/>
      <c r="B801" s="38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</row>
    <row r="802" ht="18.0" customHeight="1">
      <c r="A802" s="37"/>
      <c r="B802" s="38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</row>
    <row r="803" ht="18.0" customHeight="1">
      <c r="A803" s="37"/>
      <c r="B803" s="38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</row>
    <row r="804" ht="18.0" customHeight="1">
      <c r="A804" s="37"/>
      <c r="B804" s="38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</row>
    <row r="805" ht="18.0" customHeight="1">
      <c r="A805" s="37"/>
      <c r="B805" s="38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</row>
    <row r="806" ht="18.0" customHeight="1">
      <c r="A806" s="37"/>
      <c r="B806" s="38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</row>
    <row r="807" ht="18.0" customHeight="1">
      <c r="A807" s="37"/>
      <c r="B807" s="38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</row>
    <row r="808" ht="18.0" customHeight="1">
      <c r="A808" s="37"/>
      <c r="B808" s="38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</row>
    <row r="809" ht="18.0" customHeight="1">
      <c r="A809" s="37"/>
      <c r="B809" s="38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</row>
    <row r="810" ht="18.0" customHeight="1">
      <c r="A810" s="37"/>
      <c r="B810" s="38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</row>
    <row r="811" ht="18.0" customHeight="1">
      <c r="A811" s="37"/>
      <c r="B811" s="38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</row>
    <row r="812" ht="18.0" customHeight="1">
      <c r="A812" s="37"/>
      <c r="B812" s="38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</row>
    <row r="813" ht="18.0" customHeight="1">
      <c r="A813" s="37"/>
      <c r="B813" s="38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</row>
    <row r="814" ht="18.0" customHeight="1">
      <c r="A814" s="37"/>
      <c r="B814" s="38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</row>
    <row r="815" ht="18.0" customHeight="1">
      <c r="A815" s="37"/>
      <c r="B815" s="38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</row>
    <row r="816" ht="18.0" customHeight="1">
      <c r="A816" s="37"/>
      <c r="B816" s="38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</row>
    <row r="817" ht="18.0" customHeight="1">
      <c r="A817" s="37"/>
      <c r="B817" s="38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</row>
    <row r="818" ht="18.0" customHeight="1">
      <c r="A818" s="37"/>
      <c r="B818" s="38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</row>
    <row r="819" ht="18.0" customHeight="1">
      <c r="A819" s="37"/>
      <c r="B819" s="38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</row>
    <row r="820" ht="18.0" customHeight="1">
      <c r="A820" s="37"/>
      <c r="B820" s="38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</row>
    <row r="821" ht="18.0" customHeight="1">
      <c r="A821" s="37"/>
      <c r="B821" s="38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</row>
    <row r="822" ht="18.0" customHeight="1">
      <c r="A822" s="37"/>
      <c r="B822" s="38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</row>
    <row r="823" ht="18.0" customHeight="1">
      <c r="A823" s="37"/>
      <c r="B823" s="38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</row>
    <row r="824" ht="18.0" customHeight="1">
      <c r="A824" s="37"/>
      <c r="B824" s="38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</row>
    <row r="825" ht="18.0" customHeight="1">
      <c r="A825" s="37"/>
      <c r="B825" s="38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</row>
    <row r="826" ht="18.0" customHeight="1">
      <c r="A826" s="37"/>
      <c r="B826" s="38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</row>
    <row r="827" ht="18.0" customHeight="1">
      <c r="A827" s="37"/>
      <c r="B827" s="38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</row>
    <row r="828" ht="18.0" customHeight="1">
      <c r="A828" s="37"/>
      <c r="B828" s="38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</row>
    <row r="829" ht="18.0" customHeight="1">
      <c r="A829" s="37"/>
      <c r="B829" s="38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</row>
    <row r="830" ht="18.0" customHeight="1">
      <c r="A830" s="37"/>
      <c r="B830" s="38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</row>
    <row r="831" ht="18.0" customHeight="1">
      <c r="A831" s="37"/>
      <c r="B831" s="38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</row>
    <row r="832" ht="18.0" customHeight="1">
      <c r="A832" s="37"/>
      <c r="B832" s="38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</row>
    <row r="833" ht="18.0" customHeight="1">
      <c r="A833" s="37"/>
      <c r="B833" s="38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</row>
    <row r="834" ht="18.0" customHeight="1">
      <c r="A834" s="37"/>
      <c r="B834" s="38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</row>
    <row r="835" ht="18.0" customHeight="1">
      <c r="A835" s="37"/>
      <c r="B835" s="38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</row>
    <row r="836" ht="18.0" customHeight="1">
      <c r="A836" s="37"/>
      <c r="B836" s="38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</row>
    <row r="837" ht="18.0" customHeight="1">
      <c r="A837" s="37"/>
      <c r="B837" s="38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</row>
    <row r="838" ht="18.0" customHeight="1">
      <c r="A838" s="37"/>
      <c r="B838" s="38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</row>
    <row r="839" ht="18.0" customHeight="1">
      <c r="A839" s="37"/>
      <c r="B839" s="38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</row>
    <row r="840" ht="18.0" customHeight="1">
      <c r="A840" s="37"/>
      <c r="B840" s="38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</row>
    <row r="841" ht="18.0" customHeight="1">
      <c r="A841" s="37"/>
      <c r="B841" s="38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</row>
    <row r="842" ht="18.0" customHeight="1">
      <c r="A842" s="37"/>
      <c r="B842" s="38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</row>
    <row r="843" ht="18.0" customHeight="1">
      <c r="A843" s="37"/>
      <c r="B843" s="38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</row>
    <row r="844" ht="18.0" customHeight="1">
      <c r="A844" s="37"/>
      <c r="B844" s="38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</row>
    <row r="845" ht="18.0" customHeight="1">
      <c r="A845" s="37"/>
      <c r="B845" s="38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</row>
    <row r="846" ht="18.0" customHeight="1">
      <c r="A846" s="37"/>
      <c r="B846" s="38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</row>
    <row r="847" ht="18.0" customHeight="1">
      <c r="A847" s="37"/>
      <c r="B847" s="38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</row>
    <row r="848" ht="18.0" customHeight="1">
      <c r="A848" s="37"/>
      <c r="B848" s="38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</row>
    <row r="849" ht="18.0" customHeight="1">
      <c r="A849" s="37"/>
      <c r="B849" s="38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</row>
    <row r="850" ht="18.0" customHeight="1">
      <c r="A850" s="37"/>
      <c r="B850" s="38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</row>
    <row r="851" ht="18.0" customHeight="1">
      <c r="A851" s="37"/>
      <c r="B851" s="38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</row>
    <row r="852" ht="18.0" customHeight="1">
      <c r="A852" s="37"/>
      <c r="B852" s="38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</row>
    <row r="853" ht="18.0" customHeight="1">
      <c r="A853" s="37"/>
      <c r="B853" s="38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</row>
    <row r="854" ht="18.0" customHeight="1">
      <c r="A854" s="37"/>
      <c r="B854" s="38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</row>
    <row r="855" ht="18.0" customHeight="1">
      <c r="A855" s="37"/>
      <c r="B855" s="38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</row>
    <row r="856" ht="18.0" customHeight="1">
      <c r="A856" s="37"/>
      <c r="B856" s="38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</row>
    <row r="857" ht="18.0" customHeight="1">
      <c r="A857" s="37"/>
      <c r="B857" s="38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</row>
    <row r="858" ht="18.0" customHeight="1">
      <c r="A858" s="37"/>
      <c r="B858" s="38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</row>
    <row r="859" ht="18.0" customHeight="1">
      <c r="A859" s="37"/>
      <c r="B859" s="38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</row>
    <row r="860" ht="18.0" customHeight="1">
      <c r="A860" s="37"/>
      <c r="B860" s="38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</row>
    <row r="861" ht="18.0" customHeight="1">
      <c r="A861" s="37"/>
      <c r="B861" s="38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</row>
    <row r="862" ht="18.0" customHeight="1">
      <c r="A862" s="37"/>
      <c r="B862" s="38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</row>
    <row r="863" ht="18.0" customHeight="1">
      <c r="A863" s="37"/>
      <c r="B863" s="38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</row>
    <row r="864" ht="18.0" customHeight="1">
      <c r="A864" s="37"/>
      <c r="B864" s="38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</row>
    <row r="865" ht="18.0" customHeight="1">
      <c r="A865" s="37"/>
      <c r="B865" s="38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</row>
    <row r="866" ht="18.0" customHeight="1">
      <c r="A866" s="37"/>
      <c r="B866" s="38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</row>
    <row r="867" ht="18.0" customHeight="1">
      <c r="A867" s="37"/>
      <c r="B867" s="38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</row>
    <row r="868" ht="18.0" customHeight="1">
      <c r="A868" s="37"/>
      <c r="B868" s="38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</row>
    <row r="869" ht="18.0" customHeight="1">
      <c r="A869" s="37"/>
      <c r="B869" s="38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</row>
    <row r="870" ht="18.0" customHeight="1">
      <c r="A870" s="37"/>
      <c r="B870" s="38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</row>
    <row r="871" ht="18.0" customHeight="1">
      <c r="A871" s="37"/>
      <c r="B871" s="38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</row>
    <row r="872" ht="18.0" customHeight="1">
      <c r="A872" s="37"/>
      <c r="B872" s="38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</row>
    <row r="873" ht="18.0" customHeight="1">
      <c r="A873" s="37"/>
      <c r="B873" s="38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</row>
    <row r="874" ht="18.0" customHeight="1">
      <c r="A874" s="37"/>
      <c r="B874" s="38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</row>
    <row r="875" ht="18.0" customHeight="1">
      <c r="A875" s="37"/>
      <c r="B875" s="38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</row>
    <row r="876" ht="18.0" customHeight="1">
      <c r="A876" s="37"/>
      <c r="B876" s="38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</row>
    <row r="877" ht="18.0" customHeight="1">
      <c r="A877" s="37"/>
      <c r="B877" s="38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</row>
    <row r="878" ht="18.0" customHeight="1">
      <c r="A878" s="37"/>
      <c r="B878" s="38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</row>
    <row r="879" ht="18.0" customHeight="1">
      <c r="A879" s="37"/>
      <c r="B879" s="38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</row>
    <row r="880" ht="18.0" customHeight="1">
      <c r="A880" s="37"/>
      <c r="B880" s="38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</row>
    <row r="881" ht="18.0" customHeight="1">
      <c r="A881" s="37"/>
      <c r="B881" s="38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</row>
    <row r="882" ht="18.0" customHeight="1">
      <c r="A882" s="37"/>
      <c r="B882" s="38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</row>
    <row r="883" ht="18.0" customHeight="1">
      <c r="A883" s="37"/>
      <c r="B883" s="38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</row>
    <row r="884" ht="18.0" customHeight="1">
      <c r="A884" s="37"/>
      <c r="B884" s="38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</row>
    <row r="885" ht="18.0" customHeight="1">
      <c r="A885" s="37"/>
      <c r="B885" s="38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</row>
    <row r="886" ht="18.0" customHeight="1">
      <c r="A886" s="37"/>
      <c r="B886" s="38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</row>
    <row r="887" ht="18.0" customHeight="1">
      <c r="A887" s="37"/>
      <c r="B887" s="38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</row>
    <row r="888" ht="18.0" customHeight="1">
      <c r="A888" s="37"/>
      <c r="B888" s="38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</row>
    <row r="889" ht="18.0" customHeight="1">
      <c r="A889" s="37"/>
      <c r="B889" s="38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</row>
    <row r="890" ht="18.0" customHeight="1">
      <c r="A890" s="37"/>
      <c r="B890" s="38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</row>
    <row r="891" ht="18.0" customHeight="1">
      <c r="A891" s="37"/>
      <c r="B891" s="38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</row>
    <row r="892" ht="18.0" customHeight="1">
      <c r="A892" s="37"/>
      <c r="B892" s="38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</row>
    <row r="893" ht="18.0" customHeight="1">
      <c r="A893" s="37"/>
      <c r="B893" s="38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</row>
    <row r="894" ht="18.0" customHeight="1">
      <c r="A894" s="37"/>
      <c r="B894" s="38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</row>
    <row r="895" ht="18.0" customHeight="1">
      <c r="A895" s="37"/>
      <c r="B895" s="38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</row>
    <row r="896" ht="18.0" customHeight="1">
      <c r="A896" s="37"/>
      <c r="B896" s="38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</row>
    <row r="897" ht="18.0" customHeight="1">
      <c r="A897" s="37"/>
      <c r="B897" s="38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</row>
    <row r="898" ht="18.0" customHeight="1">
      <c r="A898" s="37"/>
      <c r="B898" s="38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</row>
    <row r="899" ht="18.0" customHeight="1">
      <c r="A899" s="37"/>
      <c r="B899" s="38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</row>
    <row r="900" ht="18.0" customHeight="1">
      <c r="A900" s="37"/>
      <c r="B900" s="38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</row>
    <row r="901" ht="18.0" customHeight="1">
      <c r="A901" s="37"/>
      <c r="B901" s="38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</row>
    <row r="902" ht="18.0" customHeight="1">
      <c r="A902" s="37"/>
      <c r="B902" s="38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</row>
    <row r="903" ht="18.0" customHeight="1">
      <c r="A903" s="37"/>
      <c r="B903" s="38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</row>
    <row r="904" ht="18.0" customHeight="1">
      <c r="A904" s="37"/>
      <c r="B904" s="38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</row>
    <row r="905" ht="18.0" customHeight="1">
      <c r="A905" s="37"/>
      <c r="B905" s="38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</row>
    <row r="906" ht="18.0" customHeight="1">
      <c r="A906" s="37"/>
      <c r="B906" s="38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</row>
    <row r="907" ht="18.0" customHeight="1">
      <c r="A907" s="37"/>
      <c r="B907" s="38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</row>
    <row r="908" ht="18.0" customHeight="1">
      <c r="A908" s="37"/>
      <c r="B908" s="38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</row>
    <row r="909" ht="18.0" customHeight="1">
      <c r="A909" s="37"/>
      <c r="B909" s="38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</row>
    <row r="910" ht="18.0" customHeight="1">
      <c r="A910" s="37"/>
      <c r="B910" s="38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</row>
    <row r="911" ht="18.0" customHeight="1">
      <c r="A911" s="37"/>
      <c r="B911" s="38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</row>
    <row r="912" ht="18.0" customHeight="1">
      <c r="A912" s="37"/>
      <c r="B912" s="38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</row>
    <row r="913" ht="18.0" customHeight="1">
      <c r="A913" s="37"/>
      <c r="B913" s="38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</row>
    <row r="914" ht="18.0" customHeight="1">
      <c r="A914" s="37"/>
      <c r="B914" s="38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</row>
    <row r="915" ht="18.0" customHeight="1">
      <c r="A915" s="37"/>
      <c r="B915" s="38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</row>
    <row r="916" ht="18.0" customHeight="1">
      <c r="A916" s="37"/>
      <c r="B916" s="38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</row>
    <row r="917" ht="18.0" customHeight="1">
      <c r="A917" s="37"/>
      <c r="B917" s="38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</row>
    <row r="918" ht="18.0" customHeight="1">
      <c r="A918" s="37"/>
      <c r="B918" s="38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</row>
    <row r="919" ht="18.0" customHeight="1">
      <c r="A919" s="37"/>
      <c r="B919" s="38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</row>
    <row r="920" ht="18.0" customHeight="1">
      <c r="A920" s="37"/>
      <c r="B920" s="38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</row>
    <row r="921" ht="18.0" customHeight="1">
      <c r="A921" s="37"/>
      <c r="B921" s="38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</row>
    <row r="922" ht="18.0" customHeight="1">
      <c r="A922" s="37"/>
      <c r="B922" s="38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</row>
    <row r="923" ht="18.0" customHeight="1">
      <c r="A923" s="37"/>
      <c r="B923" s="38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</row>
    <row r="924" ht="18.0" customHeight="1">
      <c r="A924" s="37"/>
      <c r="B924" s="38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</row>
    <row r="925" ht="18.0" customHeight="1">
      <c r="A925" s="37"/>
      <c r="B925" s="38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</row>
    <row r="926" ht="18.0" customHeight="1">
      <c r="A926" s="37"/>
      <c r="B926" s="38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</row>
    <row r="927" ht="18.0" customHeight="1">
      <c r="A927" s="37"/>
      <c r="B927" s="38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</row>
    <row r="928" ht="18.0" customHeight="1">
      <c r="A928" s="37"/>
      <c r="B928" s="38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</row>
    <row r="929" ht="18.0" customHeight="1">
      <c r="A929" s="37"/>
      <c r="B929" s="38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</row>
    <row r="930" ht="18.0" customHeight="1">
      <c r="A930" s="37"/>
      <c r="B930" s="38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</row>
    <row r="931" ht="18.0" customHeight="1">
      <c r="A931" s="37"/>
      <c r="B931" s="38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</row>
    <row r="932" ht="18.0" customHeight="1">
      <c r="A932" s="37"/>
      <c r="B932" s="38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</row>
    <row r="933" ht="18.0" customHeight="1">
      <c r="A933" s="37"/>
      <c r="B933" s="38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</row>
    <row r="934" ht="18.0" customHeight="1">
      <c r="A934" s="37"/>
      <c r="B934" s="38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</row>
    <row r="935" ht="18.0" customHeight="1">
      <c r="A935" s="37"/>
      <c r="B935" s="38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</row>
    <row r="936" ht="18.0" customHeight="1">
      <c r="A936" s="37"/>
      <c r="B936" s="38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</row>
    <row r="937" ht="18.0" customHeight="1">
      <c r="A937" s="37"/>
      <c r="B937" s="38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</row>
    <row r="938" ht="18.0" customHeight="1">
      <c r="A938" s="37"/>
      <c r="B938" s="38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</row>
    <row r="939" ht="18.0" customHeight="1">
      <c r="A939" s="37"/>
      <c r="B939" s="38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</row>
    <row r="940" ht="18.0" customHeight="1">
      <c r="A940" s="37"/>
      <c r="B940" s="38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</row>
    <row r="941" ht="18.0" customHeight="1">
      <c r="A941" s="37"/>
      <c r="B941" s="38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</row>
    <row r="942" ht="18.0" customHeight="1">
      <c r="A942" s="37"/>
      <c r="B942" s="38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</row>
    <row r="943" ht="18.0" customHeight="1">
      <c r="A943" s="37"/>
      <c r="B943" s="38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</row>
    <row r="944" ht="18.0" customHeight="1">
      <c r="A944" s="37"/>
      <c r="B944" s="38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</row>
    <row r="945" ht="18.0" customHeight="1">
      <c r="A945" s="37"/>
      <c r="B945" s="38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</row>
    <row r="946" ht="18.0" customHeight="1">
      <c r="A946" s="37"/>
      <c r="B946" s="38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</row>
    <row r="947" ht="18.0" customHeight="1">
      <c r="A947" s="37"/>
      <c r="B947" s="38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</row>
    <row r="948" ht="18.0" customHeight="1">
      <c r="A948" s="37"/>
      <c r="B948" s="38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</row>
    <row r="949" ht="18.0" customHeight="1">
      <c r="A949" s="37"/>
      <c r="B949" s="38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</row>
    <row r="950" ht="18.0" customHeight="1">
      <c r="A950" s="37"/>
      <c r="B950" s="38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</row>
    <row r="951" ht="18.0" customHeight="1">
      <c r="A951" s="37"/>
      <c r="B951" s="38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</row>
    <row r="952" ht="18.0" customHeight="1">
      <c r="A952" s="37"/>
      <c r="B952" s="38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</row>
    <row r="953" ht="18.0" customHeight="1">
      <c r="A953" s="37"/>
      <c r="B953" s="38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</row>
    <row r="954" ht="18.0" customHeight="1">
      <c r="A954" s="37"/>
      <c r="B954" s="38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</row>
    <row r="955" ht="18.0" customHeight="1">
      <c r="A955" s="37"/>
      <c r="B955" s="38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</row>
    <row r="956" ht="18.0" customHeight="1">
      <c r="A956" s="37"/>
      <c r="B956" s="38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</row>
    <row r="957" ht="18.0" customHeight="1">
      <c r="A957" s="37"/>
      <c r="B957" s="38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</row>
    <row r="958" ht="18.0" customHeight="1">
      <c r="A958" s="37"/>
      <c r="B958" s="38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</row>
    <row r="959" ht="18.0" customHeight="1">
      <c r="A959" s="37"/>
      <c r="B959" s="38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</row>
    <row r="960" ht="18.0" customHeight="1">
      <c r="A960" s="37"/>
      <c r="B960" s="38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</row>
    <row r="961" ht="18.0" customHeight="1">
      <c r="A961" s="37"/>
      <c r="B961" s="38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</row>
    <row r="962" ht="18.0" customHeight="1">
      <c r="A962" s="37"/>
      <c r="B962" s="38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</row>
    <row r="963" ht="18.0" customHeight="1">
      <c r="A963" s="37"/>
      <c r="B963" s="38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</row>
    <row r="964" ht="18.0" customHeight="1">
      <c r="A964" s="37"/>
      <c r="B964" s="38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</row>
    <row r="965" ht="18.0" customHeight="1">
      <c r="A965" s="37"/>
      <c r="B965" s="38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</row>
    <row r="966" ht="18.0" customHeight="1">
      <c r="A966" s="37"/>
      <c r="B966" s="38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</row>
    <row r="967" ht="18.0" customHeight="1">
      <c r="A967" s="37"/>
      <c r="B967" s="38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</row>
    <row r="968" ht="18.0" customHeight="1">
      <c r="A968" s="37"/>
      <c r="B968" s="38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</row>
    <row r="969" ht="18.0" customHeight="1">
      <c r="A969" s="37"/>
      <c r="B969" s="38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</row>
    <row r="970" ht="18.0" customHeight="1">
      <c r="A970" s="37"/>
      <c r="B970" s="38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</row>
    <row r="971" ht="18.0" customHeight="1">
      <c r="A971" s="37"/>
      <c r="B971" s="38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</row>
    <row r="972" ht="18.0" customHeight="1">
      <c r="A972" s="37"/>
      <c r="B972" s="38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</row>
    <row r="973" ht="18.0" customHeight="1">
      <c r="A973" s="37"/>
      <c r="B973" s="38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</row>
    <row r="974" ht="18.0" customHeight="1">
      <c r="A974" s="37"/>
      <c r="B974" s="38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</row>
    <row r="975" ht="18.0" customHeight="1">
      <c r="A975" s="37"/>
      <c r="B975" s="38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</row>
    <row r="976" ht="18.0" customHeight="1">
      <c r="A976" s="37"/>
      <c r="B976" s="38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</row>
    <row r="977" ht="18.0" customHeight="1">
      <c r="A977" s="37"/>
      <c r="B977" s="38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</row>
    <row r="978" ht="18.0" customHeight="1">
      <c r="A978" s="37"/>
      <c r="B978" s="38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</row>
    <row r="979" ht="18.0" customHeight="1">
      <c r="A979" s="37"/>
      <c r="B979" s="38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</row>
    <row r="980" ht="18.0" customHeight="1">
      <c r="A980" s="37"/>
      <c r="B980" s="38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</row>
    <row r="981" ht="18.0" customHeight="1">
      <c r="A981" s="37"/>
      <c r="B981" s="38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</row>
    <row r="982" ht="18.0" customHeight="1">
      <c r="A982" s="37"/>
      <c r="B982" s="38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</row>
    <row r="983" ht="18.0" customHeight="1">
      <c r="A983" s="37"/>
      <c r="B983" s="38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</row>
    <row r="984" ht="18.0" customHeight="1">
      <c r="A984" s="37"/>
      <c r="B984" s="38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</row>
    <row r="985" ht="18.0" customHeight="1">
      <c r="A985" s="37"/>
      <c r="B985" s="38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</row>
    <row r="986" ht="18.0" customHeight="1">
      <c r="A986" s="37"/>
      <c r="B986" s="38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</row>
    <row r="987" ht="18.0" customHeight="1">
      <c r="A987" s="37"/>
      <c r="B987" s="38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</row>
    <row r="988" ht="18.0" customHeight="1">
      <c r="A988" s="37"/>
      <c r="B988" s="38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</row>
    <row r="989" ht="18.0" customHeight="1">
      <c r="A989" s="37"/>
      <c r="B989" s="38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</row>
    <row r="990" ht="18.0" customHeight="1">
      <c r="A990" s="37"/>
      <c r="B990" s="38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</row>
    <row r="991" ht="18.0" customHeight="1">
      <c r="A991" s="37"/>
      <c r="B991" s="38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</row>
    <row r="992" ht="18.0" customHeight="1">
      <c r="A992" s="37"/>
      <c r="B992" s="38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</row>
    <row r="993" ht="18.0" customHeight="1">
      <c r="A993" s="37"/>
      <c r="B993" s="38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</row>
    <row r="994" ht="18.0" customHeight="1">
      <c r="A994" s="37"/>
      <c r="B994" s="38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</row>
    <row r="995" ht="18.0" customHeight="1">
      <c r="A995" s="37"/>
      <c r="B995" s="38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</row>
    <row r="996" ht="18.0" customHeight="1">
      <c r="A996" s="37"/>
      <c r="B996" s="38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</row>
    <row r="997" ht="18.0" customHeight="1">
      <c r="A997" s="37"/>
      <c r="B997" s="38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</row>
    <row r="998" ht="18.0" customHeight="1">
      <c r="A998" s="37"/>
      <c r="B998" s="38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</row>
    <row r="999" ht="18.0" customHeight="1">
      <c r="A999" s="37"/>
      <c r="B999" s="38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</row>
    <row r="1000" ht="18.0" customHeight="1">
      <c r="A1000" s="37"/>
      <c r="B1000" s="38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</row>
    <row r="1001" ht="18.0" customHeight="1">
      <c r="A1001" s="37"/>
      <c r="B1001" s="38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  <c r="AE1001" s="37"/>
    </row>
    <row r="1002" ht="18.0" customHeight="1">
      <c r="A1002" s="37"/>
      <c r="B1002" s="38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  <c r="AE1002" s="37"/>
    </row>
    <row r="1003" ht="18.0" customHeight="1">
      <c r="A1003" s="37"/>
      <c r="B1003" s="38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  <c r="AE1003" s="37"/>
    </row>
    <row r="1004" ht="18.0" customHeight="1">
      <c r="A1004" s="37"/>
      <c r="B1004" s="38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  <c r="AE1004" s="37"/>
    </row>
    <row r="1005" ht="18.0" customHeight="1">
      <c r="A1005" s="37"/>
      <c r="B1005" s="38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  <c r="AE1005" s="37"/>
    </row>
    <row r="1006" ht="18.0" customHeight="1">
      <c r="A1006" s="37"/>
      <c r="B1006" s="38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  <c r="AE1006" s="37"/>
    </row>
    <row r="1007" ht="18.0" customHeight="1">
      <c r="A1007" s="37"/>
      <c r="B1007" s="38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  <c r="AE1007" s="37"/>
    </row>
    <row r="1008" ht="18.0" customHeight="1">
      <c r="A1008" s="37"/>
      <c r="B1008" s="38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  <c r="AE1008" s="37"/>
    </row>
    <row r="1009" ht="18.0" customHeight="1">
      <c r="A1009" s="37"/>
      <c r="B1009" s="38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  <c r="AE1009" s="37"/>
    </row>
    <row r="1010" ht="18.0" customHeight="1">
      <c r="A1010" s="37"/>
      <c r="B1010" s="38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  <c r="AE1010" s="37"/>
    </row>
    <row r="1011" ht="18.0" customHeight="1">
      <c r="A1011" s="37"/>
      <c r="B1011" s="38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  <c r="AE1011" s="37"/>
    </row>
  </sheetData>
  <mergeCells count="28">
    <mergeCell ref="M10:M11"/>
    <mergeCell ref="M13:M14"/>
    <mergeCell ref="M16:M17"/>
    <mergeCell ref="M19:M20"/>
    <mergeCell ref="M22:M23"/>
    <mergeCell ref="A1:M1"/>
    <mergeCell ref="A3:M3"/>
    <mergeCell ref="M4:M5"/>
    <mergeCell ref="A6:M6"/>
    <mergeCell ref="M7:M8"/>
    <mergeCell ref="A9:M9"/>
    <mergeCell ref="A12:M12"/>
    <mergeCell ref="A15:M15"/>
    <mergeCell ref="A18:M18"/>
    <mergeCell ref="A21:M21"/>
    <mergeCell ref="A24:M24"/>
    <mergeCell ref="A26:M26"/>
    <mergeCell ref="A28:M28"/>
    <mergeCell ref="A34:M34"/>
    <mergeCell ref="A145:M145"/>
    <mergeCell ref="A176:M176"/>
    <mergeCell ref="A39:M39"/>
    <mergeCell ref="A47:M47"/>
    <mergeCell ref="A57:M57"/>
    <mergeCell ref="A67:M67"/>
    <mergeCell ref="A75:M75"/>
    <mergeCell ref="A85:M85"/>
    <mergeCell ref="A115:M115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57"/>
  </cols>
  <sheetData>
    <row r="1">
      <c r="A1" s="607" t="s">
        <v>756</v>
      </c>
    </row>
    <row r="3">
      <c r="A3" s="608" t="s">
        <v>757</v>
      </c>
    </row>
    <row r="4">
      <c r="A4" s="72" t="s">
        <v>758</v>
      </c>
    </row>
    <row r="5">
      <c r="A5" s="72" t="s">
        <v>759</v>
      </c>
    </row>
    <row r="6">
      <c r="A6" s="609" t="s">
        <v>760</v>
      </c>
      <c r="B6" s="7"/>
      <c r="C6" s="8"/>
      <c r="D6" s="609" t="s">
        <v>761</v>
      </c>
      <c r="E6" s="610" t="s">
        <v>762</v>
      </c>
    </row>
    <row r="7">
      <c r="A7" s="611" t="s">
        <v>763</v>
      </c>
      <c r="C7" s="502"/>
      <c r="D7" s="611" t="s">
        <v>764</v>
      </c>
      <c r="E7" s="502"/>
    </row>
    <row r="8">
      <c r="A8" s="611" t="s">
        <v>765</v>
      </c>
      <c r="C8" s="502"/>
      <c r="D8" s="611" t="s">
        <v>766</v>
      </c>
      <c r="E8" s="502"/>
    </row>
    <row r="9">
      <c r="A9" s="611" t="s">
        <v>767</v>
      </c>
      <c r="C9" s="502"/>
      <c r="D9" s="611"/>
      <c r="E9" s="502"/>
    </row>
    <row r="10">
      <c r="A10" s="611" t="s">
        <v>768</v>
      </c>
      <c r="C10" s="502"/>
      <c r="D10" s="611" t="s">
        <v>769</v>
      </c>
      <c r="E10" s="502"/>
    </row>
    <row r="11">
      <c r="A11" s="611" t="s">
        <v>770</v>
      </c>
      <c r="C11" s="502"/>
      <c r="D11" s="611" t="s">
        <v>771</v>
      </c>
      <c r="E11" s="502"/>
    </row>
    <row r="12">
      <c r="A12" s="611" t="s">
        <v>772</v>
      </c>
      <c r="C12" s="502"/>
      <c r="D12" s="611" t="s">
        <v>773</v>
      </c>
      <c r="E12" s="502"/>
    </row>
    <row r="13">
      <c r="A13" s="611" t="s">
        <v>774</v>
      </c>
      <c r="C13" s="502"/>
      <c r="D13" s="611"/>
      <c r="E13" s="502"/>
    </row>
    <row r="14">
      <c r="A14" s="611" t="s">
        <v>775</v>
      </c>
      <c r="C14" s="502"/>
      <c r="D14" s="611" t="s">
        <v>776</v>
      </c>
      <c r="E14" s="502"/>
    </row>
    <row r="15">
      <c r="A15" s="611" t="s">
        <v>777</v>
      </c>
      <c r="C15" s="502"/>
      <c r="D15" s="611" t="s">
        <v>778</v>
      </c>
      <c r="E15" s="502"/>
    </row>
    <row r="16">
      <c r="A16" s="611" t="s">
        <v>779</v>
      </c>
      <c r="C16" s="502"/>
      <c r="D16" s="612"/>
      <c r="E16" s="502"/>
    </row>
    <row r="17">
      <c r="A17" s="611" t="s">
        <v>780</v>
      </c>
      <c r="C17" s="502"/>
      <c r="D17" s="612"/>
      <c r="E17" s="502"/>
    </row>
    <row r="18">
      <c r="A18" s="611" t="s">
        <v>781</v>
      </c>
      <c r="C18" s="502"/>
      <c r="D18" s="612"/>
      <c r="E18" s="502"/>
    </row>
    <row r="19">
      <c r="A19" s="613" t="s">
        <v>782</v>
      </c>
      <c r="B19" s="131"/>
      <c r="C19" s="132"/>
      <c r="D19" s="614"/>
      <c r="E19" s="132"/>
    </row>
    <row r="21">
      <c r="A21" s="607" t="s">
        <v>783</v>
      </c>
    </row>
    <row r="23">
      <c r="A23" s="609" t="s">
        <v>784</v>
      </c>
      <c r="B23" s="7"/>
      <c r="C23" s="7"/>
      <c r="D23" s="7"/>
      <c r="E23" s="8"/>
    </row>
    <row r="24">
      <c r="A24" s="611" t="s">
        <v>785</v>
      </c>
      <c r="E24" s="502"/>
    </row>
    <row r="25">
      <c r="A25" s="611" t="s">
        <v>786</v>
      </c>
      <c r="E25" s="502"/>
    </row>
    <row r="26">
      <c r="A26" s="611" t="s">
        <v>787</v>
      </c>
      <c r="E26" s="502"/>
    </row>
    <row r="27">
      <c r="A27" s="611" t="s">
        <v>788</v>
      </c>
      <c r="E27" s="502"/>
    </row>
    <row r="28">
      <c r="A28" s="611" t="s">
        <v>789</v>
      </c>
      <c r="E28" s="502"/>
    </row>
    <row r="29">
      <c r="A29" s="611" t="s">
        <v>790</v>
      </c>
      <c r="E29" s="502"/>
    </row>
    <row r="30">
      <c r="A30" s="611" t="s">
        <v>791</v>
      </c>
      <c r="E30" s="502"/>
    </row>
    <row r="31">
      <c r="A31" s="611" t="s">
        <v>792</v>
      </c>
      <c r="E31" s="502"/>
    </row>
    <row r="32">
      <c r="A32" s="611" t="s">
        <v>793</v>
      </c>
      <c r="E32" s="502"/>
    </row>
    <row r="33">
      <c r="A33" s="614"/>
      <c r="B33" s="131"/>
      <c r="C33" s="131"/>
      <c r="D33" s="131"/>
      <c r="E33" s="132"/>
    </row>
    <row r="36">
      <c r="A36" s="237" t="s">
        <v>794</v>
      </c>
      <c r="B36" s="615"/>
      <c r="C36" s="615"/>
      <c r="D36" s="615"/>
      <c r="E36" s="615"/>
    </row>
    <row r="37">
      <c r="A37" s="615"/>
      <c r="B37" s="615"/>
      <c r="C37" s="615"/>
      <c r="D37" s="615"/>
      <c r="E37" s="615"/>
    </row>
    <row r="38">
      <c r="A38" s="237" t="s">
        <v>795</v>
      </c>
      <c r="B38" s="615"/>
      <c r="C38" s="615"/>
      <c r="D38" s="615"/>
      <c r="E38" s="615"/>
    </row>
    <row r="39">
      <c r="A39" s="237" t="s">
        <v>796</v>
      </c>
      <c r="B39" s="615"/>
      <c r="C39" s="615"/>
      <c r="D39" s="615"/>
      <c r="E39" s="615"/>
    </row>
    <row r="40">
      <c r="A40" s="237" t="s">
        <v>797</v>
      </c>
      <c r="B40" s="615"/>
      <c r="C40" s="615"/>
      <c r="D40" s="615"/>
      <c r="E40" s="615"/>
    </row>
    <row r="41">
      <c r="A41" s="237" t="s">
        <v>798</v>
      </c>
      <c r="B41" s="615"/>
      <c r="C41" s="615"/>
      <c r="D41" s="615"/>
      <c r="E41" s="615"/>
    </row>
  </sheetData>
  <mergeCells count="4">
    <mergeCell ref="A1:E2"/>
    <mergeCell ref="A3:E3"/>
    <mergeCell ref="E6:E19"/>
    <mergeCell ref="A21:E2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24" width="20.14"/>
  </cols>
  <sheetData>
    <row r="1" ht="18.75" customHeight="1">
      <c r="A1" s="616" t="s">
        <v>102</v>
      </c>
      <c r="H1" s="617"/>
      <c r="I1" s="617"/>
      <c r="J1" s="617"/>
      <c r="K1" s="617"/>
      <c r="L1" s="617"/>
      <c r="M1" s="617"/>
      <c r="N1" s="617"/>
      <c r="O1" s="617"/>
      <c r="P1" s="617"/>
      <c r="Q1" s="617"/>
      <c r="R1" s="617"/>
      <c r="S1" s="617"/>
      <c r="T1" s="617"/>
      <c r="U1" s="617"/>
      <c r="V1" s="617"/>
      <c r="W1" s="617"/>
      <c r="X1" s="617"/>
    </row>
    <row r="2" ht="18.75" customHeight="1">
      <c r="A2" s="616" t="s">
        <v>501</v>
      </c>
      <c r="B2" s="616" t="s">
        <v>799</v>
      </c>
      <c r="C2" s="616" t="s">
        <v>800</v>
      </c>
      <c r="D2" s="616" t="s">
        <v>801</v>
      </c>
      <c r="E2" s="616" t="s">
        <v>802</v>
      </c>
      <c r="F2" s="616" t="s">
        <v>649</v>
      </c>
      <c r="G2" s="616" t="s">
        <v>803</v>
      </c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</row>
    <row r="3" ht="18.75" customHeight="1">
      <c r="A3" s="618">
        <v>27.0</v>
      </c>
      <c r="B3" s="618">
        <v>28.0</v>
      </c>
      <c r="C3" s="618">
        <v>29.0</v>
      </c>
      <c r="D3" s="618">
        <v>30.0</v>
      </c>
      <c r="E3" s="619">
        <v>1.0</v>
      </c>
      <c r="F3" s="619">
        <v>2.0</v>
      </c>
      <c r="G3" s="619">
        <v>3.0</v>
      </c>
      <c r="H3" s="617"/>
      <c r="I3" s="617"/>
      <c r="J3" s="617"/>
      <c r="K3" s="617"/>
      <c r="L3" s="617"/>
      <c r="M3" s="617"/>
      <c r="N3" s="617"/>
      <c r="O3" s="617"/>
      <c r="P3" s="617"/>
      <c r="Q3" s="617"/>
      <c r="R3" s="617"/>
      <c r="S3" s="617"/>
      <c r="T3" s="617"/>
      <c r="U3" s="617"/>
      <c r="V3" s="617"/>
      <c r="W3" s="617"/>
      <c r="X3" s="617"/>
    </row>
    <row r="4" ht="76.5" customHeight="1">
      <c r="A4" s="620"/>
      <c r="B4" s="620"/>
      <c r="C4" s="620"/>
      <c r="D4" s="620"/>
      <c r="E4" s="620"/>
      <c r="F4" s="621"/>
      <c r="G4" s="621"/>
      <c r="H4" s="617"/>
      <c r="I4" s="617"/>
      <c r="J4" s="617"/>
      <c r="K4" s="617"/>
      <c r="L4" s="617"/>
      <c r="M4" s="617"/>
      <c r="N4" s="617"/>
      <c r="O4" s="617"/>
      <c r="P4" s="617"/>
      <c r="Q4" s="617"/>
      <c r="R4" s="617"/>
      <c r="S4" s="617"/>
      <c r="T4" s="617"/>
      <c r="U4" s="617"/>
      <c r="V4" s="617"/>
      <c r="W4" s="617"/>
      <c r="X4" s="617"/>
    </row>
    <row r="5" ht="18.75" customHeight="1">
      <c r="A5" s="619">
        <v>4.0</v>
      </c>
      <c r="B5" s="619">
        <v>5.0</v>
      </c>
      <c r="C5" s="619">
        <v>6.0</v>
      </c>
      <c r="D5" s="619">
        <v>7.0</v>
      </c>
      <c r="E5" s="619">
        <v>8.0</v>
      </c>
      <c r="F5" s="619">
        <v>9.0</v>
      </c>
      <c r="G5" s="619">
        <v>10.0</v>
      </c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</row>
    <row r="6" ht="78.75" customHeight="1">
      <c r="A6" s="621"/>
      <c r="B6" s="621"/>
      <c r="C6" s="621"/>
      <c r="D6" s="621"/>
      <c r="E6" s="621"/>
      <c r="F6" s="621"/>
      <c r="G6" s="621"/>
      <c r="H6" s="617"/>
      <c r="I6" s="617"/>
      <c r="J6" s="617"/>
      <c r="K6" s="617"/>
      <c r="L6" s="617"/>
      <c r="M6" s="617"/>
      <c r="N6" s="617"/>
      <c r="O6" s="617"/>
      <c r="P6" s="617"/>
      <c r="Q6" s="617"/>
      <c r="R6" s="617"/>
      <c r="S6" s="617"/>
      <c r="T6" s="617"/>
      <c r="U6" s="617"/>
      <c r="V6" s="617"/>
      <c r="W6" s="617"/>
      <c r="X6" s="617"/>
    </row>
    <row r="7" ht="18.75" customHeight="1">
      <c r="A7" s="619">
        <v>11.0</v>
      </c>
      <c r="B7" s="619">
        <v>12.0</v>
      </c>
      <c r="C7" s="619">
        <v>13.0</v>
      </c>
      <c r="D7" s="619">
        <v>14.0</v>
      </c>
      <c r="E7" s="619">
        <v>15.0</v>
      </c>
      <c r="F7" s="619">
        <v>16.0</v>
      </c>
      <c r="G7" s="619">
        <v>17.0</v>
      </c>
      <c r="H7" s="617"/>
      <c r="I7" s="617"/>
      <c r="J7" s="617"/>
      <c r="K7" s="617"/>
      <c r="L7" s="617"/>
      <c r="M7" s="617"/>
      <c r="N7" s="617"/>
      <c r="O7" s="617"/>
      <c r="P7" s="617"/>
      <c r="Q7" s="617"/>
      <c r="R7" s="617"/>
      <c r="S7" s="617"/>
      <c r="T7" s="617"/>
      <c r="U7" s="617"/>
      <c r="V7" s="617"/>
      <c r="W7" s="617"/>
      <c r="X7" s="617"/>
    </row>
    <row r="8" ht="76.5" customHeight="1">
      <c r="A8" s="621"/>
      <c r="B8" s="621"/>
      <c r="C8" s="621"/>
      <c r="D8" s="621"/>
      <c r="E8" s="621"/>
      <c r="F8" s="621"/>
      <c r="G8" s="621"/>
      <c r="H8" s="617"/>
      <c r="I8" s="617"/>
      <c r="J8" s="617"/>
      <c r="K8" s="617"/>
      <c r="L8" s="617"/>
      <c r="M8" s="617"/>
      <c r="N8" s="617"/>
      <c r="O8" s="617"/>
      <c r="P8" s="617"/>
      <c r="Q8" s="617"/>
      <c r="R8" s="617"/>
      <c r="S8" s="617"/>
      <c r="T8" s="617"/>
      <c r="U8" s="617"/>
      <c r="V8" s="617"/>
      <c r="W8" s="617"/>
      <c r="X8" s="617"/>
    </row>
    <row r="9" ht="18.75" customHeight="1">
      <c r="A9" s="616" t="s">
        <v>102</v>
      </c>
      <c r="H9" s="617"/>
      <c r="I9" s="617"/>
      <c r="J9" s="617"/>
      <c r="K9" s="617"/>
      <c r="L9" s="617"/>
      <c r="M9" s="617"/>
      <c r="N9" s="617"/>
      <c r="O9" s="617"/>
      <c r="P9" s="617"/>
      <c r="Q9" s="617"/>
      <c r="R9" s="617"/>
      <c r="S9" s="617"/>
      <c r="T9" s="617"/>
      <c r="U9" s="617"/>
      <c r="V9" s="617"/>
      <c r="W9" s="617"/>
      <c r="X9" s="617"/>
    </row>
    <row r="10" ht="18.75" customHeight="1">
      <c r="A10" s="616" t="s">
        <v>501</v>
      </c>
      <c r="B10" s="616" t="s">
        <v>799</v>
      </c>
      <c r="C10" s="616" t="s">
        <v>800</v>
      </c>
      <c r="D10" s="616" t="s">
        <v>801</v>
      </c>
      <c r="E10" s="616" t="s">
        <v>802</v>
      </c>
      <c r="F10" s="616" t="s">
        <v>649</v>
      </c>
      <c r="G10" s="616" t="s">
        <v>803</v>
      </c>
      <c r="H10" s="617"/>
      <c r="I10" s="617"/>
      <c r="J10" s="617"/>
      <c r="K10" s="617"/>
      <c r="L10" s="617"/>
      <c r="M10" s="617"/>
      <c r="N10" s="617"/>
      <c r="O10" s="617"/>
      <c r="P10" s="617"/>
      <c r="Q10" s="617"/>
      <c r="R10" s="617"/>
      <c r="S10" s="617"/>
      <c r="T10" s="617"/>
      <c r="U10" s="617"/>
      <c r="V10" s="617"/>
      <c r="W10" s="617"/>
      <c r="X10" s="617"/>
    </row>
    <row r="11" ht="18.75" customHeight="1">
      <c r="A11" s="619">
        <v>18.0</v>
      </c>
      <c r="B11" s="619">
        <v>19.0</v>
      </c>
      <c r="C11" s="619">
        <v>20.0</v>
      </c>
      <c r="D11" s="619">
        <v>21.0</v>
      </c>
      <c r="E11" s="619">
        <v>22.0</v>
      </c>
      <c r="F11" s="619">
        <v>23.0</v>
      </c>
      <c r="G11" s="619">
        <v>24.0</v>
      </c>
      <c r="H11" s="617"/>
      <c r="I11" s="617"/>
      <c r="J11" s="617"/>
      <c r="K11" s="617"/>
      <c r="L11" s="617"/>
      <c r="M11" s="617"/>
      <c r="N11" s="617"/>
      <c r="O11" s="617"/>
      <c r="P11" s="617"/>
      <c r="Q11" s="617"/>
      <c r="R11" s="617"/>
      <c r="S11" s="617"/>
      <c r="T11" s="617"/>
      <c r="U11" s="617"/>
      <c r="V11" s="617"/>
      <c r="W11" s="617"/>
      <c r="X11" s="617"/>
    </row>
    <row r="12" ht="79.5" customHeight="1">
      <c r="A12" s="621"/>
      <c r="B12" s="621"/>
      <c r="C12" s="621"/>
      <c r="D12" s="621"/>
      <c r="E12" s="621"/>
      <c r="F12" s="621"/>
      <c r="G12" s="621"/>
      <c r="H12" s="617"/>
      <c r="I12" s="617"/>
      <c r="J12" s="617"/>
      <c r="K12" s="617"/>
      <c r="L12" s="617"/>
      <c r="M12" s="617"/>
      <c r="N12" s="617"/>
      <c r="O12" s="617"/>
      <c r="P12" s="617"/>
      <c r="Q12" s="617"/>
      <c r="R12" s="617"/>
      <c r="S12" s="617"/>
      <c r="T12" s="617"/>
      <c r="U12" s="617"/>
      <c r="V12" s="617"/>
      <c r="W12" s="617"/>
      <c r="X12" s="617"/>
    </row>
    <row r="13" ht="18.75" customHeight="1">
      <c r="A13" s="619">
        <v>25.0</v>
      </c>
      <c r="B13" s="619">
        <v>26.0</v>
      </c>
      <c r="C13" s="619">
        <v>27.0</v>
      </c>
      <c r="D13" s="619">
        <v>28.0</v>
      </c>
      <c r="E13" s="619">
        <v>29.0</v>
      </c>
      <c r="F13" s="619">
        <v>30.0</v>
      </c>
      <c r="G13" s="619">
        <v>31.0</v>
      </c>
      <c r="H13" s="617"/>
      <c r="I13" s="617"/>
      <c r="J13" s="617"/>
      <c r="K13" s="617"/>
      <c r="L13" s="617"/>
      <c r="M13" s="617"/>
      <c r="N13" s="617"/>
      <c r="O13" s="617"/>
      <c r="P13" s="617"/>
      <c r="Q13" s="617"/>
      <c r="R13" s="617"/>
      <c r="S13" s="617"/>
      <c r="T13" s="617"/>
      <c r="U13" s="617"/>
      <c r="V13" s="617"/>
      <c r="W13" s="617"/>
      <c r="X13" s="617"/>
    </row>
    <row r="14" ht="78.75" customHeight="1">
      <c r="A14" s="621"/>
      <c r="B14" s="621"/>
      <c r="C14" s="621"/>
      <c r="D14" s="621"/>
      <c r="E14" s="621"/>
      <c r="F14" s="621"/>
      <c r="G14" s="621"/>
      <c r="H14" s="617"/>
      <c r="I14" s="617"/>
      <c r="J14" s="617"/>
      <c r="K14" s="617"/>
      <c r="L14" s="617"/>
      <c r="M14" s="617"/>
      <c r="N14" s="617"/>
      <c r="O14" s="617"/>
      <c r="P14" s="617"/>
      <c r="Q14" s="617"/>
      <c r="R14" s="617"/>
      <c r="S14" s="617"/>
      <c r="T14" s="617"/>
      <c r="U14" s="617"/>
      <c r="V14" s="617"/>
      <c r="W14" s="617"/>
      <c r="X14" s="617"/>
    </row>
    <row r="15" ht="18.75" customHeight="1">
      <c r="A15" s="617"/>
      <c r="B15" s="617"/>
      <c r="C15" s="617"/>
      <c r="D15" s="617"/>
      <c r="E15" s="617"/>
      <c r="F15" s="617"/>
      <c r="G15" s="617"/>
      <c r="H15" s="617"/>
      <c r="I15" s="617"/>
      <c r="J15" s="617"/>
      <c r="K15" s="617"/>
      <c r="L15" s="617"/>
      <c r="M15" s="617"/>
      <c r="N15" s="617"/>
      <c r="O15" s="617"/>
      <c r="P15" s="617"/>
      <c r="Q15" s="617"/>
      <c r="R15" s="617"/>
      <c r="S15" s="617"/>
      <c r="T15" s="617"/>
      <c r="U15" s="617"/>
      <c r="V15" s="617"/>
      <c r="W15" s="617"/>
      <c r="X15" s="617"/>
    </row>
    <row r="16" ht="18.75" customHeight="1">
      <c r="A16" s="617"/>
      <c r="B16" s="617"/>
      <c r="C16" s="617"/>
      <c r="D16" s="617"/>
      <c r="E16" s="617"/>
      <c r="F16" s="617"/>
      <c r="G16" s="617"/>
      <c r="H16" s="617"/>
      <c r="I16" s="617"/>
      <c r="J16" s="617"/>
      <c r="K16" s="617"/>
      <c r="L16" s="617"/>
      <c r="M16" s="617"/>
      <c r="N16" s="617"/>
      <c r="O16" s="617"/>
      <c r="P16" s="617"/>
      <c r="Q16" s="617"/>
      <c r="R16" s="617"/>
      <c r="S16" s="617"/>
      <c r="T16" s="617"/>
      <c r="U16" s="617"/>
      <c r="V16" s="617"/>
      <c r="W16" s="617"/>
      <c r="X16" s="617"/>
    </row>
    <row r="17" ht="18.75" customHeight="1">
      <c r="A17" s="617"/>
      <c r="B17" s="617"/>
      <c r="C17" s="617"/>
      <c r="D17" s="617"/>
      <c r="E17" s="617"/>
      <c r="F17" s="617"/>
      <c r="G17" s="617"/>
      <c r="H17" s="617"/>
      <c r="I17" s="617"/>
      <c r="J17" s="617"/>
      <c r="K17" s="617"/>
      <c r="L17" s="617"/>
      <c r="M17" s="617"/>
      <c r="N17" s="617"/>
      <c r="O17" s="617"/>
      <c r="P17" s="617"/>
      <c r="Q17" s="617"/>
      <c r="R17" s="617"/>
      <c r="S17" s="617"/>
      <c r="T17" s="617"/>
      <c r="U17" s="617"/>
      <c r="V17" s="617"/>
      <c r="W17" s="617"/>
      <c r="X17" s="617"/>
    </row>
    <row r="18" ht="18.75" customHeight="1">
      <c r="A18" s="616" t="s">
        <v>501</v>
      </c>
      <c r="B18" s="616" t="s">
        <v>799</v>
      </c>
      <c r="C18" s="616" t="s">
        <v>800</v>
      </c>
      <c r="D18" s="616" t="s">
        <v>801</v>
      </c>
      <c r="E18" s="616" t="s">
        <v>802</v>
      </c>
      <c r="F18" s="616" t="s">
        <v>649</v>
      </c>
      <c r="G18" s="616" t="s">
        <v>803</v>
      </c>
      <c r="H18" s="617"/>
      <c r="I18" s="617"/>
      <c r="J18" s="617"/>
      <c r="K18" s="617"/>
      <c r="L18" s="617"/>
      <c r="M18" s="617"/>
      <c r="N18" s="617"/>
      <c r="O18" s="617"/>
      <c r="P18" s="617"/>
      <c r="Q18" s="617"/>
      <c r="R18" s="617"/>
      <c r="S18" s="617"/>
      <c r="T18" s="617"/>
      <c r="U18" s="617"/>
      <c r="V18" s="617"/>
      <c r="W18" s="617"/>
      <c r="X18" s="617"/>
    </row>
    <row r="19" ht="18.75" customHeight="1">
      <c r="A19" s="619"/>
      <c r="B19" s="619"/>
      <c r="C19" s="619"/>
      <c r="D19" s="619"/>
      <c r="E19" s="619"/>
      <c r="F19" s="619"/>
      <c r="G19" s="619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</row>
    <row r="20" ht="73.5" customHeight="1">
      <c r="A20" s="620"/>
      <c r="B20" s="620"/>
      <c r="C20" s="620"/>
      <c r="D20" s="620"/>
      <c r="E20" s="620"/>
      <c r="F20" s="621"/>
      <c r="G20" s="621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</row>
    <row r="21" ht="18.75" customHeight="1">
      <c r="A21" s="619"/>
      <c r="B21" s="619"/>
      <c r="C21" s="619"/>
      <c r="D21" s="619"/>
      <c r="E21" s="619"/>
      <c r="F21" s="619"/>
      <c r="G21" s="619"/>
      <c r="H21" s="617"/>
      <c r="I21" s="617"/>
      <c r="J21" s="617"/>
      <c r="K21" s="617"/>
      <c r="L21" s="617"/>
      <c r="M21" s="617"/>
      <c r="N21" s="617"/>
      <c r="O21" s="617"/>
      <c r="P21" s="617"/>
      <c r="Q21" s="617"/>
      <c r="R21" s="617"/>
      <c r="S21" s="617"/>
      <c r="T21" s="617"/>
      <c r="U21" s="617"/>
      <c r="V21" s="617"/>
      <c r="W21" s="617"/>
      <c r="X21" s="617"/>
    </row>
    <row r="22" ht="79.5" customHeight="1">
      <c r="A22" s="621"/>
      <c r="B22" s="621"/>
      <c r="C22" s="621"/>
      <c r="D22" s="621"/>
      <c r="E22" s="621"/>
      <c r="F22" s="621"/>
      <c r="G22" s="621"/>
      <c r="H22" s="617"/>
      <c r="I22" s="617"/>
      <c r="J22" s="617"/>
      <c r="K22" s="617"/>
      <c r="L22" s="617"/>
      <c r="M22" s="617"/>
      <c r="N22" s="617"/>
      <c r="O22" s="617"/>
      <c r="P22" s="617"/>
      <c r="Q22" s="617"/>
      <c r="R22" s="617"/>
      <c r="S22" s="617"/>
      <c r="T22" s="617"/>
      <c r="U22" s="617"/>
      <c r="V22" s="617"/>
      <c r="W22" s="617"/>
      <c r="X22" s="617"/>
    </row>
    <row r="23" ht="18.75" customHeight="1">
      <c r="A23" s="619"/>
      <c r="B23" s="619"/>
      <c r="C23" s="619"/>
      <c r="D23" s="619"/>
      <c r="E23" s="619"/>
      <c r="F23" s="619"/>
      <c r="G23" s="619"/>
      <c r="H23" s="617"/>
      <c r="I23" s="617"/>
      <c r="J23" s="617"/>
      <c r="K23" s="617"/>
      <c r="L23" s="617"/>
      <c r="M23" s="617"/>
      <c r="N23" s="617"/>
      <c r="O23" s="617"/>
      <c r="P23" s="617"/>
      <c r="Q23" s="617"/>
      <c r="R23" s="617"/>
      <c r="S23" s="617"/>
      <c r="T23" s="617"/>
      <c r="U23" s="617"/>
      <c r="V23" s="617"/>
      <c r="W23" s="617"/>
      <c r="X23" s="617"/>
    </row>
    <row r="24" ht="78.0" customHeight="1">
      <c r="A24" s="621"/>
      <c r="B24" s="621"/>
      <c r="C24" s="621"/>
      <c r="D24" s="621"/>
      <c r="E24" s="621"/>
      <c r="F24" s="621"/>
      <c r="G24" s="621"/>
      <c r="H24" s="617"/>
      <c r="I24" s="617"/>
      <c r="J24" s="617"/>
      <c r="K24" s="617"/>
      <c r="L24" s="617"/>
      <c r="M24" s="617"/>
      <c r="N24" s="617"/>
      <c r="O24" s="617"/>
      <c r="P24" s="617"/>
      <c r="Q24" s="617"/>
      <c r="R24" s="617"/>
      <c r="S24" s="617"/>
      <c r="T24" s="617"/>
      <c r="U24" s="617"/>
      <c r="V24" s="617"/>
      <c r="W24" s="617"/>
      <c r="X24" s="617"/>
    </row>
    <row r="25" ht="18.75" customHeight="1">
      <c r="A25" s="619"/>
      <c r="B25" s="619"/>
      <c r="C25" s="619"/>
      <c r="D25" s="619"/>
      <c r="E25" s="619"/>
      <c r="F25" s="619"/>
      <c r="G25" s="619"/>
      <c r="H25" s="617"/>
      <c r="I25" s="617"/>
      <c r="J25" s="617"/>
      <c r="K25" s="617"/>
      <c r="L25" s="617"/>
      <c r="M25" s="617"/>
      <c r="N25" s="617"/>
      <c r="O25" s="617"/>
      <c r="P25" s="617"/>
      <c r="Q25" s="617"/>
      <c r="R25" s="617"/>
      <c r="S25" s="617"/>
      <c r="T25" s="617"/>
      <c r="U25" s="617"/>
      <c r="V25" s="617"/>
      <c r="W25" s="617"/>
      <c r="X25" s="617"/>
    </row>
    <row r="26" ht="78.0" customHeight="1">
      <c r="A26" s="621"/>
      <c r="B26" s="621"/>
      <c r="C26" s="621"/>
      <c r="D26" s="621"/>
      <c r="E26" s="621"/>
      <c r="F26" s="621"/>
      <c r="G26" s="621"/>
      <c r="H26" s="617"/>
      <c r="I26" s="617"/>
      <c r="J26" s="617"/>
      <c r="K26" s="617"/>
      <c r="L26" s="617"/>
      <c r="M26" s="617"/>
      <c r="N26" s="617"/>
      <c r="O26" s="617"/>
      <c r="P26" s="617"/>
      <c r="Q26" s="617"/>
      <c r="R26" s="617"/>
      <c r="S26" s="617"/>
      <c r="T26" s="617"/>
      <c r="U26" s="617"/>
      <c r="V26" s="617"/>
      <c r="W26" s="617"/>
      <c r="X26" s="617"/>
    </row>
    <row r="27" ht="18.75" customHeight="1">
      <c r="A27" s="619"/>
      <c r="B27" s="619"/>
      <c r="C27" s="619"/>
      <c r="D27" s="619"/>
      <c r="E27" s="619"/>
      <c r="F27" s="619"/>
      <c r="G27" s="619"/>
      <c r="H27" s="617"/>
      <c r="I27" s="617"/>
      <c r="J27" s="617"/>
      <c r="K27" s="617"/>
      <c r="L27" s="617"/>
      <c r="M27" s="617"/>
      <c r="N27" s="617"/>
      <c r="O27" s="617"/>
      <c r="P27" s="617"/>
      <c r="Q27" s="617"/>
      <c r="R27" s="617"/>
      <c r="S27" s="617"/>
      <c r="T27" s="617"/>
      <c r="U27" s="617"/>
      <c r="V27" s="617"/>
      <c r="W27" s="617"/>
      <c r="X27" s="617"/>
    </row>
    <row r="28" ht="81.0" customHeight="1">
      <c r="A28" s="621"/>
      <c r="B28" s="621"/>
      <c r="C28" s="621"/>
      <c r="D28" s="621"/>
      <c r="E28" s="621"/>
      <c r="F28" s="621"/>
      <c r="G28" s="621"/>
      <c r="H28" s="617"/>
      <c r="I28" s="617"/>
      <c r="J28" s="617"/>
      <c r="K28" s="617"/>
      <c r="L28" s="617"/>
      <c r="M28" s="617"/>
      <c r="N28" s="617"/>
      <c r="O28" s="617"/>
      <c r="P28" s="617"/>
      <c r="Q28" s="617"/>
      <c r="R28" s="617"/>
      <c r="S28" s="617"/>
      <c r="T28" s="617"/>
      <c r="U28" s="617"/>
      <c r="V28" s="617"/>
      <c r="W28" s="617"/>
      <c r="X28" s="617"/>
    </row>
    <row r="29" ht="18.75" customHeight="1">
      <c r="A29" s="617"/>
      <c r="B29" s="617"/>
      <c r="C29" s="617"/>
      <c r="D29" s="617"/>
      <c r="E29" s="617"/>
      <c r="F29" s="617"/>
      <c r="G29" s="617"/>
      <c r="H29" s="617"/>
      <c r="I29" s="617"/>
      <c r="J29" s="617"/>
      <c r="K29" s="617"/>
      <c r="L29" s="617"/>
      <c r="M29" s="617"/>
      <c r="N29" s="617"/>
      <c r="O29" s="617"/>
      <c r="P29" s="617"/>
      <c r="Q29" s="617"/>
      <c r="R29" s="617"/>
      <c r="S29" s="617"/>
      <c r="T29" s="617"/>
      <c r="U29" s="617"/>
      <c r="V29" s="617"/>
      <c r="W29" s="617"/>
      <c r="X29" s="617"/>
    </row>
    <row r="30" ht="18.75" customHeight="1">
      <c r="A30" s="617"/>
      <c r="B30" s="617"/>
      <c r="C30" s="617"/>
      <c r="D30" s="617"/>
      <c r="E30" s="617"/>
      <c r="F30" s="617"/>
      <c r="G30" s="617"/>
      <c r="H30" s="617"/>
      <c r="I30" s="617"/>
      <c r="J30" s="617"/>
      <c r="K30" s="617"/>
      <c r="L30" s="617"/>
      <c r="M30" s="617"/>
      <c r="N30" s="617"/>
      <c r="O30" s="617"/>
      <c r="P30" s="617"/>
      <c r="Q30" s="617"/>
      <c r="R30" s="617"/>
      <c r="S30" s="617"/>
      <c r="T30" s="617"/>
      <c r="U30" s="617"/>
      <c r="V30" s="617"/>
      <c r="W30" s="617"/>
      <c r="X30" s="617"/>
    </row>
    <row r="31" ht="18.75" customHeight="1">
      <c r="A31" s="617"/>
      <c r="B31" s="617"/>
      <c r="C31" s="617"/>
      <c r="D31" s="617"/>
      <c r="E31" s="617"/>
      <c r="F31" s="617"/>
      <c r="G31" s="617"/>
      <c r="H31" s="617"/>
      <c r="I31" s="617"/>
      <c r="J31" s="617"/>
      <c r="K31" s="617"/>
      <c r="L31" s="617"/>
      <c r="M31" s="617"/>
      <c r="N31" s="617"/>
      <c r="O31" s="617"/>
      <c r="P31" s="617"/>
      <c r="Q31" s="617"/>
      <c r="R31" s="617"/>
      <c r="S31" s="617"/>
      <c r="T31" s="617"/>
      <c r="U31" s="617"/>
      <c r="V31" s="617"/>
      <c r="W31" s="617"/>
      <c r="X31" s="617"/>
    </row>
    <row r="32" ht="18.75" customHeight="1">
      <c r="A32" s="617"/>
      <c r="B32" s="617"/>
      <c r="C32" s="617"/>
      <c r="D32" s="617"/>
      <c r="E32" s="617"/>
      <c r="F32" s="617"/>
      <c r="G32" s="617"/>
      <c r="H32" s="617"/>
      <c r="I32" s="617"/>
      <c r="J32" s="617"/>
      <c r="K32" s="617"/>
      <c r="L32" s="617"/>
      <c r="M32" s="617"/>
      <c r="N32" s="617"/>
      <c r="O32" s="617"/>
      <c r="P32" s="617"/>
      <c r="Q32" s="617"/>
      <c r="R32" s="617"/>
      <c r="S32" s="617"/>
      <c r="T32" s="617"/>
      <c r="U32" s="617"/>
      <c r="V32" s="617"/>
      <c r="W32" s="617"/>
      <c r="X32" s="617"/>
    </row>
    <row r="33" ht="18.75" customHeight="1">
      <c r="A33" s="617"/>
      <c r="B33" s="617"/>
      <c r="C33" s="617"/>
      <c r="D33" s="617"/>
      <c r="E33" s="617"/>
      <c r="F33" s="617"/>
      <c r="G33" s="617"/>
      <c r="H33" s="617"/>
      <c r="I33" s="617"/>
      <c r="J33" s="617"/>
      <c r="K33" s="617"/>
      <c r="L33" s="617"/>
      <c r="M33" s="617"/>
      <c r="N33" s="617"/>
      <c r="O33" s="617"/>
      <c r="P33" s="617"/>
      <c r="Q33" s="617"/>
      <c r="R33" s="617"/>
      <c r="S33" s="617"/>
      <c r="T33" s="617"/>
      <c r="U33" s="617"/>
      <c r="V33" s="617"/>
      <c r="W33" s="617"/>
      <c r="X33" s="617"/>
    </row>
    <row r="34" ht="18.75" customHeight="1">
      <c r="A34" s="617"/>
      <c r="B34" s="617"/>
      <c r="C34" s="617"/>
      <c r="D34" s="617"/>
      <c r="E34" s="617"/>
      <c r="F34" s="617"/>
      <c r="G34" s="617"/>
      <c r="H34" s="617"/>
      <c r="I34" s="617"/>
      <c r="J34" s="617"/>
      <c r="K34" s="617"/>
      <c r="L34" s="617"/>
      <c r="M34" s="617"/>
      <c r="N34" s="617"/>
      <c r="O34" s="617"/>
      <c r="P34" s="617"/>
      <c r="Q34" s="617"/>
      <c r="R34" s="617"/>
      <c r="S34" s="617"/>
      <c r="T34" s="617"/>
      <c r="U34" s="617"/>
      <c r="V34" s="617"/>
      <c r="W34" s="617"/>
      <c r="X34" s="617"/>
    </row>
    <row r="35" ht="18.75" customHeight="1">
      <c r="A35" s="617"/>
      <c r="B35" s="617"/>
      <c r="C35" s="617"/>
      <c r="D35" s="617"/>
      <c r="E35" s="617"/>
      <c r="F35" s="617"/>
      <c r="G35" s="617"/>
      <c r="H35" s="617"/>
      <c r="I35" s="617"/>
      <c r="J35" s="617"/>
      <c r="K35" s="617"/>
      <c r="L35" s="617"/>
      <c r="M35" s="617"/>
      <c r="N35" s="617"/>
      <c r="O35" s="617"/>
      <c r="P35" s="617"/>
      <c r="Q35" s="617"/>
      <c r="R35" s="617"/>
      <c r="S35" s="617"/>
      <c r="T35" s="617"/>
      <c r="U35" s="617"/>
      <c r="V35" s="617"/>
      <c r="W35" s="617"/>
      <c r="X35" s="617"/>
    </row>
    <row r="36" ht="18.75" customHeight="1">
      <c r="A36" s="617"/>
      <c r="B36" s="617"/>
      <c r="C36" s="617"/>
      <c r="D36" s="617"/>
      <c r="E36" s="617"/>
      <c r="F36" s="617"/>
      <c r="G36" s="617"/>
      <c r="H36" s="617"/>
      <c r="I36" s="617"/>
      <c r="J36" s="617"/>
      <c r="K36" s="617"/>
      <c r="L36" s="617"/>
      <c r="M36" s="617"/>
      <c r="N36" s="617"/>
      <c r="O36" s="617"/>
      <c r="P36" s="617"/>
      <c r="Q36" s="617"/>
      <c r="R36" s="617"/>
      <c r="S36" s="617"/>
      <c r="T36" s="617"/>
      <c r="U36" s="617"/>
      <c r="V36" s="617"/>
      <c r="W36" s="617"/>
      <c r="X36" s="617"/>
    </row>
    <row r="37" ht="18.75" customHeight="1">
      <c r="A37" s="617"/>
      <c r="B37" s="617"/>
      <c r="C37" s="617"/>
      <c r="D37" s="617"/>
      <c r="E37" s="617"/>
      <c r="F37" s="617"/>
      <c r="G37" s="617"/>
      <c r="H37" s="617"/>
      <c r="I37" s="617"/>
      <c r="J37" s="617"/>
      <c r="K37" s="617"/>
      <c r="L37" s="617"/>
      <c r="M37" s="617"/>
      <c r="N37" s="617"/>
      <c r="O37" s="617"/>
      <c r="P37" s="617"/>
      <c r="Q37" s="617"/>
      <c r="R37" s="617"/>
      <c r="S37" s="617"/>
      <c r="T37" s="617"/>
      <c r="U37" s="617"/>
      <c r="V37" s="617"/>
      <c r="W37" s="617"/>
      <c r="X37" s="617"/>
    </row>
    <row r="38" ht="18.75" customHeight="1">
      <c r="A38" s="617"/>
      <c r="B38" s="617"/>
      <c r="C38" s="617"/>
      <c r="D38" s="617"/>
      <c r="E38" s="617"/>
      <c r="F38" s="617"/>
      <c r="G38" s="617"/>
      <c r="H38" s="617"/>
      <c r="I38" s="617"/>
      <c r="J38" s="617"/>
      <c r="K38" s="617"/>
      <c r="L38" s="617"/>
      <c r="M38" s="617"/>
      <c r="N38" s="617"/>
      <c r="O38" s="617"/>
      <c r="P38" s="617"/>
      <c r="Q38" s="617"/>
      <c r="R38" s="617"/>
      <c r="S38" s="617"/>
      <c r="T38" s="617"/>
      <c r="U38" s="617"/>
      <c r="V38" s="617"/>
      <c r="W38" s="617"/>
      <c r="X38" s="617"/>
    </row>
    <row r="39" ht="18.75" customHeight="1">
      <c r="A39" s="617"/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</row>
    <row r="40" ht="18.75" customHeight="1">
      <c r="A40" s="617"/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</row>
    <row r="41" ht="18.75" customHeight="1">
      <c r="A41" s="617"/>
      <c r="B41" s="617"/>
      <c r="C41" s="617"/>
      <c r="D41" s="617"/>
      <c r="E41" s="617"/>
      <c r="F41" s="617"/>
      <c r="G41" s="617"/>
      <c r="H41" s="617"/>
      <c r="I41" s="617"/>
      <c r="J41" s="617"/>
      <c r="K41" s="617"/>
      <c r="L41" s="617"/>
      <c r="M41" s="617"/>
      <c r="N41" s="617"/>
      <c r="O41" s="617"/>
      <c r="P41" s="617"/>
      <c r="Q41" s="617"/>
      <c r="R41" s="617"/>
      <c r="S41" s="617"/>
      <c r="T41" s="617"/>
      <c r="U41" s="617"/>
      <c r="V41" s="617"/>
      <c r="W41" s="617"/>
      <c r="X41" s="617"/>
    </row>
    <row r="42" ht="18.75" customHeight="1">
      <c r="A42" s="617"/>
      <c r="B42" s="617"/>
      <c r="C42" s="617"/>
      <c r="D42" s="617"/>
      <c r="E42" s="617"/>
      <c r="F42" s="617"/>
      <c r="G42" s="617"/>
      <c r="H42" s="617"/>
      <c r="I42" s="617"/>
      <c r="J42" s="617"/>
      <c r="K42" s="617"/>
      <c r="L42" s="617"/>
      <c r="M42" s="617"/>
      <c r="N42" s="617"/>
      <c r="O42" s="617"/>
      <c r="P42" s="617"/>
      <c r="Q42" s="617"/>
      <c r="R42" s="617"/>
      <c r="S42" s="617"/>
      <c r="T42" s="617"/>
      <c r="U42" s="617"/>
      <c r="V42" s="617"/>
      <c r="W42" s="617"/>
      <c r="X42" s="617"/>
    </row>
    <row r="43" ht="18.75" customHeight="1">
      <c r="A43" s="617"/>
      <c r="B43" s="617"/>
      <c r="C43" s="617"/>
      <c r="D43" s="617"/>
      <c r="E43" s="617"/>
      <c r="F43" s="617"/>
      <c r="G43" s="617"/>
      <c r="H43" s="617"/>
      <c r="I43" s="617"/>
      <c r="J43" s="617"/>
      <c r="K43" s="617"/>
      <c r="L43" s="617"/>
      <c r="M43" s="617"/>
      <c r="N43" s="617"/>
      <c r="O43" s="617"/>
      <c r="P43" s="617"/>
      <c r="Q43" s="617"/>
      <c r="R43" s="617"/>
      <c r="S43" s="617"/>
      <c r="T43" s="617"/>
      <c r="U43" s="617"/>
      <c r="V43" s="617"/>
      <c r="W43" s="617"/>
      <c r="X43" s="617"/>
    </row>
    <row r="44" ht="18.75" customHeight="1">
      <c r="A44" s="617"/>
      <c r="B44" s="617"/>
      <c r="C44" s="617"/>
      <c r="D44" s="617"/>
      <c r="E44" s="617"/>
      <c r="F44" s="617"/>
      <c r="G44" s="617"/>
      <c r="H44" s="617"/>
      <c r="I44" s="617"/>
      <c r="J44" s="617"/>
      <c r="K44" s="617"/>
      <c r="L44" s="617"/>
      <c r="M44" s="617"/>
      <c r="N44" s="617"/>
      <c r="O44" s="617"/>
      <c r="P44" s="617"/>
      <c r="Q44" s="617"/>
      <c r="R44" s="617"/>
      <c r="S44" s="617"/>
      <c r="T44" s="617"/>
      <c r="U44" s="617"/>
      <c r="V44" s="617"/>
      <c r="W44" s="617"/>
      <c r="X44" s="617"/>
    </row>
    <row r="45" ht="18.75" customHeight="1">
      <c r="A45" s="617"/>
      <c r="B45" s="617"/>
      <c r="C45" s="617"/>
      <c r="D45" s="617"/>
      <c r="E45" s="617"/>
      <c r="F45" s="617"/>
      <c r="G45" s="617"/>
      <c r="H45" s="617"/>
      <c r="I45" s="617"/>
      <c r="J45" s="617"/>
      <c r="K45" s="617"/>
      <c r="L45" s="617"/>
      <c r="M45" s="617"/>
      <c r="N45" s="617"/>
      <c r="O45" s="617"/>
      <c r="P45" s="617"/>
      <c r="Q45" s="617"/>
      <c r="R45" s="617"/>
      <c r="S45" s="617"/>
      <c r="T45" s="617"/>
      <c r="U45" s="617"/>
      <c r="V45" s="617"/>
      <c r="W45" s="617"/>
      <c r="X45" s="617"/>
    </row>
    <row r="46" ht="18.75" customHeight="1">
      <c r="A46" s="617"/>
      <c r="B46" s="617"/>
      <c r="C46" s="617"/>
      <c r="D46" s="617"/>
      <c r="E46" s="617"/>
      <c r="F46" s="617"/>
      <c r="G46" s="617"/>
      <c r="H46" s="617"/>
      <c r="I46" s="617"/>
      <c r="J46" s="617"/>
      <c r="K46" s="617"/>
      <c r="L46" s="617"/>
      <c r="M46" s="617"/>
      <c r="N46" s="617"/>
      <c r="O46" s="617"/>
      <c r="P46" s="617"/>
      <c r="Q46" s="617"/>
      <c r="R46" s="617"/>
      <c r="S46" s="617"/>
      <c r="T46" s="617"/>
      <c r="U46" s="617"/>
      <c r="V46" s="617"/>
      <c r="W46" s="617"/>
      <c r="X46" s="617"/>
    </row>
    <row r="47" ht="18.75" customHeight="1">
      <c r="A47" s="617"/>
      <c r="B47" s="617"/>
      <c r="C47" s="617"/>
      <c r="D47" s="617"/>
      <c r="E47" s="617"/>
      <c r="F47" s="617"/>
      <c r="G47" s="617"/>
      <c r="H47" s="617"/>
      <c r="I47" s="617"/>
      <c r="J47" s="617"/>
      <c r="K47" s="617"/>
      <c r="L47" s="617"/>
      <c r="M47" s="617"/>
      <c r="N47" s="617"/>
      <c r="O47" s="617"/>
      <c r="P47" s="617"/>
      <c r="Q47" s="617"/>
      <c r="R47" s="617"/>
      <c r="S47" s="617"/>
      <c r="T47" s="617"/>
      <c r="U47" s="617"/>
      <c r="V47" s="617"/>
      <c r="W47" s="617"/>
      <c r="X47" s="617"/>
    </row>
    <row r="48" ht="18.75" customHeight="1">
      <c r="A48" s="617"/>
      <c r="B48" s="617"/>
      <c r="C48" s="617"/>
      <c r="D48" s="617"/>
      <c r="E48" s="617"/>
      <c r="F48" s="617"/>
      <c r="G48" s="617"/>
      <c r="H48" s="617"/>
      <c r="I48" s="617"/>
      <c r="J48" s="617"/>
      <c r="K48" s="617"/>
      <c r="L48" s="617"/>
      <c r="M48" s="617"/>
      <c r="N48" s="617"/>
      <c r="O48" s="617"/>
      <c r="P48" s="617"/>
      <c r="Q48" s="617"/>
      <c r="R48" s="617"/>
      <c r="S48" s="617"/>
      <c r="T48" s="617"/>
      <c r="U48" s="617"/>
      <c r="V48" s="617"/>
      <c r="W48" s="617"/>
      <c r="X48" s="617"/>
    </row>
    <row r="49" ht="18.75" customHeight="1">
      <c r="A49" s="617"/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</row>
    <row r="50" ht="18.75" customHeight="1">
      <c r="A50" s="617"/>
      <c r="B50" s="617"/>
      <c r="C50" s="617"/>
      <c r="D50" s="617"/>
      <c r="E50" s="617"/>
      <c r="F50" s="617"/>
      <c r="G50" s="617"/>
      <c r="H50" s="617"/>
      <c r="I50" s="617"/>
      <c r="J50" s="617"/>
      <c r="K50" s="617"/>
      <c r="L50" s="617"/>
      <c r="M50" s="617"/>
      <c r="N50" s="617"/>
      <c r="O50" s="617"/>
      <c r="P50" s="617"/>
      <c r="Q50" s="617"/>
      <c r="R50" s="617"/>
      <c r="S50" s="617"/>
      <c r="T50" s="617"/>
      <c r="U50" s="617"/>
      <c r="V50" s="617"/>
      <c r="W50" s="617"/>
      <c r="X50" s="617"/>
    </row>
    <row r="51" ht="18.75" customHeight="1">
      <c r="A51" s="617"/>
      <c r="B51" s="617"/>
      <c r="C51" s="617"/>
      <c r="D51" s="617"/>
      <c r="E51" s="617"/>
      <c r="F51" s="617"/>
      <c r="G51" s="617"/>
      <c r="H51" s="617"/>
      <c r="I51" s="617"/>
      <c r="J51" s="617"/>
      <c r="K51" s="617"/>
      <c r="L51" s="617"/>
      <c r="M51" s="617"/>
      <c r="N51" s="617"/>
      <c r="O51" s="617"/>
      <c r="P51" s="617"/>
      <c r="Q51" s="617"/>
      <c r="R51" s="617"/>
      <c r="S51" s="617"/>
      <c r="T51" s="617"/>
      <c r="U51" s="617"/>
      <c r="V51" s="617"/>
      <c r="W51" s="617"/>
      <c r="X51" s="617"/>
    </row>
    <row r="52" ht="18.75" customHeight="1">
      <c r="A52" s="617"/>
      <c r="B52" s="617"/>
      <c r="C52" s="617"/>
      <c r="D52" s="617"/>
      <c r="E52" s="617"/>
      <c r="F52" s="617"/>
      <c r="G52" s="617"/>
      <c r="H52" s="617"/>
      <c r="I52" s="617"/>
      <c r="J52" s="617"/>
      <c r="K52" s="617"/>
      <c r="L52" s="617"/>
      <c r="M52" s="617"/>
      <c r="N52" s="617"/>
      <c r="O52" s="617"/>
      <c r="P52" s="617"/>
      <c r="Q52" s="617"/>
      <c r="R52" s="617"/>
      <c r="S52" s="617"/>
      <c r="T52" s="617"/>
      <c r="U52" s="617"/>
      <c r="V52" s="617"/>
      <c r="W52" s="617"/>
      <c r="X52" s="617"/>
    </row>
    <row r="53" ht="18.75" customHeight="1">
      <c r="A53" s="617"/>
      <c r="B53" s="617"/>
      <c r="C53" s="617"/>
      <c r="D53" s="617"/>
      <c r="E53" s="617"/>
      <c r="F53" s="617"/>
      <c r="G53" s="617"/>
      <c r="H53" s="617"/>
      <c r="I53" s="617"/>
      <c r="J53" s="617"/>
      <c r="K53" s="617"/>
      <c r="L53" s="617"/>
      <c r="M53" s="617"/>
      <c r="N53" s="617"/>
      <c r="O53" s="617"/>
      <c r="P53" s="617"/>
      <c r="Q53" s="617"/>
      <c r="R53" s="617"/>
      <c r="S53" s="617"/>
      <c r="T53" s="617"/>
      <c r="U53" s="617"/>
      <c r="V53" s="617"/>
      <c r="W53" s="617"/>
      <c r="X53" s="617"/>
    </row>
    <row r="54" ht="18.75" customHeight="1">
      <c r="A54" s="617"/>
      <c r="B54" s="617"/>
      <c r="C54" s="617"/>
      <c r="D54" s="617"/>
      <c r="E54" s="617"/>
      <c r="F54" s="617"/>
      <c r="G54" s="617"/>
      <c r="H54" s="617"/>
      <c r="I54" s="617"/>
      <c r="J54" s="617"/>
      <c r="K54" s="617"/>
      <c r="L54" s="617"/>
      <c r="M54" s="617"/>
      <c r="N54" s="617"/>
      <c r="O54" s="617"/>
      <c r="P54" s="617"/>
      <c r="Q54" s="617"/>
      <c r="R54" s="617"/>
      <c r="S54" s="617"/>
      <c r="T54" s="617"/>
      <c r="U54" s="617"/>
      <c r="V54" s="617"/>
      <c r="W54" s="617"/>
      <c r="X54" s="617"/>
    </row>
    <row r="55" ht="18.75" customHeight="1">
      <c r="A55" s="617"/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617"/>
      <c r="N55" s="617"/>
      <c r="O55" s="617"/>
      <c r="P55" s="617"/>
      <c r="Q55" s="617"/>
      <c r="R55" s="617"/>
      <c r="S55" s="617"/>
      <c r="T55" s="617"/>
      <c r="U55" s="617"/>
      <c r="V55" s="617"/>
      <c r="W55" s="617"/>
      <c r="X55" s="617"/>
    </row>
    <row r="56" ht="18.75" customHeight="1">
      <c r="A56" s="617"/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  <c r="M56" s="617"/>
      <c r="N56" s="617"/>
      <c r="O56" s="617"/>
      <c r="P56" s="617"/>
      <c r="Q56" s="617"/>
      <c r="R56" s="617"/>
      <c r="S56" s="617"/>
      <c r="T56" s="617"/>
      <c r="U56" s="617"/>
      <c r="V56" s="617"/>
      <c r="W56" s="617"/>
      <c r="X56" s="617"/>
    </row>
    <row r="57" ht="18.75" customHeight="1">
      <c r="A57" s="617"/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</row>
    <row r="58" ht="18.75" customHeight="1">
      <c r="A58" s="617"/>
      <c r="B58" s="617"/>
      <c r="C58" s="617"/>
      <c r="D58" s="617"/>
      <c r="E58" s="617"/>
      <c r="F58" s="617"/>
      <c r="G58" s="617"/>
      <c r="H58" s="617"/>
      <c r="I58" s="617"/>
      <c r="J58" s="617"/>
      <c r="K58" s="617"/>
      <c r="L58" s="617"/>
      <c r="M58" s="617"/>
      <c r="N58" s="617"/>
      <c r="O58" s="617"/>
      <c r="P58" s="617"/>
      <c r="Q58" s="617"/>
      <c r="R58" s="617"/>
      <c r="S58" s="617"/>
      <c r="T58" s="617"/>
      <c r="U58" s="617"/>
      <c r="V58" s="617"/>
      <c r="W58" s="617"/>
      <c r="X58" s="617"/>
    </row>
    <row r="59" ht="18.75" customHeight="1">
      <c r="A59" s="617"/>
      <c r="B59" s="617"/>
      <c r="C59" s="617"/>
      <c r="D59" s="617"/>
      <c r="E59" s="617"/>
      <c r="F59" s="617"/>
      <c r="G59" s="617"/>
      <c r="H59" s="617"/>
      <c r="I59" s="617"/>
      <c r="J59" s="617"/>
      <c r="K59" s="617"/>
      <c r="L59" s="617"/>
      <c r="M59" s="617"/>
      <c r="N59" s="617"/>
      <c r="O59" s="617"/>
      <c r="P59" s="617"/>
      <c r="Q59" s="617"/>
      <c r="R59" s="617"/>
      <c r="S59" s="617"/>
      <c r="T59" s="617"/>
      <c r="U59" s="617"/>
      <c r="V59" s="617"/>
      <c r="W59" s="617"/>
      <c r="X59" s="617"/>
    </row>
    <row r="60" ht="18.75" customHeight="1">
      <c r="A60" s="617"/>
      <c r="B60" s="617"/>
      <c r="C60" s="617"/>
      <c r="D60" s="617"/>
      <c r="E60" s="617"/>
      <c r="F60" s="617"/>
      <c r="G60" s="617"/>
      <c r="H60" s="617"/>
      <c r="I60" s="617"/>
      <c r="J60" s="617"/>
      <c r="K60" s="617"/>
      <c r="L60" s="617"/>
      <c r="M60" s="617"/>
      <c r="N60" s="617"/>
      <c r="O60" s="617"/>
      <c r="P60" s="617"/>
      <c r="Q60" s="617"/>
      <c r="R60" s="617"/>
      <c r="S60" s="617"/>
      <c r="T60" s="617"/>
      <c r="U60" s="617"/>
      <c r="V60" s="617"/>
      <c r="W60" s="617"/>
      <c r="X60" s="617"/>
    </row>
    <row r="61" ht="18.75" customHeight="1">
      <c r="A61" s="617"/>
      <c r="B61" s="617"/>
      <c r="C61" s="617"/>
      <c r="D61" s="617"/>
      <c r="E61" s="617"/>
      <c r="F61" s="617"/>
      <c r="G61" s="617"/>
      <c r="H61" s="617"/>
      <c r="I61" s="617"/>
      <c r="J61" s="617"/>
      <c r="K61" s="617"/>
      <c r="L61" s="617"/>
      <c r="M61" s="617"/>
      <c r="N61" s="617"/>
      <c r="O61" s="617"/>
      <c r="P61" s="617"/>
      <c r="Q61" s="617"/>
      <c r="R61" s="617"/>
      <c r="S61" s="617"/>
      <c r="T61" s="617"/>
      <c r="U61" s="617"/>
      <c r="V61" s="617"/>
      <c r="W61" s="617"/>
      <c r="X61" s="617"/>
    </row>
    <row r="62" ht="18.75" customHeight="1">
      <c r="A62" s="617"/>
      <c r="B62" s="617"/>
      <c r="C62" s="617"/>
      <c r="D62" s="617"/>
      <c r="E62" s="617"/>
      <c r="F62" s="617"/>
      <c r="G62" s="617"/>
      <c r="H62" s="617"/>
      <c r="I62" s="617"/>
      <c r="J62" s="617"/>
      <c r="K62" s="617"/>
      <c r="L62" s="617"/>
      <c r="M62" s="617"/>
      <c r="N62" s="617"/>
      <c r="O62" s="617"/>
      <c r="P62" s="617"/>
      <c r="Q62" s="617"/>
      <c r="R62" s="617"/>
      <c r="S62" s="617"/>
      <c r="T62" s="617"/>
      <c r="U62" s="617"/>
      <c r="V62" s="617"/>
      <c r="W62" s="617"/>
      <c r="X62" s="617"/>
    </row>
    <row r="63" ht="18.75" customHeight="1">
      <c r="A63" s="617"/>
      <c r="B63" s="617"/>
      <c r="C63" s="617"/>
      <c r="D63" s="617"/>
      <c r="E63" s="617"/>
      <c r="F63" s="617"/>
      <c r="G63" s="617"/>
      <c r="H63" s="617"/>
      <c r="I63" s="617"/>
      <c r="J63" s="617"/>
      <c r="K63" s="617"/>
      <c r="L63" s="617"/>
      <c r="M63" s="617"/>
      <c r="N63" s="617"/>
      <c r="O63" s="617"/>
      <c r="P63" s="617"/>
      <c r="Q63" s="617"/>
      <c r="R63" s="617"/>
      <c r="S63" s="617"/>
      <c r="T63" s="617"/>
      <c r="U63" s="617"/>
      <c r="V63" s="617"/>
      <c r="W63" s="617"/>
      <c r="X63" s="617"/>
    </row>
    <row r="64" ht="18.75" customHeight="1">
      <c r="A64" s="617"/>
      <c r="B64" s="617"/>
      <c r="C64" s="617"/>
      <c r="D64" s="617"/>
      <c r="E64" s="617"/>
      <c r="F64" s="617"/>
      <c r="G64" s="617"/>
      <c r="H64" s="617"/>
      <c r="I64" s="617"/>
      <c r="J64" s="617"/>
      <c r="K64" s="617"/>
      <c r="L64" s="617"/>
      <c r="M64" s="617"/>
      <c r="N64" s="617"/>
      <c r="O64" s="617"/>
      <c r="P64" s="617"/>
      <c r="Q64" s="617"/>
      <c r="R64" s="617"/>
      <c r="S64" s="617"/>
      <c r="T64" s="617"/>
      <c r="U64" s="617"/>
      <c r="V64" s="617"/>
      <c r="W64" s="617"/>
      <c r="X64" s="617"/>
    </row>
    <row r="65" ht="18.75" customHeight="1">
      <c r="A65" s="617"/>
      <c r="B65" s="617"/>
      <c r="C65" s="617"/>
      <c r="D65" s="617"/>
      <c r="E65" s="617"/>
      <c r="F65" s="617"/>
      <c r="G65" s="617"/>
      <c r="H65" s="617"/>
      <c r="I65" s="617"/>
      <c r="J65" s="617"/>
      <c r="K65" s="617"/>
      <c r="L65" s="617"/>
      <c r="M65" s="617"/>
      <c r="N65" s="617"/>
      <c r="O65" s="617"/>
      <c r="P65" s="617"/>
      <c r="Q65" s="617"/>
      <c r="R65" s="617"/>
      <c r="S65" s="617"/>
      <c r="T65" s="617"/>
      <c r="U65" s="617"/>
      <c r="V65" s="617"/>
      <c r="W65" s="617"/>
      <c r="X65" s="617"/>
    </row>
    <row r="66" ht="18.75" customHeight="1">
      <c r="A66" s="617"/>
      <c r="B66" s="617"/>
      <c r="C66" s="617"/>
      <c r="D66" s="617"/>
      <c r="E66" s="617"/>
      <c r="F66" s="617"/>
      <c r="G66" s="617"/>
      <c r="H66" s="617"/>
      <c r="I66" s="617"/>
      <c r="J66" s="617"/>
      <c r="K66" s="617"/>
      <c r="L66" s="617"/>
      <c r="M66" s="617"/>
      <c r="N66" s="617"/>
      <c r="O66" s="617"/>
      <c r="P66" s="617"/>
      <c r="Q66" s="617"/>
      <c r="R66" s="617"/>
      <c r="S66" s="617"/>
      <c r="T66" s="617"/>
      <c r="U66" s="617"/>
      <c r="V66" s="617"/>
      <c r="W66" s="617"/>
      <c r="X66" s="617"/>
    </row>
    <row r="67" ht="18.75" customHeight="1">
      <c r="A67" s="617"/>
      <c r="B67" s="617"/>
      <c r="C67" s="617"/>
      <c r="D67" s="617"/>
      <c r="E67" s="617"/>
      <c r="F67" s="617"/>
      <c r="G67" s="617"/>
      <c r="H67" s="617"/>
      <c r="I67" s="617"/>
      <c r="J67" s="617"/>
      <c r="K67" s="617"/>
      <c r="L67" s="617"/>
      <c r="M67" s="617"/>
      <c r="N67" s="617"/>
      <c r="O67" s="617"/>
      <c r="P67" s="617"/>
      <c r="Q67" s="617"/>
      <c r="R67" s="617"/>
      <c r="S67" s="617"/>
      <c r="T67" s="617"/>
      <c r="U67" s="617"/>
      <c r="V67" s="617"/>
      <c r="W67" s="617"/>
      <c r="X67" s="617"/>
    </row>
    <row r="68" ht="18.75" customHeight="1">
      <c r="A68" s="617"/>
      <c r="B68" s="617"/>
      <c r="C68" s="617"/>
      <c r="D68" s="617"/>
      <c r="E68" s="617"/>
      <c r="F68" s="617"/>
      <c r="G68" s="617"/>
      <c r="H68" s="617"/>
      <c r="I68" s="617"/>
      <c r="J68" s="617"/>
      <c r="K68" s="617"/>
      <c r="L68" s="617"/>
      <c r="M68" s="617"/>
      <c r="N68" s="617"/>
      <c r="O68" s="617"/>
      <c r="P68" s="617"/>
      <c r="Q68" s="617"/>
      <c r="R68" s="617"/>
      <c r="S68" s="617"/>
      <c r="T68" s="617"/>
      <c r="U68" s="617"/>
      <c r="V68" s="617"/>
      <c r="W68" s="617"/>
      <c r="X68" s="617"/>
    </row>
    <row r="69" ht="18.75" customHeight="1">
      <c r="A69" s="617"/>
      <c r="B69" s="617"/>
      <c r="C69" s="617"/>
      <c r="D69" s="617"/>
      <c r="E69" s="617"/>
      <c r="F69" s="617"/>
      <c r="G69" s="617"/>
      <c r="H69" s="617"/>
      <c r="I69" s="617"/>
      <c r="J69" s="617"/>
      <c r="K69" s="617"/>
      <c r="L69" s="617"/>
      <c r="M69" s="617"/>
      <c r="N69" s="617"/>
      <c r="O69" s="617"/>
      <c r="P69" s="617"/>
      <c r="Q69" s="617"/>
      <c r="R69" s="617"/>
      <c r="S69" s="617"/>
      <c r="T69" s="617"/>
      <c r="U69" s="617"/>
      <c r="V69" s="617"/>
      <c r="W69" s="617"/>
      <c r="X69" s="617"/>
    </row>
    <row r="70" ht="18.75" customHeight="1">
      <c r="A70" s="617"/>
      <c r="B70" s="617"/>
      <c r="C70" s="617"/>
      <c r="D70" s="617"/>
      <c r="E70" s="617"/>
      <c r="F70" s="617"/>
      <c r="G70" s="617"/>
      <c r="H70" s="617"/>
      <c r="I70" s="617"/>
      <c r="J70" s="617"/>
      <c r="K70" s="617"/>
      <c r="L70" s="617"/>
      <c r="M70" s="617"/>
      <c r="N70" s="617"/>
      <c r="O70" s="617"/>
      <c r="P70" s="617"/>
      <c r="Q70" s="617"/>
      <c r="R70" s="617"/>
      <c r="S70" s="617"/>
      <c r="T70" s="617"/>
      <c r="U70" s="617"/>
      <c r="V70" s="617"/>
      <c r="W70" s="617"/>
      <c r="X70" s="617"/>
    </row>
    <row r="71" ht="18.75" customHeight="1">
      <c r="A71" s="617"/>
      <c r="B71" s="617"/>
      <c r="C71" s="617"/>
      <c r="D71" s="617"/>
      <c r="E71" s="617"/>
      <c r="F71" s="617"/>
      <c r="G71" s="617"/>
      <c r="H71" s="617"/>
      <c r="I71" s="617"/>
      <c r="J71" s="617"/>
      <c r="K71" s="617"/>
      <c r="L71" s="617"/>
      <c r="M71" s="617"/>
      <c r="N71" s="617"/>
      <c r="O71" s="617"/>
      <c r="P71" s="617"/>
      <c r="Q71" s="617"/>
      <c r="R71" s="617"/>
      <c r="S71" s="617"/>
      <c r="T71" s="617"/>
      <c r="U71" s="617"/>
      <c r="V71" s="617"/>
      <c r="W71" s="617"/>
      <c r="X71" s="617"/>
    </row>
    <row r="72" ht="18.75" customHeight="1">
      <c r="A72" s="617"/>
      <c r="B72" s="617"/>
      <c r="C72" s="617"/>
      <c r="D72" s="617"/>
      <c r="E72" s="617"/>
      <c r="F72" s="617"/>
      <c r="G72" s="617"/>
      <c r="H72" s="617"/>
      <c r="I72" s="617"/>
      <c r="J72" s="617"/>
      <c r="K72" s="617"/>
      <c r="L72" s="617"/>
      <c r="M72" s="617"/>
      <c r="N72" s="617"/>
      <c r="O72" s="617"/>
      <c r="P72" s="617"/>
      <c r="Q72" s="617"/>
      <c r="R72" s="617"/>
      <c r="S72" s="617"/>
      <c r="T72" s="617"/>
      <c r="U72" s="617"/>
      <c r="V72" s="617"/>
      <c r="W72" s="617"/>
      <c r="X72" s="617"/>
    </row>
    <row r="73" ht="18.75" customHeight="1">
      <c r="A73" s="617"/>
      <c r="B73" s="617"/>
      <c r="C73" s="617"/>
      <c r="D73" s="617"/>
      <c r="E73" s="617"/>
      <c r="F73" s="617"/>
      <c r="G73" s="617"/>
      <c r="H73" s="617"/>
      <c r="I73" s="617"/>
      <c r="J73" s="617"/>
      <c r="K73" s="617"/>
      <c r="L73" s="617"/>
      <c r="M73" s="617"/>
      <c r="N73" s="617"/>
      <c r="O73" s="617"/>
      <c r="P73" s="617"/>
      <c r="Q73" s="617"/>
      <c r="R73" s="617"/>
      <c r="S73" s="617"/>
      <c r="T73" s="617"/>
      <c r="U73" s="617"/>
      <c r="V73" s="617"/>
      <c r="W73" s="617"/>
      <c r="X73" s="617"/>
    </row>
    <row r="74" ht="18.75" customHeight="1">
      <c r="A74" s="617"/>
      <c r="B74" s="617"/>
      <c r="C74" s="617"/>
      <c r="D74" s="617"/>
      <c r="E74" s="617"/>
      <c r="F74" s="617"/>
      <c r="G74" s="617"/>
      <c r="H74" s="617"/>
      <c r="I74" s="617"/>
      <c r="J74" s="617"/>
      <c r="K74" s="617"/>
      <c r="L74" s="617"/>
      <c r="M74" s="617"/>
      <c r="N74" s="617"/>
      <c r="O74" s="617"/>
      <c r="P74" s="617"/>
      <c r="Q74" s="617"/>
      <c r="R74" s="617"/>
      <c r="S74" s="617"/>
      <c r="T74" s="617"/>
      <c r="U74" s="617"/>
      <c r="V74" s="617"/>
      <c r="W74" s="617"/>
      <c r="X74" s="617"/>
    </row>
    <row r="75" ht="18.75" customHeight="1">
      <c r="A75" s="617"/>
      <c r="B75" s="617"/>
      <c r="C75" s="617"/>
      <c r="D75" s="617"/>
      <c r="E75" s="617"/>
      <c r="F75" s="617"/>
      <c r="G75" s="617"/>
      <c r="H75" s="617"/>
      <c r="I75" s="617"/>
      <c r="J75" s="617"/>
      <c r="K75" s="617"/>
      <c r="L75" s="617"/>
      <c r="M75" s="617"/>
      <c r="N75" s="617"/>
      <c r="O75" s="617"/>
      <c r="P75" s="617"/>
      <c r="Q75" s="617"/>
      <c r="R75" s="617"/>
      <c r="S75" s="617"/>
      <c r="T75" s="617"/>
      <c r="U75" s="617"/>
      <c r="V75" s="617"/>
      <c r="W75" s="617"/>
      <c r="X75" s="617"/>
    </row>
    <row r="76" ht="18.75" customHeight="1">
      <c r="A76" s="617"/>
      <c r="B76" s="617"/>
      <c r="C76" s="617"/>
      <c r="D76" s="617"/>
      <c r="E76" s="617"/>
      <c r="F76" s="617"/>
      <c r="G76" s="617"/>
      <c r="H76" s="617"/>
      <c r="I76" s="617"/>
      <c r="J76" s="617"/>
      <c r="K76" s="617"/>
      <c r="L76" s="617"/>
      <c r="M76" s="617"/>
      <c r="N76" s="617"/>
      <c r="O76" s="617"/>
      <c r="P76" s="617"/>
      <c r="Q76" s="617"/>
      <c r="R76" s="617"/>
      <c r="S76" s="617"/>
      <c r="T76" s="617"/>
      <c r="U76" s="617"/>
      <c r="V76" s="617"/>
      <c r="W76" s="617"/>
      <c r="X76" s="617"/>
    </row>
    <row r="77" ht="18.75" customHeight="1">
      <c r="A77" s="617"/>
      <c r="B77" s="617"/>
      <c r="C77" s="617"/>
      <c r="D77" s="617"/>
      <c r="E77" s="617"/>
      <c r="F77" s="617"/>
      <c r="G77" s="617"/>
      <c r="H77" s="617"/>
      <c r="I77" s="617"/>
      <c r="J77" s="617"/>
      <c r="K77" s="617"/>
      <c r="L77" s="617"/>
      <c r="M77" s="617"/>
      <c r="N77" s="617"/>
      <c r="O77" s="617"/>
      <c r="P77" s="617"/>
      <c r="Q77" s="617"/>
      <c r="R77" s="617"/>
      <c r="S77" s="617"/>
      <c r="T77" s="617"/>
      <c r="U77" s="617"/>
      <c r="V77" s="617"/>
      <c r="W77" s="617"/>
      <c r="X77" s="617"/>
    </row>
    <row r="78" ht="18.75" customHeight="1">
      <c r="A78" s="617"/>
      <c r="B78" s="617"/>
      <c r="C78" s="617"/>
      <c r="D78" s="617"/>
      <c r="E78" s="617"/>
      <c r="F78" s="617"/>
      <c r="G78" s="617"/>
      <c r="H78" s="617"/>
      <c r="I78" s="617"/>
      <c r="J78" s="617"/>
      <c r="K78" s="617"/>
      <c r="L78" s="617"/>
      <c r="M78" s="617"/>
      <c r="N78" s="617"/>
      <c r="O78" s="617"/>
      <c r="P78" s="617"/>
      <c r="Q78" s="617"/>
      <c r="R78" s="617"/>
      <c r="S78" s="617"/>
      <c r="T78" s="617"/>
      <c r="U78" s="617"/>
      <c r="V78" s="617"/>
      <c r="W78" s="617"/>
      <c r="X78" s="617"/>
    </row>
    <row r="79" ht="18.75" customHeight="1">
      <c r="A79" s="617"/>
      <c r="B79" s="617"/>
      <c r="C79" s="617"/>
      <c r="D79" s="617"/>
      <c r="E79" s="617"/>
      <c r="F79" s="617"/>
      <c r="G79" s="617"/>
      <c r="H79" s="617"/>
      <c r="I79" s="617"/>
      <c r="J79" s="617"/>
      <c r="K79" s="617"/>
      <c r="L79" s="617"/>
      <c r="M79" s="617"/>
      <c r="N79" s="617"/>
      <c r="O79" s="617"/>
      <c r="P79" s="617"/>
      <c r="Q79" s="617"/>
      <c r="R79" s="617"/>
      <c r="S79" s="617"/>
      <c r="T79" s="617"/>
      <c r="U79" s="617"/>
      <c r="V79" s="617"/>
      <c r="W79" s="617"/>
      <c r="X79" s="617"/>
    </row>
    <row r="80" ht="18.75" customHeight="1">
      <c r="A80" s="617"/>
      <c r="B80" s="617"/>
      <c r="C80" s="617"/>
      <c r="D80" s="617"/>
      <c r="E80" s="617"/>
      <c r="F80" s="617"/>
      <c r="G80" s="617"/>
      <c r="H80" s="617"/>
      <c r="I80" s="617"/>
      <c r="J80" s="617"/>
      <c r="K80" s="617"/>
      <c r="L80" s="617"/>
      <c r="M80" s="617"/>
      <c r="N80" s="617"/>
      <c r="O80" s="617"/>
      <c r="P80" s="617"/>
      <c r="Q80" s="617"/>
      <c r="R80" s="617"/>
      <c r="S80" s="617"/>
      <c r="T80" s="617"/>
      <c r="U80" s="617"/>
      <c r="V80" s="617"/>
      <c r="W80" s="617"/>
      <c r="X80" s="617"/>
    </row>
    <row r="81" ht="18.75" customHeight="1">
      <c r="A81" s="617"/>
      <c r="B81" s="617"/>
      <c r="C81" s="617"/>
      <c r="D81" s="617"/>
      <c r="E81" s="617"/>
      <c r="F81" s="617"/>
      <c r="G81" s="617"/>
      <c r="H81" s="617"/>
      <c r="I81" s="617"/>
      <c r="J81" s="617"/>
      <c r="K81" s="617"/>
      <c r="L81" s="617"/>
      <c r="M81" s="617"/>
      <c r="N81" s="617"/>
      <c r="O81" s="617"/>
      <c r="P81" s="617"/>
      <c r="Q81" s="617"/>
      <c r="R81" s="617"/>
      <c r="S81" s="617"/>
      <c r="T81" s="617"/>
      <c r="U81" s="617"/>
      <c r="V81" s="617"/>
      <c r="W81" s="617"/>
      <c r="X81" s="617"/>
    </row>
    <row r="82" ht="18.75" customHeight="1">
      <c r="A82" s="617"/>
      <c r="B82" s="617"/>
      <c r="C82" s="617"/>
      <c r="D82" s="617"/>
      <c r="E82" s="617"/>
      <c r="F82" s="617"/>
      <c r="G82" s="617"/>
      <c r="H82" s="617"/>
      <c r="I82" s="617"/>
      <c r="J82" s="617"/>
      <c r="K82" s="617"/>
      <c r="L82" s="617"/>
      <c r="M82" s="617"/>
      <c r="N82" s="617"/>
      <c r="O82" s="617"/>
      <c r="P82" s="617"/>
      <c r="Q82" s="617"/>
      <c r="R82" s="617"/>
      <c r="S82" s="617"/>
      <c r="T82" s="617"/>
      <c r="U82" s="617"/>
      <c r="V82" s="617"/>
      <c r="W82" s="617"/>
      <c r="X82" s="617"/>
    </row>
    <row r="83" ht="18.75" customHeight="1">
      <c r="A83" s="617"/>
      <c r="B83" s="617"/>
      <c r="C83" s="617"/>
      <c r="D83" s="617"/>
      <c r="E83" s="617"/>
      <c r="F83" s="617"/>
      <c r="G83" s="617"/>
      <c r="H83" s="617"/>
      <c r="I83" s="617"/>
      <c r="J83" s="617"/>
      <c r="K83" s="617"/>
      <c r="L83" s="617"/>
      <c r="M83" s="617"/>
      <c r="N83" s="617"/>
      <c r="O83" s="617"/>
      <c r="P83" s="617"/>
      <c r="Q83" s="617"/>
      <c r="R83" s="617"/>
      <c r="S83" s="617"/>
      <c r="T83" s="617"/>
      <c r="U83" s="617"/>
      <c r="V83" s="617"/>
      <c r="W83" s="617"/>
      <c r="X83" s="617"/>
    </row>
    <row r="84" ht="18.75" customHeight="1">
      <c r="A84" s="617"/>
      <c r="B84" s="617"/>
      <c r="C84" s="617"/>
      <c r="D84" s="617"/>
      <c r="E84" s="617"/>
      <c r="F84" s="617"/>
      <c r="G84" s="617"/>
      <c r="H84" s="617"/>
      <c r="I84" s="617"/>
      <c r="J84" s="617"/>
      <c r="K84" s="617"/>
      <c r="L84" s="617"/>
      <c r="M84" s="617"/>
      <c r="N84" s="617"/>
      <c r="O84" s="617"/>
      <c r="P84" s="617"/>
      <c r="Q84" s="617"/>
      <c r="R84" s="617"/>
      <c r="S84" s="617"/>
      <c r="T84" s="617"/>
      <c r="U84" s="617"/>
      <c r="V84" s="617"/>
      <c r="W84" s="617"/>
      <c r="X84" s="617"/>
    </row>
    <row r="85" ht="18.75" customHeight="1">
      <c r="A85" s="617"/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17"/>
      <c r="P85" s="617"/>
      <c r="Q85" s="617"/>
      <c r="R85" s="617"/>
      <c r="S85" s="617"/>
      <c r="T85" s="617"/>
      <c r="U85" s="617"/>
      <c r="V85" s="617"/>
      <c r="W85" s="617"/>
      <c r="X85" s="617"/>
    </row>
    <row r="86" ht="18.75" customHeight="1">
      <c r="A86" s="617"/>
      <c r="B86" s="617"/>
      <c r="C86" s="617"/>
      <c r="D86" s="617"/>
      <c r="E86" s="617"/>
      <c r="F86" s="617"/>
      <c r="G86" s="617"/>
      <c r="H86" s="617"/>
      <c r="I86" s="617"/>
      <c r="J86" s="617"/>
      <c r="K86" s="617"/>
      <c r="L86" s="617"/>
      <c r="M86" s="617"/>
      <c r="N86" s="617"/>
      <c r="O86" s="617"/>
      <c r="P86" s="617"/>
      <c r="Q86" s="617"/>
      <c r="R86" s="617"/>
      <c r="S86" s="617"/>
      <c r="T86" s="617"/>
      <c r="U86" s="617"/>
      <c r="V86" s="617"/>
      <c r="W86" s="617"/>
      <c r="X86" s="617"/>
    </row>
    <row r="87" ht="18.75" customHeight="1">
      <c r="A87" s="617"/>
      <c r="B87" s="617"/>
      <c r="C87" s="617"/>
      <c r="D87" s="617"/>
      <c r="E87" s="617"/>
      <c r="F87" s="617"/>
      <c r="G87" s="617"/>
      <c r="H87" s="617"/>
      <c r="I87" s="617"/>
      <c r="J87" s="617"/>
      <c r="K87" s="617"/>
      <c r="L87" s="617"/>
      <c r="M87" s="617"/>
      <c r="N87" s="617"/>
      <c r="O87" s="617"/>
      <c r="P87" s="617"/>
      <c r="Q87" s="617"/>
      <c r="R87" s="617"/>
      <c r="S87" s="617"/>
      <c r="T87" s="617"/>
      <c r="U87" s="617"/>
      <c r="V87" s="617"/>
      <c r="W87" s="617"/>
      <c r="X87" s="617"/>
    </row>
    <row r="88" ht="18.75" customHeight="1">
      <c r="A88" s="617"/>
      <c r="B88" s="617"/>
      <c r="C88" s="617"/>
      <c r="D88" s="617"/>
      <c r="E88" s="617"/>
      <c r="F88" s="617"/>
      <c r="G88" s="617"/>
      <c r="H88" s="617"/>
      <c r="I88" s="617"/>
      <c r="J88" s="617"/>
      <c r="K88" s="617"/>
      <c r="L88" s="617"/>
      <c r="M88" s="617"/>
      <c r="N88" s="617"/>
      <c r="O88" s="617"/>
      <c r="P88" s="617"/>
      <c r="Q88" s="617"/>
      <c r="R88" s="617"/>
      <c r="S88" s="617"/>
      <c r="T88" s="617"/>
      <c r="U88" s="617"/>
      <c r="V88" s="617"/>
      <c r="W88" s="617"/>
      <c r="X88" s="617"/>
    </row>
    <row r="89" ht="18.75" customHeight="1">
      <c r="A89" s="617"/>
      <c r="B89" s="617"/>
      <c r="C89" s="617"/>
      <c r="D89" s="617"/>
      <c r="E89" s="617"/>
      <c r="F89" s="617"/>
      <c r="G89" s="617"/>
      <c r="H89" s="617"/>
      <c r="I89" s="617"/>
      <c r="J89" s="617"/>
      <c r="K89" s="617"/>
      <c r="L89" s="617"/>
      <c r="M89" s="617"/>
      <c r="N89" s="617"/>
      <c r="O89" s="617"/>
      <c r="P89" s="617"/>
      <c r="Q89" s="617"/>
      <c r="R89" s="617"/>
      <c r="S89" s="617"/>
      <c r="T89" s="617"/>
      <c r="U89" s="617"/>
      <c r="V89" s="617"/>
      <c r="W89" s="617"/>
      <c r="X89" s="617"/>
    </row>
    <row r="90" ht="18.75" customHeight="1">
      <c r="A90" s="617"/>
      <c r="B90" s="617"/>
      <c r="C90" s="617"/>
      <c r="D90" s="617"/>
      <c r="E90" s="617"/>
      <c r="F90" s="617"/>
      <c r="G90" s="617"/>
      <c r="H90" s="617"/>
      <c r="I90" s="617"/>
      <c r="J90" s="617"/>
      <c r="K90" s="617"/>
      <c r="L90" s="617"/>
      <c r="M90" s="617"/>
      <c r="N90" s="617"/>
      <c r="O90" s="617"/>
      <c r="P90" s="617"/>
      <c r="Q90" s="617"/>
      <c r="R90" s="617"/>
      <c r="S90" s="617"/>
      <c r="T90" s="617"/>
      <c r="U90" s="617"/>
      <c r="V90" s="617"/>
      <c r="W90" s="617"/>
      <c r="X90" s="617"/>
    </row>
    <row r="91" ht="18.75" customHeight="1">
      <c r="A91" s="617"/>
      <c r="B91" s="617"/>
      <c r="C91" s="617"/>
      <c r="D91" s="617"/>
      <c r="E91" s="617"/>
      <c r="F91" s="617"/>
      <c r="G91" s="617"/>
      <c r="H91" s="617"/>
      <c r="I91" s="617"/>
      <c r="J91" s="617"/>
      <c r="K91" s="617"/>
      <c r="L91" s="617"/>
      <c r="M91" s="617"/>
      <c r="N91" s="617"/>
      <c r="O91" s="617"/>
      <c r="P91" s="617"/>
      <c r="Q91" s="617"/>
      <c r="R91" s="617"/>
      <c r="S91" s="617"/>
      <c r="T91" s="617"/>
      <c r="U91" s="617"/>
      <c r="V91" s="617"/>
      <c r="W91" s="617"/>
      <c r="X91" s="617"/>
    </row>
    <row r="92" ht="18.75" customHeight="1">
      <c r="A92" s="617"/>
      <c r="B92" s="617"/>
      <c r="C92" s="617"/>
      <c r="D92" s="617"/>
      <c r="E92" s="617"/>
      <c r="F92" s="617"/>
      <c r="G92" s="617"/>
      <c r="H92" s="617"/>
      <c r="I92" s="617"/>
      <c r="J92" s="617"/>
      <c r="K92" s="617"/>
      <c r="L92" s="617"/>
      <c r="M92" s="617"/>
      <c r="N92" s="617"/>
      <c r="O92" s="617"/>
      <c r="P92" s="617"/>
      <c r="Q92" s="617"/>
      <c r="R92" s="617"/>
      <c r="S92" s="617"/>
      <c r="T92" s="617"/>
      <c r="U92" s="617"/>
      <c r="V92" s="617"/>
      <c r="W92" s="617"/>
      <c r="X92" s="617"/>
    </row>
    <row r="93" ht="18.75" customHeight="1">
      <c r="A93" s="617"/>
      <c r="B93" s="617"/>
      <c r="C93" s="617"/>
      <c r="D93" s="617"/>
      <c r="E93" s="617"/>
      <c r="F93" s="617"/>
      <c r="G93" s="617"/>
      <c r="H93" s="617"/>
      <c r="I93" s="617"/>
      <c r="J93" s="617"/>
      <c r="K93" s="617"/>
      <c r="L93" s="617"/>
      <c r="M93" s="617"/>
      <c r="N93" s="617"/>
      <c r="O93" s="617"/>
      <c r="P93" s="617"/>
      <c r="Q93" s="617"/>
      <c r="R93" s="617"/>
      <c r="S93" s="617"/>
      <c r="T93" s="617"/>
      <c r="U93" s="617"/>
      <c r="V93" s="617"/>
      <c r="W93" s="617"/>
      <c r="X93" s="617"/>
    </row>
    <row r="94" ht="18.75" customHeight="1">
      <c r="A94" s="617"/>
      <c r="B94" s="617"/>
      <c r="C94" s="617"/>
      <c r="D94" s="617"/>
      <c r="E94" s="617"/>
      <c r="F94" s="617"/>
      <c r="G94" s="617"/>
      <c r="H94" s="617"/>
      <c r="I94" s="617"/>
      <c r="J94" s="617"/>
      <c r="K94" s="617"/>
      <c r="L94" s="617"/>
      <c r="M94" s="617"/>
      <c r="N94" s="617"/>
      <c r="O94" s="617"/>
      <c r="P94" s="617"/>
      <c r="Q94" s="617"/>
      <c r="R94" s="617"/>
      <c r="S94" s="617"/>
      <c r="T94" s="617"/>
      <c r="U94" s="617"/>
      <c r="V94" s="617"/>
      <c r="W94" s="617"/>
      <c r="X94" s="617"/>
    </row>
    <row r="95" ht="18.75" customHeight="1">
      <c r="A95" s="617"/>
      <c r="B95" s="617"/>
      <c r="C95" s="617"/>
      <c r="D95" s="617"/>
      <c r="E95" s="617"/>
      <c r="F95" s="617"/>
      <c r="G95" s="617"/>
      <c r="H95" s="617"/>
      <c r="I95" s="617"/>
      <c r="J95" s="617"/>
      <c r="K95" s="617"/>
      <c r="L95" s="617"/>
      <c r="M95" s="617"/>
      <c r="N95" s="617"/>
      <c r="O95" s="617"/>
      <c r="P95" s="617"/>
      <c r="Q95" s="617"/>
      <c r="R95" s="617"/>
      <c r="S95" s="617"/>
      <c r="T95" s="617"/>
      <c r="U95" s="617"/>
      <c r="V95" s="617"/>
      <c r="W95" s="617"/>
      <c r="X95" s="617"/>
    </row>
    <row r="96" ht="18.75" customHeight="1">
      <c r="A96" s="617"/>
      <c r="B96" s="617"/>
      <c r="C96" s="617"/>
      <c r="D96" s="617"/>
      <c r="E96" s="617"/>
      <c r="F96" s="617"/>
      <c r="G96" s="617"/>
      <c r="H96" s="617"/>
      <c r="I96" s="617"/>
      <c r="J96" s="617"/>
      <c r="K96" s="617"/>
      <c r="L96" s="617"/>
      <c r="M96" s="617"/>
      <c r="N96" s="617"/>
      <c r="O96" s="617"/>
      <c r="P96" s="617"/>
      <c r="Q96" s="617"/>
      <c r="R96" s="617"/>
      <c r="S96" s="617"/>
      <c r="T96" s="617"/>
      <c r="U96" s="617"/>
      <c r="V96" s="617"/>
      <c r="W96" s="617"/>
      <c r="X96" s="617"/>
    </row>
    <row r="97" ht="18.75" customHeight="1">
      <c r="A97" s="617"/>
      <c r="B97" s="617"/>
      <c r="C97" s="617"/>
      <c r="D97" s="617"/>
      <c r="E97" s="617"/>
      <c r="F97" s="617"/>
      <c r="G97" s="617"/>
      <c r="H97" s="617"/>
      <c r="I97" s="617"/>
      <c r="J97" s="617"/>
      <c r="K97" s="617"/>
      <c r="L97" s="617"/>
      <c r="M97" s="617"/>
      <c r="N97" s="617"/>
      <c r="O97" s="617"/>
      <c r="P97" s="617"/>
      <c r="Q97" s="617"/>
      <c r="R97" s="617"/>
      <c r="S97" s="617"/>
      <c r="T97" s="617"/>
      <c r="U97" s="617"/>
      <c r="V97" s="617"/>
      <c r="W97" s="617"/>
      <c r="X97" s="617"/>
    </row>
    <row r="98" ht="18.75" customHeight="1">
      <c r="A98" s="617"/>
      <c r="B98" s="617"/>
      <c r="C98" s="617"/>
      <c r="D98" s="617"/>
      <c r="E98" s="617"/>
      <c r="F98" s="617"/>
      <c r="G98" s="617"/>
      <c r="H98" s="617"/>
      <c r="I98" s="617"/>
      <c r="J98" s="617"/>
      <c r="K98" s="617"/>
      <c r="L98" s="617"/>
      <c r="M98" s="617"/>
      <c r="N98" s="617"/>
      <c r="O98" s="617"/>
      <c r="P98" s="617"/>
      <c r="Q98" s="617"/>
      <c r="R98" s="617"/>
      <c r="S98" s="617"/>
      <c r="T98" s="617"/>
      <c r="U98" s="617"/>
      <c r="V98" s="617"/>
      <c r="W98" s="617"/>
      <c r="X98" s="617"/>
    </row>
    <row r="99" ht="18.75" customHeight="1">
      <c r="A99" s="617"/>
      <c r="B99" s="617"/>
      <c r="C99" s="617"/>
      <c r="D99" s="617"/>
      <c r="E99" s="617"/>
      <c r="F99" s="617"/>
      <c r="G99" s="617"/>
      <c r="H99" s="617"/>
      <c r="I99" s="617"/>
      <c r="J99" s="617"/>
      <c r="K99" s="617"/>
      <c r="L99" s="617"/>
      <c r="M99" s="617"/>
      <c r="N99" s="617"/>
      <c r="O99" s="617"/>
      <c r="P99" s="617"/>
      <c r="Q99" s="617"/>
      <c r="R99" s="617"/>
      <c r="S99" s="617"/>
      <c r="T99" s="617"/>
      <c r="U99" s="617"/>
      <c r="V99" s="617"/>
      <c r="W99" s="617"/>
      <c r="X99" s="617"/>
    </row>
    <row r="100" ht="18.75" customHeight="1">
      <c r="A100" s="617"/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17"/>
      <c r="P100" s="617"/>
      <c r="Q100" s="617"/>
      <c r="R100" s="617"/>
      <c r="S100" s="617"/>
      <c r="T100" s="617"/>
      <c r="U100" s="617"/>
      <c r="V100" s="617"/>
      <c r="W100" s="617"/>
      <c r="X100" s="617"/>
    </row>
    <row r="101" ht="18.75" customHeight="1">
      <c r="A101" s="617"/>
      <c r="B101" s="617"/>
      <c r="C101" s="617"/>
      <c r="D101" s="617"/>
      <c r="E101" s="617"/>
      <c r="F101" s="617"/>
      <c r="G101" s="617"/>
      <c r="H101" s="617"/>
      <c r="I101" s="617"/>
      <c r="J101" s="617"/>
      <c r="K101" s="617"/>
      <c r="L101" s="617"/>
      <c r="M101" s="617"/>
      <c r="N101" s="617"/>
      <c r="O101" s="617"/>
      <c r="P101" s="617"/>
      <c r="Q101" s="617"/>
      <c r="R101" s="617"/>
      <c r="S101" s="617"/>
      <c r="T101" s="617"/>
      <c r="U101" s="617"/>
      <c r="V101" s="617"/>
      <c r="W101" s="617"/>
      <c r="X101" s="617"/>
    </row>
    <row r="102" ht="18.75" customHeight="1">
      <c r="A102" s="617"/>
      <c r="B102" s="617"/>
      <c r="C102" s="617"/>
      <c r="D102" s="617"/>
      <c r="E102" s="617"/>
      <c r="F102" s="617"/>
      <c r="G102" s="617"/>
      <c r="H102" s="617"/>
      <c r="I102" s="617"/>
      <c r="J102" s="617"/>
      <c r="K102" s="617"/>
      <c r="L102" s="617"/>
      <c r="M102" s="617"/>
      <c r="N102" s="617"/>
      <c r="O102" s="617"/>
      <c r="P102" s="617"/>
      <c r="Q102" s="617"/>
      <c r="R102" s="617"/>
      <c r="S102" s="617"/>
      <c r="T102" s="617"/>
      <c r="U102" s="617"/>
      <c r="V102" s="617"/>
      <c r="W102" s="617"/>
      <c r="X102" s="617"/>
    </row>
    <row r="103" ht="18.75" customHeight="1">
      <c r="A103" s="617"/>
      <c r="B103" s="617"/>
      <c r="C103" s="617"/>
      <c r="D103" s="617"/>
      <c r="E103" s="617"/>
      <c r="F103" s="617"/>
      <c r="G103" s="617"/>
      <c r="H103" s="617"/>
      <c r="I103" s="617"/>
      <c r="J103" s="617"/>
      <c r="K103" s="617"/>
      <c r="L103" s="617"/>
      <c r="M103" s="617"/>
      <c r="N103" s="617"/>
      <c r="O103" s="617"/>
      <c r="P103" s="617"/>
      <c r="Q103" s="617"/>
      <c r="R103" s="617"/>
      <c r="S103" s="617"/>
      <c r="T103" s="617"/>
      <c r="U103" s="617"/>
      <c r="V103" s="617"/>
      <c r="W103" s="617"/>
      <c r="X103" s="617"/>
    </row>
    <row r="104" ht="18.75" customHeight="1">
      <c r="A104" s="617"/>
      <c r="B104" s="617"/>
      <c r="C104" s="617"/>
      <c r="D104" s="617"/>
      <c r="E104" s="617"/>
      <c r="F104" s="617"/>
      <c r="G104" s="617"/>
      <c r="H104" s="617"/>
      <c r="I104" s="617"/>
      <c r="J104" s="617"/>
      <c r="K104" s="617"/>
      <c r="L104" s="617"/>
      <c r="M104" s="617"/>
      <c r="N104" s="617"/>
      <c r="O104" s="617"/>
      <c r="P104" s="617"/>
      <c r="Q104" s="617"/>
      <c r="R104" s="617"/>
      <c r="S104" s="617"/>
      <c r="T104" s="617"/>
      <c r="U104" s="617"/>
      <c r="V104" s="617"/>
      <c r="W104" s="617"/>
      <c r="X104" s="617"/>
    </row>
    <row r="105" ht="18.75" customHeight="1">
      <c r="A105" s="617"/>
      <c r="B105" s="617"/>
      <c r="C105" s="617"/>
      <c r="D105" s="617"/>
      <c r="E105" s="617"/>
      <c r="F105" s="617"/>
      <c r="G105" s="617"/>
      <c r="H105" s="617"/>
      <c r="I105" s="617"/>
      <c r="J105" s="617"/>
      <c r="K105" s="617"/>
      <c r="L105" s="617"/>
      <c r="M105" s="617"/>
      <c r="N105" s="617"/>
      <c r="O105" s="617"/>
      <c r="P105" s="617"/>
      <c r="Q105" s="617"/>
      <c r="R105" s="617"/>
      <c r="S105" s="617"/>
      <c r="T105" s="617"/>
      <c r="U105" s="617"/>
      <c r="V105" s="617"/>
      <c r="W105" s="617"/>
      <c r="X105" s="617"/>
    </row>
    <row r="106" ht="18.75" customHeight="1">
      <c r="A106" s="617"/>
      <c r="B106" s="617"/>
      <c r="C106" s="617"/>
      <c r="D106" s="617"/>
      <c r="E106" s="617"/>
      <c r="F106" s="617"/>
      <c r="G106" s="617"/>
      <c r="H106" s="617"/>
      <c r="I106" s="617"/>
      <c r="J106" s="617"/>
      <c r="K106" s="617"/>
      <c r="L106" s="617"/>
      <c r="M106" s="617"/>
      <c r="N106" s="617"/>
      <c r="O106" s="617"/>
      <c r="P106" s="617"/>
      <c r="Q106" s="617"/>
      <c r="R106" s="617"/>
      <c r="S106" s="617"/>
      <c r="T106" s="617"/>
      <c r="U106" s="617"/>
      <c r="V106" s="617"/>
      <c r="W106" s="617"/>
      <c r="X106" s="617"/>
    </row>
    <row r="107" ht="18.75" customHeight="1">
      <c r="A107" s="617"/>
      <c r="B107" s="617"/>
      <c r="C107" s="617"/>
      <c r="D107" s="617"/>
      <c r="E107" s="617"/>
      <c r="F107" s="617"/>
      <c r="G107" s="617"/>
      <c r="H107" s="617"/>
      <c r="I107" s="617"/>
      <c r="J107" s="617"/>
      <c r="K107" s="617"/>
      <c r="L107" s="617"/>
      <c r="M107" s="617"/>
      <c r="N107" s="617"/>
      <c r="O107" s="617"/>
      <c r="P107" s="617"/>
      <c r="Q107" s="617"/>
      <c r="R107" s="617"/>
      <c r="S107" s="617"/>
      <c r="T107" s="617"/>
      <c r="U107" s="617"/>
      <c r="V107" s="617"/>
      <c r="W107" s="617"/>
      <c r="X107" s="617"/>
    </row>
    <row r="108" ht="18.75" customHeight="1">
      <c r="A108" s="617"/>
      <c r="B108" s="617"/>
      <c r="C108" s="617"/>
      <c r="D108" s="617"/>
      <c r="E108" s="617"/>
      <c r="F108" s="617"/>
      <c r="G108" s="617"/>
      <c r="H108" s="617"/>
      <c r="I108" s="617"/>
      <c r="J108" s="617"/>
      <c r="K108" s="617"/>
      <c r="L108" s="617"/>
      <c r="M108" s="617"/>
      <c r="N108" s="617"/>
      <c r="O108" s="617"/>
      <c r="P108" s="617"/>
      <c r="Q108" s="617"/>
      <c r="R108" s="617"/>
      <c r="S108" s="617"/>
      <c r="T108" s="617"/>
      <c r="U108" s="617"/>
      <c r="V108" s="617"/>
      <c r="W108" s="617"/>
      <c r="X108" s="617"/>
    </row>
    <row r="109" ht="18.75" customHeight="1">
      <c r="A109" s="617"/>
      <c r="B109" s="617"/>
      <c r="C109" s="617"/>
      <c r="D109" s="617"/>
      <c r="E109" s="617"/>
      <c r="F109" s="617"/>
      <c r="G109" s="617"/>
      <c r="H109" s="617"/>
      <c r="I109" s="617"/>
      <c r="J109" s="617"/>
      <c r="K109" s="617"/>
      <c r="L109" s="617"/>
      <c r="M109" s="617"/>
      <c r="N109" s="617"/>
      <c r="O109" s="617"/>
      <c r="P109" s="617"/>
      <c r="Q109" s="617"/>
      <c r="R109" s="617"/>
      <c r="S109" s="617"/>
      <c r="T109" s="617"/>
      <c r="U109" s="617"/>
      <c r="V109" s="617"/>
      <c r="W109" s="617"/>
      <c r="X109" s="617"/>
    </row>
    <row r="110" ht="18.75" customHeight="1">
      <c r="A110" s="617"/>
      <c r="B110" s="617"/>
      <c r="C110" s="617"/>
      <c r="D110" s="617"/>
      <c r="E110" s="617"/>
      <c r="F110" s="617"/>
      <c r="G110" s="617"/>
      <c r="H110" s="617"/>
      <c r="I110" s="617"/>
      <c r="J110" s="617"/>
      <c r="K110" s="617"/>
      <c r="L110" s="617"/>
      <c r="M110" s="617"/>
      <c r="N110" s="617"/>
      <c r="O110" s="617"/>
      <c r="P110" s="617"/>
      <c r="Q110" s="617"/>
      <c r="R110" s="617"/>
      <c r="S110" s="617"/>
      <c r="T110" s="617"/>
      <c r="U110" s="617"/>
      <c r="V110" s="617"/>
      <c r="W110" s="617"/>
      <c r="X110" s="617"/>
    </row>
    <row r="111" ht="18.75" customHeight="1">
      <c r="A111" s="617"/>
      <c r="B111" s="617"/>
      <c r="C111" s="617"/>
      <c r="D111" s="617"/>
      <c r="E111" s="617"/>
      <c r="F111" s="617"/>
      <c r="G111" s="617"/>
      <c r="H111" s="617"/>
      <c r="I111" s="617"/>
      <c r="J111" s="617"/>
      <c r="K111" s="617"/>
      <c r="L111" s="617"/>
      <c r="M111" s="617"/>
      <c r="N111" s="617"/>
      <c r="O111" s="617"/>
      <c r="P111" s="617"/>
      <c r="Q111" s="617"/>
      <c r="R111" s="617"/>
      <c r="S111" s="617"/>
      <c r="T111" s="617"/>
      <c r="U111" s="617"/>
      <c r="V111" s="617"/>
      <c r="W111" s="617"/>
      <c r="X111" s="617"/>
    </row>
    <row r="112" ht="18.75" customHeight="1">
      <c r="A112" s="617"/>
      <c r="B112" s="617"/>
      <c r="C112" s="617"/>
      <c r="D112" s="617"/>
      <c r="E112" s="617"/>
      <c r="F112" s="617"/>
      <c r="G112" s="617"/>
      <c r="H112" s="617"/>
      <c r="I112" s="617"/>
      <c r="J112" s="617"/>
      <c r="K112" s="617"/>
      <c r="L112" s="617"/>
      <c r="M112" s="617"/>
      <c r="N112" s="617"/>
      <c r="O112" s="617"/>
      <c r="P112" s="617"/>
      <c r="Q112" s="617"/>
      <c r="R112" s="617"/>
      <c r="S112" s="617"/>
      <c r="T112" s="617"/>
      <c r="U112" s="617"/>
      <c r="V112" s="617"/>
      <c r="W112" s="617"/>
      <c r="X112" s="617"/>
    </row>
    <row r="113" ht="18.75" customHeight="1">
      <c r="A113" s="617"/>
      <c r="B113" s="617"/>
      <c r="C113" s="617"/>
      <c r="D113" s="617"/>
      <c r="E113" s="617"/>
      <c r="F113" s="617"/>
      <c r="G113" s="617"/>
      <c r="H113" s="617"/>
      <c r="I113" s="617"/>
      <c r="J113" s="617"/>
      <c r="K113" s="617"/>
      <c r="L113" s="617"/>
      <c r="M113" s="617"/>
      <c r="N113" s="617"/>
      <c r="O113" s="617"/>
      <c r="P113" s="617"/>
      <c r="Q113" s="617"/>
      <c r="R113" s="617"/>
      <c r="S113" s="617"/>
      <c r="T113" s="617"/>
      <c r="U113" s="617"/>
      <c r="V113" s="617"/>
      <c r="W113" s="617"/>
      <c r="X113" s="617"/>
    </row>
    <row r="114" ht="18.75" customHeight="1">
      <c r="A114" s="617"/>
      <c r="B114" s="617"/>
      <c r="C114" s="617"/>
      <c r="D114" s="617"/>
      <c r="E114" s="617"/>
      <c r="F114" s="617"/>
      <c r="G114" s="617"/>
      <c r="H114" s="617"/>
      <c r="I114" s="617"/>
      <c r="J114" s="617"/>
      <c r="K114" s="617"/>
      <c r="L114" s="617"/>
      <c r="M114" s="617"/>
      <c r="N114" s="617"/>
      <c r="O114" s="617"/>
      <c r="P114" s="617"/>
      <c r="Q114" s="617"/>
      <c r="R114" s="617"/>
      <c r="S114" s="617"/>
      <c r="T114" s="617"/>
      <c r="U114" s="617"/>
      <c r="V114" s="617"/>
      <c r="W114" s="617"/>
      <c r="X114" s="617"/>
    </row>
    <row r="115" ht="18.75" customHeight="1">
      <c r="A115" s="617"/>
      <c r="B115" s="617"/>
      <c r="C115" s="617"/>
      <c r="D115" s="617"/>
      <c r="E115" s="617"/>
      <c r="F115" s="617"/>
      <c r="G115" s="617"/>
      <c r="H115" s="617"/>
      <c r="I115" s="617"/>
      <c r="J115" s="617"/>
      <c r="K115" s="617"/>
      <c r="L115" s="617"/>
      <c r="M115" s="617"/>
      <c r="N115" s="617"/>
      <c r="O115" s="617"/>
      <c r="P115" s="617"/>
      <c r="Q115" s="617"/>
      <c r="R115" s="617"/>
      <c r="S115" s="617"/>
      <c r="T115" s="617"/>
      <c r="U115" s="617"/>
      <c r="V115" s="617"/>
      <c r="W115" s="617"/>
      <c r="X115" s="617"/>
    </row>
    <row r="116" ht="18.75" customHeight="1">
      <c r="A116" s="617"/>
      <c r="B116" s="617"/>
      <c r="C116" s="617"/>
      <c r="D116" s="617"/>
      <c r="E116" s="617"/>
      <c r="F116" s="617"/>
      <c r="G116" s="617"/>
      <c r="H116" s="617"/>
      <c r="I116" s="617"/>
      <c r="J116" s="617"/>
      <c r="K116" s="617"/>
      <c r="L116" s="617"/>
      <c r="M116" s="617"/>
      <c r="N116" s="617"/>
      <c r="O116" s="617"/>
      <c r="P116" s="617"/>
      <c r="Q116" s="617"/>
      <c r="R116" s="617"/>
      <c r="S116" s="617"/>
      <c r="T116" s="617"/>
      <c r="U116" s="617"/>
      <c r="V116" s="617"/>
      <c r="W116" s="617"/>
      <c r="X116" s="617"/>
    </row>
    <row r="117" ht="18.75" customHeight="1">
      <c r="A117" s="617"/>
      <c r="B117" s="617"/>
      <c r="C117" s="617"/>
      <c r="D117" s="617"/>
      <c r="E117" s="617"/>
      <c r="F117" s="617"/>
      <c r="G117" s="617"/>
      <c r="H117" s="617"/>
      <c r="I117" s="617"/>
      <c r="J117" s="617"/>
      <c r="K117" s="617"/>
      <c r="L117" s="617"/>
      <c r="M117" s="617"/>
      <c r="N117" s="617"/>
      <c r="O117" s="617"/>
      <c r="P117" s="617"/>
      <c r="Q117" s="617"/>
      <c r="R117" s="617"/>
      <c r="S117" s="617"/>
      <c r="T117" s="617"/>
      <c r="U117" s="617"/>
      <c r="V117" s="617"/>
      <c r="W117" s="617"/>
      <c r="X117" s="617"/>
    </row>
    <row r="118" ht="18.75" customHeight="1">
      <c r="A118" s="617"/>
      <c r="B118" s="617"/>
      <c r="C118" s="617"/>
      <c r="D118" s="617"/>
      <c r="E118" s="617"/>
      <c r="F118" s="617"/>
      <c r="G118" s="617"/>
      <c r="H118" s="617"/>
      <c r="I118" s="617"/>
      <c r="J118" s="617"/>
      <c r="K118" s="617"/>
      <c r="L118" s="617"/>
      <c r="M118" s="617"/>
      <c r="N118" s="617"/>
      <c r="O118" s="617"/>
      <c r="P118" s="617"/>
      <c r="Q118" s="617"/>
      <c r="R118" s="617"/>
      <c r="S118" s="617"/>
      <c r="T118" s="617"/>
      <c r="U118" s="617"/>
      <c r="V118" s="617"/>
      <c r="W118" s="617"/>
      <c r="X118" s="617"/>
    </row>
    <row r="119" ht="18.75" customHeight="1">
      <c r="A119" s="617"/>
      <c r="B119" s="617"/>
      <c r="C119" s="617"/>
      <c r="D119" s="617"/>
      <c r="E119" s="617"/>
      <c r="F119" s="617"/>
      <c r="G119" s="617"/>
      <c r="H119" s="617"/>
      <c r="I119" s="617"/>
      <c r="J119" s="617"/>
      <c r="K119" s="617"/>
      <c r="L119" s="617"/>
      <c r="M119" s="617"/>
      <c r="N119" s="617"/>
      <c r="O119" s="617"/>
      <c r="P119" s="617"/>
      <c r="Q119" s="617"/>
      <c r="R119" s="617"/>
      <c r="S119" s="617"/>
      <c r="T119" s="617"/>
      <c r="U119" s="617"/>
      <c r="V119" s="617"/>
      <c r="W119" s="617"/>
      <c r="X119" s="617"/>
    </row>
    <row r="120" ht="18.75" customHeight="1">
      <c r="A120" s="617"/>
      <c r="B120" s="617"/>
      <c r="C120" s="617"/>
      <c r="D120" s="617"/>
      <c r="E120" s="617"/>
      <c r="F120" s="617"/>
      <c r="G120" s="617"/>
      <c r="H120" s="617"/>
      <c r="I120" s="617"/>
      <c r="J120" s="617"/>
      <c r="K120" s="617"/>
      <c r="L120" s="617"/>
      <c r="M120" s="617"/>
      <c r="N120" s="617"/>
      <c r="O120" s="617"/>
      <c r="P120" s="617"/>
      <c r="Q120" s="617"/>
      <c r="R120" s="617"/>
      <c r="S120" s="617"/>
      <c r="T120" s="617"/>
      <c r="U120" s="617"/>
      <c r="V120" s="617"/>
      <c r="W120" s="617"/>
      <c r="X120" s="617"/>
    </row>
    <row r="121" ht="18.75" customHeight="1">
      <c r="A121" s="617"/>
      <c r="B121" s="617"/>
      <c r="C121" s="617"/>
      <c r="D121" s="617"/>
      <c r="E121" s="617"/>
      <c r="F121" s="617"/>
      <c r="G121" s="617"/>
      <c r="H121" s="617"/>
      <c r="I121" s="617"/>
      <c r="J121" s="617"/>
      <c r="K121" s="617"/>
      <c r="L121" s="617"/>
      <c r="M121" s="617"/>
      <c r="N121" s="617"/>
      <c r="O121" s="617"/>
      <c r="P121" s="617"/>
      <c r="Q121" s="617"/>
      <c r="R121" s="617"/>
      <c r="S121" s="617"/>
      <c r="T121" s="617"/>
      <c r="U121" s="617"/>
      <c r="V121" s="617"/>
      <c r="W121" s="617"/>
      <c r="X121" s="617"/>
    </row>
    <row r="122" ht="18.75" customHeight="1">
      <c r="A122" s="617"/>
      <c r="B122" s="617"/>
      <c r="C122" s="617"/>
      <c r="D122" s="617"/>
      <c r="E122" s="617"/>
      <c r="F122" s="617"/>
      <c r="G122" s="617"/>
      <c r="H122" s="617"/>
      <c r="I122" s="617"/>
      <c r="J122" s="617"/>
      <c r="K122" s="617"/>
      <c r="L122" s="617"/>
      <c r="M122" s="617"/>
      <c r="N122" s="617"/>
      <c r="O122" s="617"/>
      <c r="P122" s="617"/>
      <c r="Q122" s="617"/>
      <c r="R122" s="617"/>
      <c r="S122" s="617"/>
      <c r="T122" s="617"/>
      <c r="U122" s="617"/>
      <c r="V122" s="617"/>
      <c r="W122" s="617"/>
      <c r="X122" s="617"/>
    </row>
    <row r="123" ht="18.75" customHeight="1">
      <c r="A123" s="617"/>
      <c r="B123" s="617"/>
      <c r="C123" s="617"/>
      <c r="D123" s="617"/>
      <c r="E123" s="617"/>
      <c r="F123" s="617"/>
      <c r="G123" s="617"/>
      <c r="H123" s="617"/>
      <c r="I123" s="617"/>
      <c r="J123" s="617"/>
      <c r="K123" s="617"/>
      <c r="L123" s="617"/>
      <c r="M123" s="617"/>
      <c r="N123" s="617"/>
      <c r="O123" s="617"/>
      <c r="P123" s="617"/>
      <c r="Q123" s="617"/>
      <c r="R123" s="617"/>
      <c r="S123" s="617"/>
      <c r="T123" s="617"/>
      <c r="U123" s="617"/>
      <c r="V123" s="617"/>
      <c r="W123" s="617"/>
      <c r="X123" s="617"/>
    </row>
    <row r="124" ht="18.75" customHeight="1">
      <c r="A124" s="617"/>
      <c r="B124" s="617"/>
      <c r="C124" s="617"/>
      <c r="D124" s="617"/>
      <c r="E124" s="617"/>
      <c r="F124" s="617"/>
      <c r="G124" s="617"/>
      <c r="H124" s="617"/>
      <c r="I124" s="617"/>
      <c r="J124" s="617"/>
      <c r="K124" s="617"/>
      <c r="L124" s="617"/>
      <c r="M124" s="617"/>
      <c r="N124" s="617"/>
      <c r="O124" s="617"/>
      <c r="P124" s="617"/>
      <c r="Q124" s="617"/>
      <c r="R124" s="617"/>
      <c r="S124" s="617"/>
      <c r="T124" s="617"/>
      <c r="U124" s="617"/>
      <c r="V124" s="617"/>
      <c r="W124" s="617"/>
      <c r="X124" s="617"/>
    </row>
    <row r="125" ht="18.75" customHeight="1">
      <c r="A125" s="617"/>
      <c r="B125" s="617"/>
      <c r="C125" s="617"/>
      <c r="D125" s="617"/>
      <c r="E125" s="617"/>
      <c r="F125" s="617"/>
      <c r="G125" s="617"/>
      <c r="H125" s="617"/>
      <c r="I125" s="617"/>
      <c r="J125" s="617"/>
      <c r="K125" s="617"/>
      <c r="L125" s="617"/>
      <c r="M125" s="617"/>
      <c r="N125" s="617"/>
      <c r="O125" s="617"/>
      <c r="P125" s="617"/>
      <c r="Q125" s="617"/>
      <c r="R125" s="617"/>
      <c r="S125" s="617"/>
      <c r="T125" s="617"/>
      <c r="U125" s="617"/>
      <c r="V125" s="617"/>
      <c r="W125" s="617"/>
      <c r="X125" s="617"/>
    </row>
    <row r="126" ht="18.75" customHeight="1">
      <c r="A126" s="617"/>
      <c r="B126" s="617"/>
      <c r="C126" s="617"/>
      <c r="D126" s="617"/>
      <c r="E126" s="617"/>
      <c r="F126" s="617"/>
      <c r="G126" s="617"/>
      <c r="H126" s="617"/>
      <c r="I126" s="617"/>
      <c r="J126" s="617"/>
      <c r="K126" s="617"/>
      <c r="L126" s="617"/>
      <c r="M126" s="617"/>
      <c r="N126" s="617"/>
      <c r="O126" s="617"/>
      <c r="P126" s="617"/>
      <c r="Q126" s="617"/>
      <c r="R126" s="617"/>
      <c r="S126" s="617"/>
      <c r="T126" s="617"/>
      <c r="U126" s="617"/>
      <c r="V126" s="617"/>
      <c r="W126" s="617"/>
      <c r="X126" s="617"/>
    </row>
    <row r="127" ht="18.75" customHeight="1">
      <c r="A127" s="617"/>
      <c r="B127" s="617"/>
      <c r="C127" s="617"/>
      <c r="D127" s="617"/>
      <c r="E127" s="617"/>
      <c r="F127" s="617"/>
      <c r="G127" s="617"/>
      <c r="H127" s="617"/>
      <c r="I127" s="617"/>
      <c r="J127" s="617"/>
      <c r="K127" s="617"/>
      <c r="L127" s="617"/>
      <c r="M127" s="617"/>
      <c r="N127" s="617"/>
      <c r="O127" s="617"/>
      <c r="P127" s="617"/>
      <c r="Q127" s="617"/>
      <c r="R127" s="617"/>
      <c r="S127" s="617"/>
      <c r="T127" s="617"/>
      <c r="U127" s="617"/>
      <c r="V127" s="617"/>
      <c r="W127" s="617"/>
      <c r="X127" s="617"/>
    </row>
    <row r="128" ht="18.75" customHeight="1">
      <c r="A128" s="617"/>
      <c r="B128" s="617"/>
      <c r="C128" s="617"/>
      <c r="D128" s="617"/>
      <c r="E128" s="617"/>
      <c r="F128" s="617"/>
      <c r="G128" s="617"/>
      <c r="H128" s="617"/>
      <c r="I128" s="617"/>
      <c r="J128" s="617"/>
      <c r="K128" s="617"/>
      <c r="L128" s="617"/>
      <c r="M128" s="617"/>
      <c r="N128" s="617"/>
      <c r="O128" s="617"/>
      <c r="P128" s="617"/>
      <c r="Q128" s="617"/>
      <c r="R128" s="617"/>
      <c r="S128" s="617"/>
      <c r="T128" s="617"/>
      <c r="U128" s="617"/>
      <c r="V128" s="617"/>
      <c r="W128" s="617"/>
      <c r="X128" s="617"/>
    </row>
    <row r="129" ht="18.75" customHeight="1">
      <c r="A129" s="617"/>
      <c r="B129" s="617"/>
      <c r="C129" s="617"/>
      <c r="D129" s="617"/>
      <c r="E129" s="617"/>
      <c r="F129" s="617"/>
      <c r="G129" s="617"/>
      <c r="H129" s="617"/>
      <c r="I129" s="617"/>
      <c r="J129" s="617"/>
      <c r="K129" s="617"/>
      <c r="L129" s="617"/>
      <c r="M129" s="617"/>
      <c r="N129" s="617"/>
      <c r="O129" s="617"/>
      <c r="P129" s="617"/>
      <c r="Q129" s="617"/>
      <c r="R129" s="617"/>
      <c r="S129" s="617"/>
      <c r="T129" s="617"/>
      <c r="U129" s="617"/>
      <c r="V129" s="617"/>
      <c r="W129" s="617"/>
      <c r="X129" s="617"/>
    </row>
    <row r="130" ht="18.75" customHeight="1">
      <c r="A130" s="617"/>
      <c r="B130" s="617"/>
      <c r="C130" s="617"/>
      <c r="D130" s="617"/>
      <c r="E130" s="617"/>
      <c r="F130" s="617"/>
      <c r="G130" s="617"/>
      <c r="H130" s="617"/>
      <c r="I130" s="617"/>
      <c r="J130" s="617"/>
      <c r="K130" s="617"/>
      <c r="L130" s="617"/>
      <c r="M130" s="617"/>
      <c r="N130" s="617"/>
      <c r="O130" s="617"/>
      <c r="P130" s="617"/>
      <c r="Q130" s="617"/>
      <c r="R130" s="617"/>
      <c r="S130" s="617"/>
      <c r="T130" s="617"/>
      <c r="U130" s="617"/>
      <c r="V130" s="617"/>
      <c r="W130" s="617"/>
      <c r="X130" s="617"/>
    </row>
    <row r="131" ht="18.75" customHeight="1">
      <c r="A131" s="617"/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17"/>
      <c r="P131" s="617"/>
      <c r="Q131" s="617"/>
      <c r="R131" s="617"/>
      <c r="S131" s="617"/>
      <c r="T131" s="617"/>
      <c r="U131" s="617"/>
      <c r="V131" s="617"/>
      <c r="W131" s="617"/>
      <c r="X131" s="617"/>
    </row>
    <row r="132" ht="18.75" customHeight="1">
      <c r="A132" s="617"/>
      <c r="B132" s="617"/>
      <c r="C132" s="617"/>
      <c r="D132" s="617"/>
      <c r="E132" s="617"/>
      <c r="F132" s="617"/>
      <c r="G132" s="617"/>
      <c r="H132" s="617"/>
      <c r="I132" s="617"/>
      <c r="J132" s="617"/>
      <c r="K132" s="617"/>
      <c r="L132" s="617"/>
      <c r="M132" s="617"/>
      <c r="N132" s="617"/>
      <c r="O132" s="617"/>
      <c r="P132" s="617"/>
      <c r="Q132" s="617"/>
      <c r="R132" s="617"/>
      <c r="S132" s="617"/>
      <c r="T132" s="617"/>
      <c r="U132" s="617"/>
      <c r="V132" s="617"/>
      <c r="W132" s="617"/>
      <c r="X132" s="617"/>
    </row>
    <row r="133" ht="18.75" customHeight="1">
      <c r="A133" s="617"/>
      <c r="B133" s="617"/>
      <c r="C133" s="617"/>
      <c r="D133" s="617"/>
      <c r="E133" s="617"/>
      <c r="F133" s="617"/>
      <c r="G133" s="617"/>
      <c r="H133" s="617"/>
      <c r="I133" s="617"/>
      <c r="J133" s="617"/>
      <c r="K133" s="617"/>
      <c r="L133" s="617"/>
      <c r="M133" s="617"/>
      <c r="N133" s="617"/>
      <c r="O133" s="617"/>
      <c r="P133" s="617"/>
      <c r="Q133" s="617"/>
      <c r="R133" s="617"/>
      <c r="S133" s="617"/>
      <c r="T133" s="617"/>
      <c r="U133" s="617"/>
      <c r="V133" s="617"/>
      <c r="W133" s="617"/>
      <c r="X133" s="617"/>
    </row>
    <row r="134" ht="18.75" customHeight="1">
      <c r="A134" s="617"/>
      <c r="B134" s="617"/>
      <c r="C134" s="617"/>
      <c r="D134" s="617"/>
      <c r="E134" s="617"/>
      <c r="F134" s="617"/>
      <c r="G134" s="617"/>
      <c r="H134" s="617"/>
      <c r="I134" s="617"/>
      <c r="J134" s="617"/>
      <c r="K134" s="617"/>
      <c r="L134" s="617"/>
      <c r="M134" s="617"/>
      <c r="N134" s="617"/>
      <c r="O134" s="617"/>
      <c r="P134" s="617"/>
      <c r="Q134" s="617"/>
      <c r="R134" s="617"/>
      <c r="S134" s="617"/>
      <c r="T134" s="617"/>
      <c r="U134" s="617"/>
      <c r="V134" s="617"/>
      <c r="W134" s="617"/>
      <c r="X134" s="617"/>
    </row>
    <row r="135" ht="18.75" customHeight="1">
      <c r="A135" s="617"/>
      <c r="B135" s="617"/>
      <c r="C135" s="617"/>
      <c r="D135" s="617"/>
      <c r="E135" s="617"/>
      <c r="F135" s="617"/>
      <c r="G135" s="617"/>
      <c r="H135" s="617"/>
      <c r="I135" s="617"/>
      <c r="J135" s="617"/>
      <c r="K135" s="617"/>
      <c r="L135" s="617"/>
      <c r="M135" s="617"/>
      <c r="N135" s="617"/>
      <c r="O135" s="617"/>
      <c r="P135" s="617"/>
      <c r="Q135" s="617"/>
      <c r="R135" s="617"/>
      <c r="S135" s="617"/>
      <c r="T135" s="617"/>
      <c r="U135" s="617"/>
      <c r="V135" s="617"/>
      <c r="W135" s="617"/>
      <c r="X135" s="617"/>
    </row>
    <row r="136" ht="18.75" customHeight="1">
      <c r="A136" s="617"/>
      <c r="B136" s="617"/>
      <c r="C136" s="617"/>
      <c r="D136" s="617"/>
      <c r="E136" s="617"/>
      <c r="F136" s="617"/>
      <c r="G136" s="617"/>
      <c r="H136" s="617"/>
      <c r="I136" s="617"/>
      <c r="J136" s="617"/>
      <c r="K136" s="617"/>
      <c r="L136" s="617"/>
      <c r="M136" s="617"/>
      <c r="N136" s="617"/>
      <c r="O136" s="617"/>
      <c r="P136" s="617"/>
      <c r="Q136" s="617"/>
      <c r="R136" s="617"/>
      <c r="S136" s="617"/>
      <c r="T136" s="617"/>
      <c r="U136" s="617"/>
      <c r="V136" s="617"/>
      <c r="W136" s="617"/>
      <c r="X136" s="617"/>
    </row>
    <row r="137" ht="18.75" customHeight="1">
      <c r="A137" s="617"/>
      <c r="B137" s="617"/>
      <c r="C137" s="617"/>
      <c r="D137" s="617"/>
      <c r="E137" s="617"/>
      <c r="F137" s="617"/>
      <c r="G137" s="617"/>
      <c r="H137" s="617"/>
      <c r="I137" s="617"/>
      <c r="J137" s="617"/>
      <c r="K137" s="617"/>
      <c r="L137" s="617"/>
      <c r="M137" s="617"/>
      <c r="N137" s="617"/>
      <c r="O137" s="617"/>
      <c r="P137" s="617"/>
      <c r="Q137" s="617"/>
      <c r="R137" s="617"/>
      <c r="S137" s="617"/>
      <c r="T137" s="617"/>
      <c r="U137" s="617"/>
      <c r="V137" s="617"/>
      <c r="W137" s="617"/>
      <c r="X137" s="617"/>
    </row>
    <row r="138" ht="18.75" customHeight="1">
      <c r="A138" s="617"/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</row>
    <row r="139" ht="18.75" customHeight="1">
      <c r="A139" s="617"/>
      <c r="B139" s="617"/>
      <c r="C139" s="617"/>
      <c r="D139" s="617"/>
      <c r="E139" s="617"/>
      <c r="F139" s="617"/>
      <c r="G139" s="617"/>
      <c r="H139" s="617"/>
      <c r="I139" s="617"/>
      <c r="J139" s="617"/>
      <c r="K139" s="617"/>
      <c r="L139" s="617"/>
      <c r="M139" s="617"/>
      <c r="N139" s="617"/>
      <c r="O139" s="617"/>
      <c r="P139" s="617"/>
      <c r="Q139" s="617"/>
      <c r="R139" s="617"/>
      <c r="S139" s="617"/>
      <c r="T139" s="617"/>
      <c r="U139" s="617"/>
      <c r="V139" s="617"/>
      <c r="W139" s="617"/>
      <c r="X139" s="617"/>
    </row>
    <row r="140" ht="18.75" customHeight="1">
      <c r="A140" s="617"/>
      <c r="B140" s="617"/>
      <c r="C140" s="617"/>
      <c r="D140" s="617"/>
      <c r="E140" s="617"/>
      <c r="F140" s="617"/>
      <c r="G140" s="617"/>
      <c r="H140" s="617"/>
      <c r="I140" s="617"/>
      <c r="J140" s="617"/>
      <c r="K140" s="617"/>
      <c r="L140" s="617"/>
      <c r="M140" s="617"/>
      <c r="N140" s="617"/>
      <c r="O140" s="617"/>
      <c r="P140" s="617"/>
      <c r="Q140" s="617"/>
      <c r="R140" s="617"/>
      <c r="S140" s="617"/>
      <c r="T140" s="617"/>
      <c r="U140" s="617"/>
      <c r="V140" s="617"/>
      <c r="W140" s="617"/>
      <c r="X140" s="617"/>
    </row>
    <row r="141" ht="18.75" customHeight="1">
      <c r="A141" s="617"/>
      <c r="B141" s="617"/>
      <c r="C141" s="617"/>
      <c r="D141" s="617"/>
      <c r="E141" s="617"/>
      <c r="F141" s="617"/>
      <c r="G141" s="617"/>
      <c r="H141" s="617"/>
      <c r="I141" s="617"/>
      <c r="J141" s="617"/>
      <c r="K141" s="617"/>
      <c r="L141" s="617"/>
      <c r="M141" s="617"/>
      <c r="N141" s="617"/>
      <c r="O141" s="617"/>
      <c r="P141" s="617"/>
      <c r="Q141" s="617"/>
      <c r="R141" s="617"/>
      <c r="S141" s="617"/>
      <c r="T141" s="617"/>
      <c r="U141" s="617"/>
      <c r="V141" s="617"/>
      <c r="W141" s="617"/>
      <c r="X141" s="617"/>
    </row>
    <row r="142" ht="18.75" customHeight="1">
      <c r="A142" s="617"/>
      <c r="B142" s="617"/>
      <c r="C142" s="617"/>
      <c r="D142" s="617"/>
      <c r="E142" s="617"/>
      <c r="F142" s="617"/>
      <c r="G142" s="617"/>
      <c r="H142" s="617"/>
      <c r="I142" s="617"/>
      <c r="J142" s="617"/>
      <c r="K142" s="617"/>
      <c r="L142" s="617"/>
      <c r="M142" s="617"/>
      <c r="N142" s="617"/>
      <c r="O142" s="617"/>
      <c r="P142" s="617"/>
      <c r="Q142" s="617"/>
      <c r="R142" s="617"/>
      <c r="S142" s="617"/>
      <c r="T142" s="617"/>
      <c r="U142" s="617"/>
      <c r="V142" s="617"/>
      <c r="W142" s="617"/>
      <c r="X142" s="617"/>
    </row>
    <row r="143" ht="18.75" customHeight="1">
      <c r="A143" s="617"/>
      <c r="B143" s="617"/>
      <c r="C143" s="617"/>
      <c r="D143" s="617"/>
      <c r="E143" s="617"/>
      <c r="F143" s="617"/>
      <c r="G143" s="617"/>
      <c r="H143" s="617"/>
      <c r="I143" s="617"/>
      <c r="J143" s="617"/>
      <c r="K143" s="617"/>
      <c r="L143" s="617"/>
      <c r="M143" s="617"/>
      <c r="N143" s="617"/>
      <c r="O143" s="617"/>
      <c r="P143" s="617"/>
      <c r="Q143" s="617"/>
      <c r="R143" s="617"/>
      <c r="S143" s="617"/>
      <c r="T143" s="617"/>
      <c r="U143" s="617"/>
      <c r="V143" s="617"/>
      <c r="W143" s="617"/>
      <c r="X143" s="617"/>
    </row>
    <row r="144" ht="18.75" customHeight="1">
      <c r="A144" s="617"/>
      <c r="B144" s="617"/>
      <c r="C144" s="617"/>
      <c r="D144" s="617"/>
      <c r="E144" s="617"/>
      <c r="F144" s="617"/>
      <c r="G144" s="617"/>
      <c r="H144" s="617"/>
      <c r="I144" s="617"/>
      <c r="J144" s="617"/>
      <c r="K144" s="617"/>
      <c r="L144" s="617"/>
      <c r="M144" s="617"/>
      <c r="N144" s="617"/>
      <c r="O144" s="617"/>
      <c r="P144" s="617"/>
      <c r="Q144" s="617"/>
      <c r="R144" s="617"/>
      <c r="S144" s="617"/>
      <c r="T144" s="617"/>
      <c r="U144" s="617"/>
      <c r="V144" s="617"/>
      <c r="W144" s="617"/>
      <c r="X144" s="617"/>
    </row>
    <row r="145" ht="18.75" customHeight="1">
      <c r="A145" s="617"/>
      <c r="B145" s="617"/>
      <c r="C145" s="617"/>
      <c r="D145" s="617"/>
      <c r="E145" s="617"/>
      <c r="F145" s="617"/>
      <c r="G145" s="617"/>
      <c r="H145" s="617"/>
      <c r="I145" s="617"/>
      <c r="J145" s="617"/>
      <c r="K145" s="617"/>
      <c r="L145" s="617"/>
      <c r="M145" s="617"/>
      <c r="N145" s="617"/>
      <c r="O145" s="617"/>
      <c r="P145" s="617"/>
      <c r="Q145" s="617"/>
      <c r="R145" s="617"/>
      <c r="S145" s="617"/>
      <c r="T145" s="617"/>
      <c r="U145" s="617"/>
      <c r="V145" s="617"/>
      <c r="W145" s="617"/>
      <c r="X145" s="617"/>
    </row>
    <row r="146" ht="18.75" customHeight="1">
      <c r="A146" s="617"/>
      <c r="B146" s="617"/>
      <c r="C146" s="617"/>
      <c r="D146" s="617"/>
      <c r="E146" s="617"/>
      <c r="F146" s="617"/>
      <c r="G146" s="617"/>
      <c r="H146" s="617"/>
      <c r="I146" s="617"/>
      <c r="J146" s="617"/>
      <c r="K146" s="617"/>
      <c r="L146" s="617"/>
      <c r="M146" s="617"/>
      <c r="N146" s="617"/>
      <c r="O146" s="617"/>
      <c r="P146" s="617"/>
      <c r="Q146" s="617"/>
      <c r="R146" s="617"/>
      <c r="S146" s="617"/>
      <c r="T146" s="617"/>
      <c r="U146" s="617"/>
      <c r="V146" s="617"/>
      <c r="W146" s="617"/>
      <c r="X146" s="617"/>
    </row>
    <row r="147" ht="18.75" customHeight="1">
      <c r="A147" s="617"/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17"/>
      <c r="P147" s="617"/>
      <c r="Q147" s="617"/>
      <c r="R147" s="617"/>
      <c r="S147" s="617"/>
      <c r="T147" s="617"/>
      <c r="U147" s="617"/>
      <c r="V147" s="617"/>
      <c r="W147" s="617"/>
      <c r="X147" s="617"/>
    </row>
    <row r="148" ht="18.75" customHeight="1">
      <c r="A148" s="617"/>
      <c r="B148" s="617"/>
      <c r="C148" s="617"/>
      <c r="D148" s="617"/>
      <c r="E148" s="617"/>
      <c r="F148" s="617"/>
      <c r="G148" s="617"/>
      <c r="H148" s="617"/>
      <c r="I148" s="617"/>
      <c r="J148" s="617"/>
      <c r="K148" s="617"/>
      <c r="L148" s="617"/>
      <c r="M148" s="617"/>
      <c r="N148" s="617"/>
      <c r="O148" s="617"/>
      <c r="P148" s="617"/>
      <c r="Q148" s="617"/>
      <c r="R148" s="617"/>
      <c r="S148" s="617"/>
      <c r="T148" s="617"/>
      <c r="U148" s="617"/>
      <c r="V148" s="617"/>
      <c r="W148" s="617"/>
      <c r="X148" s="617"/>
    </row>
    <row r="149" ht="18.75" customHeight="1">
      <c r="A149" s="617"/>
      <c r="B149" s="617"/>
      <c r="C149" s="617"/>
      <c r="D149" s="617"/>
      <c r="E149" s="617"/>
      <c r="F149" s="617"/>
      <c r="G149" s="617"/>
      <c r="H149" s="617"/>
      <c r="I149" s="617"/>
      <c r="J149" s="617"/>
      <c r="K149" s="617"/>
      <c r="L149" s="617"/>
      <c r="M149" s="617"/>
      <c r="N149" s="617"/>
      <c r="O149" s="617"/>
      <c r="P149" s="617"/>
      <c r="Q149" s="617"/>
      <c r="R149" s="617"/>
      <c r="S149" s="617"/>
      <c r="T149" s="617"/>
      <c r="U149" s="617"/>
      <c r="V149" s="617"/>
      <c r="W149" s="617"/>
      <c r="X149" s="617"/>
    </row>
    <row r="150" ht="18.75" customHeight="1">
      <c r="A150" s="617"/>
      <c r="B150" s="617"/>
      <c r="C150" s="617"/>
      <c r="D150" s="617"/>
      <c r="E150" s="617"/>
      <c r="F150" s="617"/>
      <c r="G150" s="617"/>
      <c r="H150" s="617"/>
      <c r="I150" s="617"/>
      <c r="J150" s="617"/>
      <c r="K150" s="617"/>
      <c r="L150" s="617"/>
      <c r="M150" s="617"/>
      <c r="N150" s="617"/>
      <c r="O150" s="617"/>
      <c r="P150" s="617"/>
      <c r="Q150" s="617"/>
      <c r="R150" s="617"/>
      <c r="S150" s="617"/>
      <c r="T150" s="617"/>
      <c r="U150" s="617"/>
      <c r="V150" s="617"/>
      <c r="W150" s="617"/>
      <c r="X150" s="617"/>
    </row>
    <row r="151" ht="18.75" customHeight="1">
      <c r="A151" s="617"/>
      <c r="B151" s="617"/>
      <c r="C151" s="617"/>
      <c r="D151" s="617"/>
      <c r="E151" s="617"/>
      <c r="F151" s="617"/>
      <c r="G151" s="617"/>
      <c r="H151" s="617"/>
      <c r="I151" s="617"/>
      <c r="J151" s="617"/>
      <c r="K151" s="617"/>
      <c r="L151" s="617"/>
      <c r="M151" s="617"/>
      <c r="N151" s="617"/>
      <c r="O151" s="617"/>
      <c r="P151" s="617"/>
      <c r="Q151" s="617"/>
      <c r="R151" s="617"/>
      <c r="S151" s="617"/>
      <c r="T151" s="617"/>
      <c r="U151" s="617"/>
      <c r="V151" s="617"/>
      <c r="W151" s="617"/>
      <c r="X151" s="617"/>
    </row>
    <row r="152" ht="18.75" customHeight="1">
      <c r="A152" s="617"/>
      <c r="B152" s="617"/>
      <c r="C152" s="617"/>
      <c r="D152" s="617"/>
      <c r="E152" s="617"/>
      <c r="F152" s="617"/>
      <c r="G152" s="617"/>
      <c r="H152" s="617"/>
      <c r="I152" s="617"/>
      <c r="J152" s="617"/>
      <c r="K152" s="617"/>
      <c r="L152" s="617"/>
      <c r="M152" s="617"/>
      <c r="N152" s="617"/>
      <c r="O152" s="617"/>
      <c r="P152" s="617"/>
      <c r="Q152" s="617"/>
      <c r="R152" s="617"/>
      <c r="S152" s="617"/>
      <c r="T152" s="617"/>
      <c r="U152" s="617"/>
      <c r="V152" s="617"/>
      <c r="W152" s="617"/>
      <c r="X152" s="617"/>
    </row>
    <row r="153" ht="18.75" customHeight="1">
      <c r="A153" s="617"/>
      <c r="B153" s="617"/>
      <c r="C153" s="617"/>
      <c r="D153" s="617"/>
      <c r="E153" s="617"/>
      <c r="F153" s="617"/>
      <c r="G153" s="617"/>
      <c r="H153" s="617"/>
      <c r="I153" s="617"/>
      <c r="J153" s="617"/>
      <c r="K153" s="617"/>
      <c r="L153" s="617"/>
      <c r="M153" s="617"/>
      <c r="N153" s="617"/>
      <c r="O153" s="617"/>
      <c r="P153" s="617"/>
      <c r="Q153" s="617"/>
      <c r="R153" s="617"/>
      <c r="S153" s="617"/>
      <c r="T153" s="617"/>
      <c r="U153" s="617"/>
      <c r="V153" s="617"/>
      <c r="W153" s="617"/>
      <c r="X153" s="617"/>
    </row>
    <row r="154" ht="18.75" customHeight="1">
      <c r="A154" s="617"/>
      <c r="B154" s="617"/>
      <c r="C154" s="617"/>
      <c r="D154" s="617"/>
      <c r="E154" s="617"/>
      <c r="F154" s="617"/>
      <c r="G154" s="617"/>
      <c r="H154" s="617"/>
      <c r="I154" s="617"/>
      <c r="J154" s="617"/>
      <c r="K154" s="617"/>
      <c r="L154" s="617"/>
      <c r="M154" s="617"/>
      <c r="N154" s="617"/>
      <c r="O154" s="617"/>
      <c r="P154" s="617"/>
      <c r="Q154" s="617"/>
      <c r="R154" s="617"/>
      <c r="S154" s="617"/>
      <c r="T154" s="617"/>
      <c r="U154" s="617"/>
      <c r="V154" s="617"/>
      <c r="W154" s="617"/>
      <c r="X154" s="617"/>
    </row>
    <row r="155" ht="18.75" customHeight="1">
      <c r="A155" s="617"/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17"/>
      <c r="P155" s="617"/>
      <c r="Q155" s="617"/>
      <c r="R155" s="617"/>
      <c r="S155" s="617"/>
      <c r="T155" s="617"/>
      <c r="U155" s="617"/>
      <c r="V155" s="617"/>
      <c r="W155" s="617"/>
      <c r="X155" s="617"/>
    </row>
    <row r="156" ht="18.75" customHeight="1">
      <c r="A156" s="617"/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</row>
    <row r="157" ht="18.75" customHeight="1">
      <c r="A157" s="617"/>
      <c r="B157" s="617"/>
      <c r="C157" s="617"/>
      <c r="D157" s="617"/>
      <c r="E157" s="617"/>
      <c r="F157" s="617"/>
      <c r="G157" s="617"/>
      <c r="H157" s="617"/>
      <c r="I157" s="617"/>
      <c r="J157" s="617"/>
      <c r="K157" s="617"/>
      <c r="L157" s="617"/>
      <c r="M157" s="617"/>
      <c r="N157" s="617"/>
      <c r="O157" s="617"/>
      <c r="P157" s="617"/>
      <c r="Q157" s="617"/>
      <c r="R157" s="617"/>
      <c r="S157" s="617"/>
      <c r="T157" s="617"/>
      <c r="U157" s="617"/>
      <c r="V157" s="617"/>
      <c r="W157" s="617"/>
      <c r="X157" s="617"/>
    </row>
    <row r="158" ht="18.75" customHeight="1">
      <c r="A158" s="617"/>
      <c r="B158" s="617"/>
      <c r="C158" s="617"/>
      <c r="D158" s="617"/>
      <c r="E158" s="617"/>
      <c r="F158" s="617"/>
      <c r="G158" s="617"/>
      <c r="H158" s="617"/>
      <c r="I158" s="617"/>
      <c r="J158" s="617"/>
      <c r="K158" s="617"/>
      <c r="L158" s="617"/>
      <c r="M158" s="617"/>
      <c r="N158" s="617"/>
      <c r="O158" s="617"/>
      <c r="P158" s="617"/>
      <c r="Q158" s="617"/>
      <c r="R158" s="617"/>
      <c r="S158" s="617"/>
      <c r="T158" s="617"/>
      <c r="U158" s="617"/>
      <c r="V158" s="617"/>
      <c r="W158" s="617"/>
      <c r="X158" s="617"/>
    </row>
    <row r="159" ht="18.75" customHeight="1">
      <c r="A159" s="617"/>
      <c r="B159" s="617"/>
      <c r="C159" s="617"/>
      <c r="D159" s="617"/>
      <c r="E159" s="617"/>
      <c r="F159" s="617"/>
      <c r="G159" s="617"/>
      <c r="H159" s="617"/>
      <c r="I159" s="617"/>
      <c r="J159" s="617"/>
      <c r="K159" s="617"/>
      <c r="L159" s="617"/>
      <c r="M159" s="617"/>
      <c r="N159" s="617"/>
      <c r="O159" s="617"/>
      <c r="P159" s="617"/>
      <c r="Q159" s="617"/>
      <c r="R159" s="617"/>
      <c r="S159" s="617"/>
      <c r="T159" s="617"/>
      <c r="U159" s="617"/>
      <c r="V159" s="617"/>
      <c r="W159" s="617"/>
      <c r="X159" s="617"/>
    </row>
    <row r="160" ht="18.75" customHeight="1">
      <c r="A160" s="617"/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17"/>
      <c r="P160" s="617"/>
      <c r="Q160" s="617"/>
      <c r="R160" s="617"/>
      <c r="S160" s="617"/>
      <c r="T160" s="617"/>
      <c r="U160" s="617"/>
      <c r="V160" s="617"/>
      <c r="W160" s="617"/>
      <c r="X160" s="617"/>
    </row>
    <row r="161" ht="18.75" customHeight="1">
      <c r="A161" s="617"/>
      <c r="B161" s="617"/>
      <c r="C161" s="617"/>
      <c r="D161" s="617"/>
      <c r="E161" s="617"/>
      <c r="F161" s="617"/>
      <c r="G161" s="617"/>
      <c r="H161" s="617"/>
      <c r="I161" s="617"/>
      <c r="J161" s="617"/>
      <c r="K161" s="617"/>
      <c r="L161" s="617"/>
      <c r="M161" s="617"/>
      <c r="N161" s="617"/>
      <c r="O161" s="617"/>
      <c r="P161" s="617"/>
      <c r="Q161" s="617"/>
      <c r="R161" s="617"/>
      <c r="S161" s="617"/>
      <c r="T161" s="617"/>
      <c r="U161" s="617"/>
      <c r="V161" s="617"/>
      <c r="W161" s="617"/>
      <c r="X161" s="617"/>
    </row>
    <row r="162" ht="18.75" customHeight="1">
      <c r="A162" s="617"/>
      <c r="B162" s="617"/>
      <c r="C162" s="617"/>
      <c r="D162" s="617"/>
      <c r="E162" s="617"/>
      <c r="F162" s="617"/>
      <c r="G162" s="617"/>
      <c r="H162" s="617"/>
      <c r="I162" s="617"/>
      <c r="J162" s="617"/>
      <c r="K162" s="617"/>
      <c r="L162" s="617"/>
      <c r="M162" s="617"/>
      <c r="N162" s="617"/>
      <c r="O162" s="617"/>
      <c r="P162" s="617"/>
      <c r="Q162" s="617"/>
      <c r="R162" s="617"/>
      <c r="S162" s="617"/>
      <c r="T162" s="617"/>
      <c r="U162" s="617"/>
      <c r="V162" s="617"/>
      <c r="W162" s="617"/>
      <c r="X162" s="617"/>
    </row>
    <row r="163" ht="18.75" customHeight="1">
      <c r="A163" s="617"/>
      <c r="B163" s="617"/>
      <c r="C163" s="617"/>
      <c r="D163" s="617"/>
      <c r="E163" s="617"/>
      <c r="F163" s="617"/>
      <c r="G163" s="617"/>
      <c r="H163" s="617"/>
      <c r="I163" s="617"/>
      <c r="J163" s="617"/>
      <c r="K163" s="617"/>
      <c r="L163" s="617"/>
      <c r="M163" s="617"/>
      <c r="N163" s="617"/>
      <c r="O163" s="617"/>
      <c r="P163" s="617"/>
      <c r="Q163" s="617"/>
      <c r="R163" s="617"/>
      <c r="S163" s="617"/>
      <c r="T163" s="617"/>
      <c r="U163" s="617"/>
      <c r="V163" s="617"/>
      <c r="W163" s="617"/>
      <c r="X163" s="617"/>
    </row>
    <row r="164" ht="18.75" customHeight="1">
      <c r="A164" s="617"/>
      <c r="B164" s="617"/>
      <c r="C164" s="617"/>
      <c r="D164" s="617"/>
      <c r="E164" s="617"/>
      <c r="F164" s="617"/>
      <c r="G164" s="617"/>
      <c r="H164" s="617"/>
      <c r="I164" s="617"/>
      <c r="J164" s="617"/>
      <c r="K164" s="617"/>
      <c r="L164" s="617"/>
      <c r="M164" s="617"/>
      <c r="N164" s="617"/>
      <c r="O164" s="617"/>
      <c r="P164" s="617"/>
      <c r="Q164" s="617"/>
      <c r="R164" s="617"/>
      <c r="S164" s="617"/>
      <c r="T164" s="617"/>
      <c r="U164" s="617"/>
      <c r="V164" s="617"/>
      <c r="W164" s="617"/>
      <c r="X164" s="617"/>
    </row>
    <row r="165" ht="18.75" customHeight="1">
      <c r="A165" s="617"/>
      <c r="B165" s="617"/>
      <c r="C165" s="617"/>
      <c r="D165" s="617"/>
      <c r="E165" s="617"/>
      <c r="F165" s="617"/>
      <c r="G165" s="617"/>
      <c r="H165" s="617"/>
      <c r="I165" s="617"/>
      <c r="J165" s="617"/>
      <c r="K165" s="617"/>
      <c r="L165" s="617"/>
      <c r="M165" s="617"/>
      <c r="N165" s="617"/>
      <c r="O165" s="617"/>
      <c r="P165" s="617"/>
      <c r="Q165" s="617"/>
      <c r="R165" s="617"/>
      <c r="S165" s="617"/>
      <c r="T165" s="617"/>
      <c r="U165" s="617"/>
      <c r="V165" s="617"/>
      <c r="W165" s="617"/>
      <c r="X165" s="617"/>
    </row>
    <row r="166" ht="18.75" customHeight="1">
      <c r="A166" s="617"/>
      <c r="B166" s="617"/>
      <c r="C166" s="617"/>
      <c r="D166" s="617"/>
      <c r="E166" s="617"/>
      <c r="F166" s="617"/>
      <c r="G166" s="617"/>
      <c r="H166" s="617"/>
      <c r="I166" s="617"/>
      <c r="J166" s="617"/>
      <c r="K166" s="617"/>
      <c r="L166" s="617"/>
      <c r="M166" s="617"/>
      <c r="N166" s="617"/>
      <c r="O166" s="617"/>
      <c r="P166" s="617"/>
      <c r="Q166" s="617"/>
      <c r="R166" s="617"/>
      <c r="S166" s="617"/>
      <c r="T166" s="617"/>
      <c r="U166" s="617"/>
      <c r="V166" s="617"/>
      <c r="W166" s="617"/>
      <c r="X166" s="617"/>
    </row>
    <row r="167" ht="18.75" customHeight="1">
      <c r="A167" s="617"/>
      <c r="B167" s="617"/>
      <c r="C167" s="617"/>
      <c r="D167" s="617"/>
      <c r="E167" s="617"/>
      <c r="F167" s="617"/>
      <c r="G167" s="617"/>
      <c r="H167" s="617"/>
      <c r="I167" s="617"/>
      <c r="J167" s="617"/>
      <c r="K167" s="617"/>
      <c r="L167" s="617"/>
      <c r="M167" s="617"/>
      <c r="N167" s="617"/>
      <c r="O167" s="617"/>
      <c r="P167" s="617"/>
      <c r="Q167" s="617"/>
      <c r="R167" s="617"/>
      <c r="S167" s="617"/>
      <c r="T167" s="617"/>
      <c r="U167" s="617"/>
      <c r="V167" s="617"/>
      <c r="W167" s="617"/>
      <c r="X167" s="617"/>
    </row>
    <row r="168" ht="18.75" customHeight="1">
      <c r="A168" s="617"/>
      <c r="B168" s="617"/>
      <c r="C168" s="617"/>
      <c r="D168" s="617"/>
      <c r="E168" s="617"/>
      <c r="F168" s="617"/>
      <c r="G168" s="617"/>
      <c r="H168" s="617"/>
      <c r="I168" s="617"/>
      <c r="J168" s="617"/>
      <c r="K168" s="617"/>
      <c r="L168" s="617"/>
      <c r="M168" s="617"/>
      <c r="N168" s="617"/>
      <c r="O168" s="617"/>
      <c r="P168" s="617"/>
      <c r="Q168" s="617"/>
      <c r="R168" s="617"/>
      <c r="S168" s="617"/>
      <c r="T168" s="617"/>
      <c r="U168" s="617"/>
      <c r="V168" s="617"/>
      <c r="W168" s="617"/>
      <c r="X168" s="617"/>
    </row>
    <row r="169" ht="18.75" customHeight="1">
      <c r="A169" s="617"/>
      <c r="B169" s="617"/>
      <c r="C169" s="617"/>
      <c r="D169" s="617"/>
      <c r="E169" s="617"/>
      <c r="F169" s="617"/>
      <c r="G169" s="617"/>
      <c r="H169" s="617"/>
      <c r="I169" s="617"/>
      <c r="J169" s="617"/>
      <c r="K169" s="617"/>
      <c r="L169" s="617"/>
      <c r="M169" s="617"/>
      <c r="N169" s="617"/>
      <c r="O169" s="617"/>
      <c r="P169" s="617"/>
      <c r="Q169" s="617"/>
      <c r="R169" s="617"/>
      <c r="S169" s="617"/>
      <c r="T169" s="617"/>
      <c r="U169" s="617"/>
      <c r="V169" s="617"/>
      <c r="W169" s="617"/>
      <c r="X169" s="617"/>
    </row>
    <row r="170" ht="18.75" customHeight="1">
      <c r="A170" s="617"/>
      <c r="B170" s="617"/>
      <c r="C170" s="617"/>
      <c r="D170" s="617"/>
      <c r="E170" s="617"/>
      <c r="F170" s="617"/>
      <c r="G170" s="617"/>
      <c r="H170" s="617"/>
      <c r="I170" s="617"/>
      <c r="J170" s="617"/>
      <c r="K170" s="617"/>
      <c r="L170" s="617"/>
      <c r="M170" s="617"/>
      <c r="N170" s="617"/>
      <c r="O170" s="617"/>
      <c r="P170" s="617"/>
      <c r="Q170" s="617"/>
      <c r="R170" s="617"/>
      <c r="S170" s="617"/>
      <c r="T170" s="617"/>
      <c r="U170" s="617"/>
      <c r="V170" s="617"/>
      <c r="W170" s="617"/>
      <c r="X170" s="617"/>
    </row>
    <row r="171" ht="18.75" customHeight="1">
      <c r="A171" s="617"/>
      <c r="B171" s="617"/>
      <c r="C171" s="617"/>
      <c r="D171" s="617"/>
      <c r="E171" s="617"/>
      <c r="F171" s="617"/>
      <c r="G171" s="617"/>
      <c r="H171" s="617"/>
      <c r="I171" s="617"/>
      <c r="J171" s="617"/>
      <c r="K171" s="617"/>
      <c r="L171" s="617"/>
      <c r="M171" s="617"/>
      <c r="N171" s="617"/>
      <c r="O171" s="617"/>
      <c r="P171" s="617"/>
      <c r="Q171" s="617"/>
      <c r="R171" s="617"/>
      <c r="S171" s="617"/>
      <c r="T171" s="617"/>
      <c r="U171" s="617"/>
      <c r="V171" s="617"/>
      <c r="W171" s="617"/>
      <c r="X171" s="617"/>
    </row>
    <row r="172" ht="18.75" customHeight="1">
      <c r="A172" s="617"/>
      <c r="B172" s="617"/>
      <c r="C172" s="617"/>
      <c r="D172" s="617"/>
      <c r="E172" s="617"/>
      <c r="F172" s="617"/>
      <c r="G172" s="617"/>
      <c r="H172" s="617"/>
      <c r="I172" s="617"/>
      <c r="J172" s="617"/>
      <c r="K172" s="617"/>
      <c r="L172" s="617"/>
      <c r="M172" s="617"/>
      <c r="N172" s="617"/>
      <c r="O172" s="617"/>
      <c r="P172" s="617"/>
      <c r="Q172" s="617"/>
      <c r="R172" s="617"/>
      <c r="S172" s="617"/>
      <c r="T172" s="617"/>
      <c r="U172" s="617"/>
      <c r="V172" s="617"/>
      <c r="W172" s="617"/>
      <c r="X172" s="617"/>
    </row>
    <row r="173" ht="18.75" customHeight="1">
      <c r="A173" s="617"/>
      <c r="B173" s="617"/>
      <c r="C173" s="617"/>
      <c r="D173" s="617"/>
      <c r="E173" s="617"/>
      <c r="F173" s="617"/>
      <c r="G173" s="617"/>
      <c r="H173" s="617"/>
      <c r="I173" s="617"/>
      <c r="J173" s="617"/>
      <c r="K173" s="617"/>
      <c r="L173" s="617"/>
      <c r="M173" s="617"/>
      <c r="N173" s="617"/>
      <c r="O173" s="617"/>
      <c r="P173" s="617"/>
      <c r="Q173" s="617"/>
      <c r="R173" s="617"/>
      <c r="S173" s="617"/>
      <c r="T173" s="617"/>
      <c r="U173" s="617"/>
      <c r="V173" s="617"/>
      <c r="W173" s="617"/>
      <c r="X173" s="617"/>
    </row>
    <row r="174" ht="18.75" customHeight="1">
      <c r="A174" s="617"/>
      <c r="B174" s="617"/>
      <c r="C174" s="617"/>
      <c r="D174" s="617"/>
      <c r="E174" s="617"/>
      <c r="F174" s="617"/>
      <c r="G174" s="617"/>
      <c r="H174" s="617"/>
      <c r="I174" s="617"/>
      <c r="J174" s="617"/>
      <c r="K174" s="617"/>
      <c r="L174" s="617"/>
      <c r="M174" s="617"/>
      <c r="N174" s="617"/>
      <c r="O174" s="617"/>
      <c r="P174" s="617"/>
      <c r="Q174" s="617"/>
      <c r="R174" s="617"/>
      <c r="S174" s="617"/>
      <c r="T174" s="617"/>
      <c r="U174" s="617"/>
      <c r="V174" s="617"/>
      <c r="W174" s="617"/>
      <c r="X174" s="617"/>
    </row>
    <row r="175" ht="18.75" customHeight="1">
      <c r="A175" s="617"/>
      <c r="B175" s="617"/>
      <c r="C175" s="617"/>
      <c r="D175" s="617"/>
      <c r="E175" s="617"/>
      <c r="F175" s="617"/>
      <c r="G175" s="617"/>
      <c r="H175" s="617"/>
      <c r="I175" s="617"/>
      <c r="J175" s="617"/>
      <c r="K175" s="617"/>
      <c r="L175" s="617"/>
      <c r="M175" s="617"/>
      <c r="N175" s="617"/>
      <c r="O175" s="617"/>
      <c r="P175" s="617"/>
      <c r="Q175" s="617"/>
      <c r="R175" s="617"/>
      <c r="S175" s="617"/>
      <c r="T175" s="617"/>
      <c r="U175" s="617"/>
      <c r="V175" s="617"/>
      <c r="W175" s="617"/>
      <c r="X175" s="617"/>
    </row>
    <row r="176" ht="18.75" customHeight="1">
      <c r="A176" s="617"/>
      <c r="B176" s="617"/>
      <c r="C176" s="617"/>
      <c r="D176" s="617"/>
      <c r="E176" s="617"/>
      <c r="F176" s="617"/>
      <c r="G176" s="617"/>
      <c r="H176" s="617"/>
      <c r="I176" s="617"/>
      <c r="J176" s="617"/>
      <c r="K176" s="617"/>
      <c r="L176" s="617"/>
      <c r="M176" s="617"/>
      <c r="N176" s="617"/>
      <c r="O176" s="617"/>
      <c r="P176" s="617"/>
      <c r="Q176" s="617"/>
      <c r="R176" s="617"/>
      <c r="S176" s="617"/>
      <c r="T176" s="617"/>
      <c r="U176" s="617"/>
      <c r="V176" s="617"/>
      <c r="W176" s="617"/>
      <c r="X176" s="617"/>
    </row>
    <row r="177" ht="18.75" customHeight="1">
      <c r="A177" s="617"/>
      <c r="B177" s="617"/>
      <c r="C177" s="617"/>
      <c r="D177" s="617"/>
      <c r="E177" s="617"/>
      <c r="F177" s="617"/>
      <c r="G177" s="617"/>
      <c r="H177" s="617"/>
      <c r="I177" s="617"/>
      <c r="J177" s="617"/>
      <c r="K177" s="617"/>
      <c r="L177" s="617"/>
      <c r="M177" s="617"/>
      <c r="N177" s="617"/>
      <c r="O177" s="617"/>
      <c r="P177" s="617"/>
      <c r="Q177" s="617"/>
      <c r="R177" s="617"/>
      <c r="S177" s="617"/>
      <c r="T177" s="617"/>
      <c r="U177" s="617"/>
      <c r="V177" s="617"/>
      <c r="W177" s="617"/>
      <c r="X177" s="617"/>
    </row>
    <row r="178" ht="18.75" customHeight="1">
      <c r="A178" s="617"/>
      <c r="B178" s="617"/>
      <c r="C178" s="617"/>
      <c r="D178" s="617"/>
      <c r="E178" s="617"/>
      <c r="F178" s="617"/>
      <c r="G178" s="617"/>
      <c r="H178" s="617"/>
      <c r="I178" s="617"/>
      <c r="J178" s="617"/>
      <c r="K178" s="617"/>
      <c r="L178" s="617"/>
      <c r="M178" s="617"/>
      <c r="N178" s="617"/>
      <c r="O178" s="617"/>
      <c r="P178" s="617"/>
      <c r="Q178" s="617"/>
      <c r="R178" s="617"/>
      <c r="S178" s="617"/>
      <c r="T178" s="617"/>
      <c r="U178" s="617"/>
      <c r="V178" s="617"/>
      <c r="W178" s="617"/>
      <c r="X178" s="617"/>
    </row>
    <row r="179" ht="18.75" customHeight="1">
      <c r="A179" s="617"/>
      <c r="B179" s="617"/>
      <c r="C179" s="617"/>
      <c r="D179" s="617"/>
      <c r="E179" s="617"/>
      <c r="F179" s="617"/>
      <c r="G179" s="617"/>
      <c r="H179" s="617"/>
      <c r="I179" s="617"/>
      <c r="J179" s="617"/>
      <c r="K179" s="617"/>
      <c r="L179" s="617"/>
      <c r="M179" s="617"/>
      <c r="N179" s="617"/>
      <c r="O179" s="617"/>
      <c r="P179" s="617"/>
      <c r="Q179" s="617"/>
      <c r="R179" s="617"/>
      <c r="S179" s="617"/>
      <c r="T179" s="617"/>
      <c r="U179" s="617"/>
      <c r="V179" s="617"/>
      <c r="W179" s="617"/>
      <c r="X179" s="617"/>
    </row>
    <row r="180" ht="18.75" customHeight="1">
      <c r="A180" s="617"/>
      <c r="B180" s="617"/>
      <c r="C180" s="617"/>
      <c r="D180" s="617"/>
      <c r="E180" s="617"/>
      <c r="F180" s="617"/>
      <c r="G180" s="617"/>
      <c r="H180" s="617"/>
      <c r="I180" s="617"/>
      <c r="J180" s="617"/>
      <c r="K180" s="617"/>
      <c r="L180" s="617"/>
      <c r="M180" s="617"/>
      <c r="N180" s="617"/>
      <c r="O180" s="617"/>
      <c r="P180" s="617"/>
      <c r="Q180" s="617"/>
      <c r="R180" s="617"/>
      <c r="S180" s="617"/>
      <c r="T180" s="617"/>
      <c r="U180" s="617"/>
      <c r="V180" s="617"/>
      <c r="W180" s="617"/>
      <c r="X180" s="617"/>
    </row>
    <row r="181" ht="18.75" customHeight="1">
      <c r="A181" s="617"/>
      <c r="B181" s="617"/>
      <c r="C181" s="617"/>
      <c r="D181" s="617"/>
      <c r="E181" s="617"/>
      <c r="F181" s="617"/>
      <c r="G181" s="617"/>
      <c r="H181" s="617"/>
      <c r="I181" s="617"/>
      <c r="J181" s="617"/>
      <c r="K181" s="617"/>
      <c r="L181" s="617"/>
      <c r="M181" s="617"/>
      <c r="N181" s="617"/>
      <c r="O181" s="617"/>
      <c r="P181" s="617"/>
      <c r="Q181" s="617"/>
      <c r="R181" s="617"/>
      <c r="S181" s="617"/>
      <c r="T181" s="617"/>
      <c r="U181" s="617"/>
      <c r="V181" s="617"/>
      <c r="W181" s="617"/>
      <c r="X181" s="617"/>
    </row>
    <row r="182" ht="18.75" customHeight="1">
      <c r="A182" s="617"/>
      <c r="B182" s="617"/>
      <c r="C182" s="617"/>
      <c r="D182" s="617"/>
      <c r="E182" s="617"/>
      <c r="F182" s="617"/>
      <c r="G182" s="617"/>
      <c r="H182" s="617"/>
      <c r="I182" s="617"/>
      <c r="J182" s="617"/>
      <c r="K182" s="617"/>
      <c r="L182" s="617"/>
      <c r="M182" s="617"/>
      <c r="N182" s="617"/>
      <c r="O182" s="617"/>
      <c r="P182" s="617"/>
      <c r="Q182" s="617"/>
      <c r="R182" s="617"/>
      <c r="S182" s="617"/>
      <c r="T182" s="617"/>
      <c r="U182" s="617"/>
      <c r="V182" s="617"/>
      <c r="W182" s="617"/>
      <c r="X182" s="617"/>
    </row>
    <row r="183" ht="18.75" customHeight="1">
      <c r="A183" s="617"/>
      <c r="B183" s="617"/>
      <c r="C183" s="617"/>
      <c r="D183" s="617"/>
      <c r="E183" s="617"/>
      <c r="F183" s="617"/>
      <c r="G183" s="617"/>
      <c r="H183" s="617"/>
      <c r="I183" s="617"/>
      <c r="J183" s="617"/>
      <c r="K183" s="617"/>
      <c r="L183" s="617"/>
      <c r="M183" s="617"/>
      <c r="N183" s="617"/>
      <c r="O183" s="617"/>
      <c r="P183" s="617"/>
      <c r="Q183" s="617"/>
      <c r="R183" s="617"/>
      <c r="S183" s="617"/>
      <c r="T183" s="617"/>
      <c r="U183" s="617"/>
      <c r="V183" s="617"/>
      <c r="W183" s="617"/>
      <c r="X183" s="617"/>
    </row>
    <row r="184" ht="18.75" customHeight="1">
      <c r="A184" s="617"/>
      <c r="B184" s="617"/>
      <c r="C184" s="617"/>
      <c r="D184" s="617"/>
      <c r="E184" s="617"/>
      <c r="F184" s="617"/>
      <c r="G184" s="617"/>
      <c r="H184" s="617"/>
      <c r="I184" s="617"/>
      <c r="J184" s="617"/>
      <c r="K184" s="617"/>
      <c r="L184" s="617"/>
      <c r="M184" s="617"/>
      <c r="N184" s="617"/>
      <c r="O184" s="617"/>
      <c r="P184" s="617"/>
      <c r="Q184" s="617"/>
      <c r="R184" s="617"/>
      <c r="S184" s="617"/>
      <c r="T184" s="617"/>
      <c r="U184" s="617"/>
      <c r="V184" s="617"/>
      <c r="W184" s="617"/>
      <c r="X184" s="617"/>
    </row>
    <row r="185" ht="18.75" customHeight="1">
      <c r="A185" s="617"/>
      <c r="B185" s="617"/>
      <c r="C185" s="617"/>
      <c r="D185" s="617"/>
      <c r="E185" s="617"/>
      <c r="F185" s="617"/>
      <c r="G185" s="617"/>
      <c r="H185" s="617"/>
      <c r="I185" s="617"/>
      <c r="J185" s="617"/>
      <c r="K185" s="617"/>
      <c r="L185" s="617"/>
      <c r="M185" s="617"/>
      <c r="N185" s="617"/>
      <c r="O185" s="617"/>
      <c r="P185" s="617"/>
      <c r="Q185" s="617"/>
      <c r="R185" s="617"/>
      <c r="S185" s="617"/>
      <c r="T185" s="617"/>
      <c r="U185" s="617"/>
      <c r="V185" s="617"/>
      <c r="W185" s="617"/>
      <c r="X185" s="617"/>
    </row>
    <row r="186" ht="18.75" customHeight="1">
      <c r="A186" s="617"/>
      <c r="B186" s="617"/>
      <c r="C186" s="617"/>
      <c r="D186" s="617"/>
      <c r="E186" s="617"/>
      <c r="F186" s="617"/>
      <c r="G186" s="617"/>
      <c r="H186" s="617"/>
      <c r="I186" s="617"/>
      <c r="J186" s="617"/>
      <c r="K186" s="617"/>
      <c r="L186" s="617"/>
      <c r="M186" s="617"/>
      <c r="N186" s="617"/>
      <c r="O186" s="617"/>
      <c r="P186" s="617"/>
      <c r="Q186" s="617"/>
      <c r="R186" s="617"/>
      <c r="S186" s="617"/>
      <c r="T186" s="617"/>
      <c r="U186" s="617"/>
      <c r="V186" s="617"/>
      <c r="W186" s="617"/>
      <c r="X186" s="617"/>
    </row>
    <row r="187" ht="18.75" customHeight="1">
      <c r="A187" s="617"/>
      <c r="B187" s="617"/>
      <c r="C187" s="617"/>
      <c r="D187" s="617"/>
      <c r="E187" s="617"/>
      <c r="F187" s="617"/>
      <c r="G187" s="617"/>
      <c r="H187" s="617"/>
      <c r="I187" s="617"/>
      <c r="J187" s="617"/>
      <c r="K187" s="617"/>
      <c r="L187" s="617"/>
      <c r="M187" s="617"/>
      <c r="N187" s="617"/>
      <c r="O187" s="617"/>
      <c r="P187" s="617"/>
      <c r="Q187" s="617"/>
      <c r="R187" s="617"/>
      <c r="S187" s="617"/>
      <c r="T187" s="617"/>
      <c r="U187" s="617"/>
      <c r="V187" s="617"/>
      <c r="W187" s="617"/>
      <c r="X187" s="617"/>
    </row>
    <row r="188" ht="18.75" customHeight="1">
      <c r="A188" s="617"/>
      <c r="B188" s="617"/>
      <c r="C188" s="617"/>
      <c r="D188" s="617"/>
      <c r="E188" s="617"/>
      <c r="F188" s="617"/>
      <c r="G188" s="617"/>
      <c r="H188" s="617"/>
      <c r="I188" s="617"/>
      <c r="J188" s="617"/>
      <c r="K188" s="617"/>
      <c r="L188" s="617"/>
      <c r="M188" s="617"/>
      <c r="N188" s="617"/>
      <c r="O188" s="617"/>
      <c r="P188" s="617"/>
      <c r="Q188" s="617"/>
      <c r="R188" s="617"/>
      <c r="S188" s="617"/>
      <c r="T188" s="617"/>
      <c r="U188" s="617"/>
      <c r="V188" s="617"/>
      <c r="W188" s="617"/>
      <c r="X188" s="617"/>
    </row>
    <row r="189" ht="18.75" customHeight="1">
      <c r="A189" s="617"/>
      <c r="B189" s="617"/>
      <c r="C189" s="617"/>
      <c r="D189" s="617"/>
      <c r="E189" s="617"/>
      <c r="F189" s="617"/>
      <c r="G189" s="617"/>
      <c r="H189" s="617"/>
      <c r="I189" s="617"/>
      <c r="J189" s="617"/>
      <c r="K189" s="617"/>
      <c r="L189" s="617"/>
      <c r="M189" s="617"/>
      <c r="N189" s="617"/>
      <c r="O189" s="617"/>
      <c r="P189" s="617"/>
      <c r="Q189" s="617"/>
      <c r="R189" s="617"/>
      <c r="S189" s="617"/>
      <c r="T189" s="617"/>
      <c r="U189" s="617"/>
      <c r="V189" s="617"/>
      <c r="W189" s="617"/>
      <c r="X189" s="617"/>
    </row>
    <row r="190" ht="18.75" customHeight="1">
      <c r="A190" s="617"/>
      <c r="B190" s="617"/>
      <c r="C190" s="617"/>
      <c r="D190" s="617"/>
      <c r="E190" s="617"/>
      <c r="F190" s="617"/>
      <c r="G190" s="617"/>
      <c r="H190" s="617"/>
      <c r="I190" s="617"/>
      <c r="J190" s="617"/>
      <c r="K190" s="617"/>
      <c r="L190" s="617"/>
      <c r="M190" s="617"/>
      <c r="N190" s="617"/>
      <c r="O190" s="617"/>
      <c r="P190" s="617"/>
      <c r="Q190" s="617"/>
      <c r="R190" s="617"/>
      <c r="S190" s="617"/>
      <c r="T190" s="617"/>
      <c r="U190" s="617"/>
      <c r="V190" s="617"/>
      <c r="W190" s="617"/>
      <c r="X190" s="617"/>
    </row>
    <row r="191" ht="18.75" customHeight="1">
      <c r="A191" s="617"/>
      <c r="B191" s="617"/>
      <c r="C191" s="617"/>
      <c r="D191" s="617"/>
      <c r="E191" s="617"/>
      <c r="F191" s="617"/>
      <c r="G191" s="617"/>
      <c r="H191" s="617"/>
      <c r="I191" s="617"/>
      <c r="J191" s="617"/>
      <c r="K191" s="617"/>
      <c r="L191" s="617"/>
      <c r="M191" s="617"/>
      <c r="N191" s="617"/>
      <c r="O191" s="617"/>
      <c r="P191" s="617"/>
      <c r="Q191" s="617"/>
      <c r="R191" s="617"/>
      <c r="S191" s="617"/>
      <c r="T191" s="617"/>
      <c r="U191" s="617"/>
      <c r="V191" s="617"/>
      <c r="W191" s="617"/>
      <c r="X191" s="617"/>
    </row>
    <row r="192" ht="18.75" customHeight="1">
      <c r="A192" s="617"/>
      <c r="B192" s="617"/>
      <c r="C192" s="617"/>
      <c r="D192" s="617"/>
      <c r="E192" s="617"/>
      <c r="F192" s="617"/>
      <c r="G192" s="617"/>
      <c r="H192" s="617"/>
      <c r="I192" s="617"/>
      <c r="J192" s="617"/>
      <c r="K192" s="617"/>
      <c r="L192" s="617"/>
      <c r="M192" s="617"/>
      <c r="N192" s="617"/>
      <c r="O192" s="617"/>
      <c r="P192" s="617"/>
      <c r="Q192" s="617"/>
      <c r="R192" s="617"/>
      <c r="S192" s="617"/>
      <c r="T192" s="617"/>
      <c r="U192" s="617"/>
      <c r="V192" s="617"/>
      <c r="W192" s="617"/>
      <c r="X192" s="617"/>
    </row>
    <row r="193" ht="18.75" customHeight="1">
      <c r="A193" s="617"/>
      <c r="B193" s="617"/>
      <c r="C193" s="617"/>
      <c r="D193" s="617"/>
      <c r="E193" s="617"/>
      <c r="F193" s="617"/>
      <c r="G193" s="617"/>
      <c r="H193" s="617"/>
      <c r="I193" s="617"/>
      <c r="J193" s="617"/>
      <c r="K193" s="617"/>
      <c r="L193" s="617"/>
      <c r="M193" s="617"/>
      <c r="N193" s="617"/>
      <c r="O193" s="617"/>
      <c r="P193" s="617"/>
      <c r="Q193" s="617"/>
      <c r="R193" s="617"/>
      <c r="S193" s="617"/>
      <c r="T193" s="617"/>
      <c r="U193" s="617"/>
      <c r="V193" s="617"/>
      <c r="W193" s="617"/>
      <c r="X193" s="617"/>
    </row>
    <row r="194" ht="18.75" customHeight="1">
      <c r="A194" s="617"/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17"/>
      <c r="P194" s="617"/>
      <c r="Q194" s="617"/>
      <c r="R194" s="617"/>
      <c r="S194" s="617"/>
      <c r="T194" s="617"/>
      <c r="U194" s="617"/>
      <c r="V194" s="617"/>
      <c r="W194" s="617"/>
      <c r="X194" s="617"/>
    </row>
    <row r="195" ht="18.75" customHeight="1">
      <c r="A195" s="617"/>
      <c r="B195" s="617"/>
      <c r="C195" s="617"/>
      <c r="D195" s="617"/>
      <c r="E195" s="617"/>
      <c r="F195" s="617"/>
      <c r="G195" s="617"/>
      <c r="H195" s="617"/>
      <c r="I195" s="617"/>
      <c r="J195" s="617"/>
      <c r="K195" s="617"/>
      <c r="L195" s="617"/>
      <c r="M195" s="617"/>
      <c r="N195" s="617"/>
      <c r="O195" s="617"/>
      <c r="P195" s="617"/>
      <c r="Q195" s="617"/>
      <c r="R195" s="617"/>
      <c r="S195" s="617"/>
      <c r="T195" s="617"/>
      <c r="U195" s="617"/>
      <c r="V195" s="617"/>
      <c r="W195" s="617"/>
      <c r="X195" s="617"/>
    </row>
    <row r="196" ht="18.75" customHeight="1">
      <c r="A196" s="617"/>
      <c r="B196" s="617"/>
      <c r="C196" s="617"/>
      <c r="D196" s="617"/>
      <c r="E196" s="617"/>
      <c r="F196" s="617"/>
      <c r="G196" s="617"/>
      <c r="H196" s="617"/>
      <c r="I196" s="617"/>
      <c r="J196" s="617"/>
      <c r="K196" s="617"/>
      <c r="L196" s="617"/>
      <c r="M196" s="617"/>
      <c r="N196" s="617"/>
      <c r="O196" s="617"/>
      <c r="P196" s="617"/>
      <c r="Q196" s="617"/>
      <c r="R196" s="617"/>
      <c r="S196" s="617"/>
      <c r="T196" s="617"/>
      <c r="U196" s="617"/>
      <c r="V196" s="617"/>
      <c r="W196" s="617"/>
      <c r="X196" s="617"/>
    </row>
    <row r="197" ht="18.75" customHeight="1">
      <c r="A197" s="617"/>
      <c r="B197" s="617"/>
      <c r="C197" s="617"/>
      <c r="D197" s="617"/>
      <c r="E197" s="617"/>
      <c r="F197" s="617"/>
      <c r="G197" s="617"/>
      <c r="H197" s="617"/>
      <c r="I197" s="617"/>
      <c r="J197" s="617"/>
      <c r="K197" s="617"/>
      <c r="L197" s="617"/>
      <c r="M197" s="617"/>
      <c r="N197" s="617"/>
      <c r="O197" s="617"/>
      <c r="P197" s="617"/>
      <c r="Q197" s="617"/>
      <c r="R197" s="617"/>
      <c r="S197" s="617"/>
      <c r="T197" s="617"/>
      <c r="U197" s="617"/>
      <c r="V197" s="617"/>
      <c r="W197" s="617"/>
      <c r="X197" s="617"/>
    </row>
    <row r="198" ht="18.75" customHeight="1">
      <c r="A198" s="617"/>
      <c r="B198" s="617"/>
      <c r="C198" s="617"/>
      <c r="D198" s="617"/>
      <c r="E198" s="617"/>
      <c r="F198" s="617"/>
      <c r="G198" s="617"/>
      <c r="H198" s="617"/>
      <c r="I198" s="617"/>
      <c r="J198" s="617"/>
      <c r="K198" s="617"/>
      <c r="L198" s="617"/>
      <c r="M198" s="617"/>
      <c r="N198" s="617"/>
      <c r="O198" s="617"/>
      <c r="P198" s="617"/>
      <c r="Q198" s="617"/>
      <c r="R198" s="617"/>
      <c r="S198" s="617"/>
      <c r="T198" s="617"/>
      <c r="U198" s="617"/>
      <c r="V198" s="617"/>
      <c r="W198" s="617"/>
      <c r="X198" s="617"/>
    </row>
    <row r="199" ht="18.75" customHeight="1">
      <c r="A199" s="617"/>
      <c r="B199" s="617"/>
      <c r="C199" s="617"/>
      <c r="D199" s="617"/>
      <c r="E199" s="617"/>
      <c r="F199" s="617"/>
      <c r="G199" s="617"/>
      <c r="H199" s="617"/>
      <c r="I199" s="617"/>
      <c r="J199" s="617"/>
      <c r="K199" s="617"/>
      <c r="L199" s="617"/>
      <c r="M199" s="617"/>
      <c r="N199" s="617"/>
      <c r="O199" s="617"/>
      <c r="P199" s="617"/>
      <c r="Q199" s="617"/>
      <c r="R199" s="617"/>
      <c r="S199" s="617"/>
      <c r="T199" s="617"/>
      <c r="U199" s="617"/>
      <c r="V199" s="617"/>
      <c r="W199" s="617"/>
      <c r="X199" s="617"/>
    </row>
    <row r="200" ht="18.75" customHeight="1">
      <c r="A200" s="617"/>
      <c r="B200" s="617"/>
      <c r="C200" s="617"/>
      <c r="D200" s="617"/>
      <c r="E200" s="617"/>
      <c r="F200" s="617"/>
      <c r="G200" s="617"/>
      <c r="H200" s="617"/>
      <c r="I200" s="617"/>
      <c r="J200" s="617"/>
      <c r="K200" s="617"/>
      <c r="L200" s="617"/>
      <c r="M200" s="617"/>
      <c r="N200" s="617"/>
      <c r="O200" s="617"/>
      <c r="P200" s="617"/>
      <c r="Q200" s="617"/>
      <c r="R200" s="617"/>
      <c r="S200" s="617"/>
      <c r="T200" s="617"/>
      <c r="U200" s="617"/>
      <c r="V200" s="617"/>
      <c r="W200" s="617"/>
      <c r="X200" s="617"/>
    </row>
    <row r="201" ht="18.75" customHeight="1">
      <c r="A201" s="617"/>
      <c r="B201" s="617"/>
      <c r="C201" s="617"/>
      <c r="D201" s="617"/>
      <c r="E201" s="617"/>
      <c r="F201" s="617"/>
      <c r="G201" s="617"/>
      <c r="H201" s="617"/>
      <c r="I201" s="617"/>
      <c r="J201" s="617"/>
      <c r="K201" s="617"/>
      <c r="L201" s="617"/>
      <c r="M201" s="617"/>
      <c r="N201" s="617"/>
      <c r="O201" s="617"/>
      <c r="P201" s="617"/>
      <c r="Q201" s="617"/>
      <c r="R201" s="617"/>
      <c r="S201" s="617"/>
      <c r="T201" s="617"/>
      <c r="U201" s="617"/>
      <c r="V201" s="617"/>
      <c r="W201" s="617"/>
      <c r="X201" s="617"/>
    </row>
    <row r="202" ht="18.75" customHeight="1">
      <c r="A202" s="617"/>
      <c r="B202" s="617"/>
      <c r="C202" s="617"/>
      <c r="D202" s="617"/>
      <c r="E202" s="617"/>
      <c r="F202" s="617"/>
      <c r="G202" s="617"/>
      <c r="H202" s="617"/>
      <c r="I202" s="617"/>
      <c r="J202" s="617"/>
      <c r="K202" s="617"/>
      <c r="L202" s="617"/>
      <c r="M202" s="617"/>
      <c r="N202" s="617"/>
      <c r="O202" s="617"/>
      <c r="P202" s="617"/>
      <c r="Q202" s="617"/>
      <c r="R202" s="617"/>
      <c r="S202" s="617"/>
      <c r="T202" s="617"/>
      <c r="U202" s="617"/>
      <c r="V202" s="617"/>
      <c r="W202" s="617"/>
      <c r="X202" s="617"/>
    </row>
    <row r="203" ht="18.75" customHeight="1">
      <c r="A203" s="617"/>
      <c r="B203" s="617"/>
      <c r="C203" s="617"/>
      <c r="D203" s="617"/>
      <c r="E203" s="617"/>
      <c r="F203" s="617"/>
      <c r="G203" s="617"/>
      <c r="H203" s="617"/>
      <c r="I203" s="617"/>
      <c r="J203" s="617"/>
      <c r="K203" s="617"/>
      <c r="L203" s="617"/>
      <c r="M203" s="617"/>
      <c r="N203" s="617"/>
      <c r="O203" s="617"/>
      <c r="P203" s="617"/>
      <c r="Q203" s="617"/>
      <c r="R203" s="617"/>
      <c r="S203" s="617"/>
      <c r="T203" s="617"/>
      <c r="U203" s="617"/>
      <c r="V203" s="617"/>
      <c r="W203" s="617"/>
      <c r="X203" s="617"/>
    </row>
    <row r="204" ht="18.75" customHeight="1">
      <c r="A204" s="617"/>
      <c r="B204" s="617"/>
      <c r="C204" s="617"/>
      <c r="D204" s="617"/>
      <c r="E204" s="617"/>
      <c r="F204" s="617"/>
      <c r="G204" s="617"/>
      <c r="H204" s="617"/>
      <c r="I204" s="617"/>
      <c r="J204" s="617"/>
      <c r="K204" s="617"/>
      <c r="L204" s="617"/>
      <c r="M204" s="617"/>
      <c r="N204" s="617"/>
      <c r="O204" s="617"/>
      <c r="P204" s="617"/>
      <c r="Q204" s="617"/>
      <c r="R204" s="617"/>
      <c r="S204" s="617"/>
      <c r="T204" s="617"/>
      <c r="U204" s="617"/>
      <c r="V204" s="617"/>
      <c r="W204" s="617"/>
      <c r="X204" s="617"/>
    </row>
    <row r="205" ht="18.75" customHeight="1">
      <c r="A205" s="617"/>
      <c r="B205" s="617"/>
      <c r="C205" s="617"/>
      <c r="D205" s="617"/>
      <c r="E205" s="617"/>
      <c r="F205" s="617"/>
      <c r="G205" s="617"/>
      <c r="H205" s="617"/>
      <c r="I205" s="617"/>
      <c r="J205" s="617"/>
      <c r="K205" s="617"/>
      <c r="L205" s="617"/>
      <c r="M205" s="617"/>
      <c r="N205" s="617"/>
      <c r="O205" s="617"/>
      <c r="P205" s="617"/>
      <c r="Q205" s="617"/>
      <c r="R205" s="617"/>
      <c r="S205" s="617"/>
      <c r="T205" s="617"/>
      <c r="U205" s="617"/>
      <c r="V205" s="617"/>
      <c r="W205" s="617"/>
      <c r="X205" s="617"/>
    </row>
    <row r="206" ht="18.75" customHeight="1">
      <c r="A206" s="617"/>
      <c r="B206" s="617"/>
      <c r="C206" s="617"/>
      <c r="D206" s="617"/>
      <c r="E206" s="617"/>
      <c r="F206" s="617"/>
      <c r="G206" s="617"/>
      <c r="H206" s="617"/>
      <c r="I206" s="617"/>
      <c r="J206" s="617"/>
      <c r="K206" s="617"/>
      <c r="L206" s="617"/>
      <c r="M206" s="617"/>
      <c r="N206" s="617"/>
      <c r="O206" s="617"/>
      <c r="P206" s="617"/>
      <c r="Q206" s="617"/>
      <c r="R206" s="617"/>
      <c r="S206" s="617"/>
      <c r="T206" s="617"/>
      <c r="U206" s="617"/>
      <c r="V206" s="617"/>
      <c r="W206" s="617"/>
      <c r="X206" s="617"/>
    </row>
    <row r="207" ht="18.75" customHeight="1">
      <c r="A207" s="617"/>
      <c r="B207" s="617"/>
      <c r="C207" s="617"/>
      <c r="D207" s="617"/>
      <c r="E207" s="617"/>
      <c r="F207" s="617"/>
      <c r="G207" s="617"/>
      <c r="H207" s="617"/>
      <c r="I207" s="617"/>
      <c r="J207" s="617"/>
      <c r="K207" s="617"/>
      <c r="L207" s="617"/>
      <c r="M207" s="617"/>
      <c r="N207" s="617"/>
      <c r="O207" s="617"/>
      <c r="P207" s="617"/>
      <c r="Q207" s="617"/>
      <c r="R207" s="617"/>
      <c r="S207" s="617"/>
      <c r="T207" s="617"/>
      <c r="U207" s="617"/>
      <c r="V207" s="617"/>
      <c r="W207" s="617"/>
      <c r="X207" s="617"/>
    </row>
    <row r="208" ht="18.75" customHeight="1">
      <c r="A208" s="617"/>
      <c r="B208" s="617"/>
      <c r="C208" s="617"/>
      <c r="D208" s="617"/>
      <c r="E208" s="617"/>
      <c r="F208" s="617"/>
      <c r="G208" s="617"/>
      <c r="H208" s="617"/>
      <c r="I208" s="617"/>
      <c r="J208" s="617"/>
      <c r="K208" s="617"/>
      <c r="L208" s="617"/>
      <c r="M208" s="617"/>
      <c r="N208" s="617"/>
      <c r="O208" s="617"/>
      <c r="P208" s="617"/>
      <c r="Q208" s="617"/>
      <c r="R208" s="617"/>
      <c r="S208" s="617"/>
      <c r="T208" s="617"/>
      <c r="U208" s="617"/>
      <c r="V208" s="617"/>
      <c r="W208" s="617"/>
      <c r="X208" s="617"/>
    </row>
    <row r="209" ht="18.75" customHeight="1">
      <c r="A209" s="617"/>
      <c r="B209" s="617"/>
      <c r="C209" s="617"/>
      <c r="D209" s="617"/>
      <c r="E209" s="617"/>
      <c r="F209" s="617"/>
      <c r="G209" s="617"/>
      <c r="H209" s="617"/>
      <c r="I209" s="617"/>
      <c r="J209" s="617"/>
      <c r="K209" s="617"/>
      <c r="L209" s="617"/>
      <c r="M209" s="617"/>
      <c r="N209" s="617"/>
      <c r="O209" s="617"/>
      <c r="P209" s="617"/>
      <c r="Q209" s="617"/>
      <c r="R209" s="617"/>
      <c r="S209" s="617"/>
      <c r="T209" s="617"/>
      <c r="U209" s="617"/>
      <c r="V209" s="617"/>
      <c r="W209" s="617"/>
      <c r="X209" s="617"/>
    </row>
    <row r="210" ht="18.75" customHeight="1">
      <c r="A210" s="617"/>
      <c r="B210" s="617"/>
      <c r="C210" s="617"/>
      <c r="D210" s="617"/>
      <c r="E210" s="617"/>
      <c r="F210" s="617"/>
      <c r="G210" s="617"/>
      <c r="H210" s="617"/>
      <c r="I210" s="617"/>
      <c r="J210" s="617"/>
      <c r="K210" s="617"/>
      <c r="L210" s="617"/>
      <c r="M210" s="617"/>
      <c r="N210" s="617"/>
      <c r="O210" s="617"/>
      <c r="P210" s="617"/>
      <c r="Q210" s="617"/>
      <c r="R210" s="617"/>
      <c r="S210" s="617"/>
      <c r="T210" s="617"/>
      <c r="U210" s="617"/>
      <c r="V210" s="617"/>
      <c r="W210" s="617"/>
      <c r="X210" s="617"/>
    </row>
    <row r="211" ht="18.75" customHeight="1">
      <c r="A211" s="617"/>
      <c r="B211" s="617"/>
      <c r="C211" s="617"/>
      <c r="D211" s="617"/>
      <c r="E211" s="617"/>
      <c r="F211" s="617"/>
      <c r="G211" s="617"/>
      <c r="H211" s="617"/>
      <c r="I211" s="617"/>
      <c r="J211" s="617"/>
      <c r="K211" s="617"/>
      <c r="L211" s="617"/>
      <c r="M211" s="617"/>
      <c r="N211" s="617"/>
      <c r="O211" s="617"/>
      <c r="P211" s="617"/>
      <c r="Q211" s="617"/>
      <c r="R211" s="617"/>
      <c r="S211" s="617"/>
      <c r="T211" s="617"/>
      <c r="U211" s="617"/>
      <c r="V211" s="617"/>
      <c r="W211" s="617"/>
      <c r="X211" s="617"/>
    </row>
    <row r="212" ht="18.75" customHeight="1">
      <c r="A212" s="617"/>
      <c r="B212" s="617"/>
      <c r="C212" s="617"/>
      <c r="D212" s="617"/>
      <c r="E212" s="617"/>
      <c r="F212" s="617"/>
      <c r="G212" s="617"/>
      <c r="H212" s="617"/>
      <c r="I212" s="617"/>
      <c r="J212" s="617"/>
      <c r="K212" s="617"/>
      <c r="L212" s="617"/>
      <c r="M212" s="617"/>
      <c r="N212" s="617"/>
      <c r="O212" s="617"/>
      <c r="P212" s="617"/>
      <c r="Q212" s="617"/>
      <c r="R212" s="617"/>
      <c r="S212" s="617"/>
      <c r="T212" s="617"/>
      <c r="U212" s="617"/>
      <c r="V212" s="617"/>
      <c r="W212" s="617"/>
      <c r="X212" s="617"/>
    </row>
    <row r="213" ht="18.75" customHeight="1">
      <c r="A213" s="617"/>
      <c r="B213" s="617"/>
      <c r="C213" s="617"/>
      <c r="D213" s="617"/>
      <c r="E213" s="617"/>
      <c r="F213" s="617"/>
      <c r="G213" s="617"/>
      <c r="H213" s="617"/>
      <c r="I213" s="617"/>
      <c r="J213" s="617"/>
      <c r="K213" s="617"/>
      <c r="L213" s="617"/>
      <c r="M213" s="617"/>
      <c r="N213" s="617"/>
      <c r="O213" s="617"/>
      <c r="P213" s="617"/>
      <c r="Q213" s="617"/>
      <c r="R213" s="617"/>
      <c r="S213" s="617"/>
      <c r="T213" s="617"/>
      <c r="U213" s="617"/>
      <c r="V213" s="617"/>
      <c r="W213" s="617"/>
      <c r="X213" s="617"/>
    </row>
    <row r="214" ht="18.75" customHeight="1">
      <c r="A214" s="617"/>
      <c r="B214" s="617"/>
      <c r="C214" s="617"/>
      <c r="D214" s="617"/>
      <c r="E214" s="617"/>
      <c r="F214" s="617"/>
      <c r="G214" s="617"/>
      <c r="H214" s="617"/>
      <c r="I214" s="617"/>
      <c r="J214" s="617"/>
      <c r="K214" s="617"/>
      <c r="L214" s="617"/>
      <c r="M214" s="617"/>
      <c r="N214" s="617"/>
      <c r="O214" s="617"/>
      <c r="P214" s="617"/>
      <c r="Q214" s="617"/>
      <c r="R214" s="617"/>
      <c r="S214" s="617"/>
      <c r="T214" s="617"/>
      <c r="U214" s="617"/>
      <c r="V214" s="617"/>
      <c r="W214" s="617"/>
      <c r="X214" s="617"/>
    </row>
    <row r="215" ht="18.75" customHeight="1">
      <c r="A215" s="617"/>
      <c r="B215" s="617"/>
      <c r="C215" s="617"/>
      <c r="D215" s="617"/>
      <c r="E215" s="617"/>
      <c r="F215" s="617"/>
      <c r="G215" s="617"/>
      <c r="H215" s="617"/>
      <c r="I215" s="617"/>
      <c r="J215" s="617"/>
      <c r="K215" s="617"/>
      <c r="L215" s="617"/>
      <c r="M215" s="617"/>
      <c r="N215" s="617"/>
      <c r="O215" s="617"/>
      <c r="P215" s="617"/>
      <c r="Q215" s="617"/>
      <c r="R215" s="617"/>
      <c r="S215" s="617"/>
      <c r="T215" s="617"/>
      <c r="U215" s="617"/>
      <c r="V215" s="617"/>
      <c r="W215" s="617"/>
      <c r="X215" s="617"/>
    </row>
    <row r="216" ht="18.75" customHeight="1">
      <c r="A216" s="617"/>
      <c r="B216" s="617"/>
      <c r="C216" s="617"/>
      <c r="D216" s="617"/>
      <c r="E216" s="617"/>
      <c r="F216" s="617"/>
      <c r="G216" s="617"/>
      <c r="H216" s="617"/>
      <c r="I216" s="617"/>
      <c r="J216" s="617"/>
      <c r="K216" s="617"/>
      <c r="L216" s="617"/>
      <c r="M216" s="617"/>
      <c r="N216" s="617"/>
      <c r="O216" s="617"/>
      <c r="P216" s="617"/>
      <c r="Q216" s="617"/>
      <c r="R216" s="617"/>
      <c r="S216" s="617"/>
      <c r="T216" s="617"/>
      <c r="U216" s="617"/>
      <c r="V216" s="617"/>
      <c r="W216" s="617"/>
      <c r="X216" s="617"/>
    </row>
    <row r="217" ht="18.75" customHeight="1">
      <c r="A217" s="617"/>
      <c r="B217" s="617"/>
      <c r="C217" s="617"/>
      <c r="D217" s="617"/>
      <c r="E217" s="617"/>
      <c r="F217" s="617"/>
      <c r="G217" s="617"/>
      <c r="H217" s="617"/>
      <c r="I217" s="617"/>
      <c r="J217" s="617"/>
      <c r="K217" s="617"/>
      <c r="L217" s="617"/>
      <c r="M217" s="617"/>
      <c r="N217" s="617"/>
      <c r="O217" s="617"/>
      <c r="P217" s="617"/>
      <c r="Q217" s="617"/>
      <c r="R217" s="617"/>
      <c r="S217" s="617"/>
      <c r="T217" s="617"/>
      <c r="U217" s="617"/>
      <c r="V217" s="617"/>
      <c r="W217" s="617"/>
      <c r="X217" s="617"/>
    </row>
    <row r="218" ht="18.75" customHeight="1">
      <c r="A218" s="617"/>
      <c r="B218" s="617"/>
      <c r="C218" s="617"/>
      <c r="D218" s="617"/>
      <c r="E218" s="617"/>
      <c r="F218" s="617"/>
      <c r="G218" s="617"/>
      <c r="H218" s="617"/>
      <c r="I218" s="617"/>
      <c r="J218" s="617"/>
      <c r="K218" s="617"/>
      <c r="L218" s="617"/>
      <c r="M218" s="617"/>
      <c r="N218" s="617"/>
      <c r="O218" s="617"/>
      <c r="P218" s="617"/>
      <c r="Q218" s="617"/>
      <c r="R218" s="617"/>
      <c r="S218" s="617"/>
      <c r="T218" s="617"/>
      <c r="U218" s="617"/>
      <c r="V218" s="617"/>
      <c r="W218" s="617"/>
      <c r="X218" s="617"/>
    </row>
    <row r="219" ht="18.75" customHeight="1">
      <c r="A219" s="617"/>
      <c r="B219" s="617"/>
      <c r="C219" s="617"/>
      <c r="D219" s="617"/>
      <c r="E219" s="617"/>
      <c r="F219" s="617"/>
      <c r="G219" s="617"/>
      <c r="H219" s="617"/>
      <c r="I219" s="617"/>
      <c r="J219" s="617"/>
      <c r="K219" s="617"/>
      <c r="L219" s="617"/>
      <c r="M219" s="617"/>
      <c r="N219" s="617"/>
      <c r="O219" s="617"/>
      <c r="P219" s="617"/>
      <c r="Q219" s="617"/>
      <c r="R219" s="617"/>
      <c r="S219" s="617"/>
      <c r="T219" s="617"/>
      <c r="U219" s="617"/>
      <c r="V219" s="617"/>
      <c r="W219" s="617"/>
      <c r="X219" s="617"/>
    </row>
    <row r="220" ht="18.75" customHeight="1">
      <c r="A220" s="617"/>
      <c r="B220" s="617"/>
      <c r="C220" s="617"/>
      <c r="D220" s="617"/>
      <c r="E220" s="617"/>
      <c r="F220" s="617"/>
      <c r="G220" s="617"/>
      <c r="H220" s="617"/>
      <c r="I220" s="617"/>
      <c r="J220" s="617"/>
      <c r="K220" s="617"/>
      <c r="L220" s="617"/>
      <c r="M220" s="617"/>
      <c r="N220" s="617"/>
      <c r="O220" s="617"/>
      <c r="P220" s="617"/>
      <c r="Q220" s="617"/>
      <c r="R220" s="617"/>
      <c r="S220" s="617"/>
      <c r="T220" s="617"/>
      <c r="U220" s="617"/>
      <c r="V220" s="617"/>
      <c r="W220" s="617"/>
      <c r="X220" s="617"/>
    </row>
    <row r="221" ht="18.75" customHeight="1">
      <c r="A221" s="617"/>
      <c r="B221" s="617"/>
      <c r="C221" s="617"/>
      <c r="D221" s="617"/>
      <c r="E221" s="617"/>
      <c r="F221" s="617"/>
      <c r="G221" s="617"/>
      <c r="H221" s="617"/>
      <c r="I221" s="617"/>
      <c r="J221" s="617"/>
      <c r="K221" s="617"/>
      <c r="L221" s="617"/>
      <c r="M221" s="617"/>
      <c r="N221" s="617"/>
      <c r="O221" s="617"/>
      <c r="P221" s="617"/>
      <c r="Q221" s="617"/>
      <c r="R221" s="617"/>
      <c r="S221" s="617"/>
      <c r="T221" s="617"/>
      <c r="U221" s="617"/>
      <c r="V221" s="617"/>
      <c r="W221" s="617"/>
      <c r="X221" s="617"/>
    </row>
    <row r="222" ht="18.75" customHeight="1">
      <c r="A222" s="617"/>
      <c r="B222" s="617"/>
      <c r="C222" s="617"/>
      <c r="D222" s="617"/>
      <c r="E222" s="617"/>
      <c r="F222" s="617"/>
      <c r="G222" s="617"/>
      <c r="H222" s="617"/>
      <c r="I222" s="617"/>
      <c r="J222" s="617"/>
      <c r="K222" s="617"/>
      <c r="L222" s="617"/>
      <c r="M222" s="617"/>
      <c r="N222" s="617"/>
      <c r="O222" s="617"/>
      <c r="P222" s="617"/>
      <c r="Q222" s="617"/>
      <c r="R222" s="617"/>
      <c r="S222" s="617"/>
      <c r="T222" s="617"/>
      <c r="U222" s="617"/>
      <c r="V222" s="617"/>
      <c r="W222" s="617"/>
      <c r="X222" s="617"/>
    </row>
    <row r="223" ht="18.75" customHeight="1">
      <c r="A223" s="617"/>
      <c r="B223" s="617"/>
      <c r="C223" s="617"/>
      <c r="D223" s="617"/>
      <c r="E223" s="617"/>
      <c r="F223" s="617"/>
      <c r="G223" s="617"/>
      <c r="H223" s="617"/>
      <c r="I223" s="617"/>
      <c r="J223" s="617"/>
      <c r="K223" s="617"/>
      <c r="L223" s="617"/>
      <c r="M223" s="617"/>
      <c r="N223" s="617"/>
      <c r="O223" s="617"/>
      <c r="P223" s="617"/>
      <c r="Q223" s="617"/>
      <c r="R223" s="617"/>
      <c r="S223" s="617"/>
      <c r="T223" s="617"/>
      <c r="U223" s="617"/>
      <c r="V223" s="617"/>
      <c r="W223" s="617"/>
      <c r="X223" s="617"/>
    </row>
    <row r="224" ht="18.75" customHeight="1">
      <c r="A224" s="617"/>
      <c r="B224" s="617"/>
      <c r="C224" s="617"/>
      <c r="D224" s="617"/>
      <c r="E224" s="617"/>
      <c r="F224" s="617"/>
      <c r="G224" s="617"/>
      <c r="H224" s="617"/>
      <c r="I224" s="617"/>
      <c r="J224" s="617"/>
      <c r="K224" s="617"/>
      <c r="L224" s="617"/>
      <c r="M224" s="617"/>
      <c r="N224" s="617"/>
      <c r="O224" s="617"/>
      <c r="P224" s="617"/>
      <c r="Q224" s="617"/>
      <c r="R224" s="617"/>
      <c r="S224" s="617"/>
      <c r="T224" s="617"/>
      <c r="U224" s="617"/>
      <c r="V224" s="617"/>
      <c r="W224" s="617"/>
      <c r="X224" s="617"/>
    </row>
    <row r="225" ht="18.75" customHeight="1">
      <c r="A225" s="617"/>
      <c r="B225" s="617"/>
      <c r="C225" s="617"/>
      <c r="D225" s="617"/>
      <c r="E225" s="617"/>
      <c r="F225" s="617"/>
      <c r="G225" s="617"/>
      <c r="H225" s="617"/>
      <c r="I225" s="617"/>
      <c r="J225" s="617"/>
      <c r="K225" s="617"/>
      <c r="L225" s="617"/>
      <c r="M225" s="617"/>
      <c r="N225" s="617"/>
      <c r="O225" s="617"/>
      <c r="P225" s="617"/>
      <c r="Q225" s="617"/>
      <c r="R225" s="617"/>
      <c r="S225" s="617"/>
      <c r="T225" s="617"/>
      <c r="U225" s="617"/>
      <c r="V225" s="617"/>
      <c r="W225" s="617"/>
      <c r="X225" s="617"/>
    </row>
    <row r="226" ht="18.75" customHeight="1">
      <c r="A226" s="617"/>
      <c r="B226" s="617"/>
      <c r="C226" s="617"/>
      <c r="D226" s="617"/>
      <c r="E226" s="617"/>
      <c r="F226" s="617"/>
      <c r="G226" s="617"/>
      <c r="H226" s="617"/>
      <c r="I226" s="617"/>
      <c r="J226" s="617"/>
      <c r="K226" s="617"/>
      <c r="L226" s="617"/>
      <c r="M226" s="617"/>
      <c r="N226" s="617"/>
      <c r="O226" s="617"/>
      <c r="P226" s="617"/>
      <c r="Q226" s="617"/>
      <c r="R226" s="617"/>
      <c r="S226" s="617"/>
      <c r="T226" s="617"/>
      <c r="U226" s="617"/>
      <c r="V226" s="617"/>
      <c r="W226" s="617"/>
      <c r="X226" s="617"/>
    </row>
    <row r="227" ht="18.75" customHeight="1">
      <c r="A227" s="617"/>
      <c r="B227" s="617"/>
      <c r="C227" s="617"/>
      <c r="D227" s="617"/>
      <c r="E227" s="617"/>
      <c r="F227" s="617"/>
      <c r="G227" s="617"/>
      <c r="H227" s="617"/>
      <c r="I227" s="617"/>
      <c r="J227" s="617"/>
      <c r="K227" s="617"/>
      <c r="L227" s="617"/>
      <c r="M227" s="617"/>
      <c r="N227" s="617"/>
      <c r="O227" s="617"/>
      <c r="P227" s="617"/>
      <c r="Q227" s="617"/>
      <c r="R227" s="617"/>
      <c r="S227" s="617"/>
      <c r="T227" s="617"/>
      <c r="U227" s="617"/>
      <c r="V227" s="617"/>
      <c r="W227" s="617"/>
      <c r="X227" s="617"/>
    </row>
    <row r="228" ht="18.75" customHeight="1">
      <c r="A228" s="617"/>
      <c r="B228" s="617"/>
      <c r="C228" s="617"/>
      <c r="D228" s="617"/>
      <c r="E228" s="617"/>
      <c r="F228" s="617"/>
      <c r="G228" s="617"/>
      <c r="H228" s="617"/>
      <c r="I228" s="617"/>
      <c r="J228" s="617"/>
      <c r="K228" s="617"/>
      <c r="L228" s="617"/>
      <c r="M228" s="617"/>
      <c r="N228" s="617"/>
      <c r="O228" s="617"/>
      <c r="P228" s="617"/>
      <c r="Q228" s="617"/>
      <c r="R228" s="617"/>
      <c r="S228" s="617"/>
      <c r="T228" s="617"/>
      <c r="U228" s="617"/>
      <c r="V228" s="617"/>
      <c r="W228" s="617"/>
      <c r="X228" s="617"/>
    </row>
    <row r="229" ht="18.75" customHeight="1">
      <c r="A229" s="617"/>
      <c r="B229" s="617"/>
      <c r="C229" s="617"/>
      <c r="D229" s="617"/>
      <c r="E229" s="617"/>
      <c r="F229" s="617"/>
      <c r="G229" s="617"/>
      <c r="H229" s="617"/>
      <c r="I229" s="617"/>
      <c r="J229" s="617"/>
      <c r="K229" s="617"/>
      <c r="L229" s="617"/>
      <c r="M229" s="617"/>
      <c r="N229" s="617"/>
      <c r="O229" s="617"/>
      <c r="P229" s="617"/>
      <c r="Q229" s="617"/>
      <c r="R229" s="617"/>
      <c r="S229" s="617"/>
      <c r="T229" s="617"/>
      <c r="U229" s="617"/>
      <c r="V229" s="617"/>
      <c r="W229" s="617"/>
      <c r="X229" s="617"/>
    </row>
    <row r="230" ht="18.75" customHeight="1">
      <c r="A230" s="617"/>
      <c r="B230" s="617"/>
      <c r="C230" s="617"/>
      <c r="D230" s="617"/>
      <c r="E230" s="617"/>
      <c r="F230" s="617"/>
      <c r="G230" s="617"/>
      <c r="H230" s="617"/>
      <c r="I230" s="617"/>
      <c r="J230" s="617"/>
      <c r="K230" s="617"/>
      <c r="L230" s="617"/>
      <c r="M230" s="617"/>
      <c r="N230" s="617"/>
      <c r="O230" s="617"/>
      <c r="P230" s="617"/>
      <c r="Q230" s="617"/>
      <c r="R230" s="617"/>
      <c r="S230" s="617"/>
      <c r="T230" s="617"/>
      <c r="U230" s="617"/>
      <c r="V230" s="617"/>
      <c r="W230" s="617"/>
      <c r="X230" s="617"/>
    </row>
    <row r="231" ht="18.75" customHeight="1">
      <c r="A231" s="617"/>
      <c r="B231" s="617"/>
      <c r="C231" s="617"/>
      <c r="D231" s="617"/>
      <c r="E231" s="617"/>
      <c r="F231" s="617"/>
      <c r="G231" s="617"/>
      <c r="H231" s="617"/>
      <c r="I231" s="617"/>
      <c r="J231" s="617"/>
      <c r="K231" s="617"/>
      <c r="L231" s="617"/>
      <c r="M231" s="617"/>
      <c r="N231" s="617"/>
      <c r="O231" s="617"/>
      <c r="P231" s="617"/>
      <c r="Q231" s="617"/>
      <c r="R231" s="617"/>
      <c r="S231" s="617"/>
      <c r="T231" s="617"/>
      <c r="U231" s="617"/>
      <c r="V231" s="617"/>
      <c r="W231" s="617"/>
      <c r="X231" s="617"/>
    </row>
    <row r="232" ht="18.75" customHeight="1">
      <c r="A232" s="617"/>
      <c r="B232" s="617"/>
      <c r="C232" s="617"/>
      <c r="D232" s="617"/>
      <c r="E232" s="617"/>
      <c r="F232" s="617"/>
      <c r="G232" s="617"/>
      <c r="H232" s="617"/>
      <c r="I232" s="617"/>
      <c r="J232" s="617"/>
      <c r="K232" s="617"/>
      <c r="L232" s="617"/>
      <c r="M232" s="617"/>
      <c r="N232" s="617"/>
      <c r="O232" s="617"/>
      <c r="P232" s="617"/>
      <c r="Q232" s="617"/>
      <c r="R232" s="617"/>
      <c r="S232" s="617"/>
      <c r="T232" s="617"/>
      <c r="U232" s="617"/>
      <c r="V232" s="617"/>
      <c r="W232" s="617"/>
      <c r="X232" s="617"/>
    </row>
    <row r="233" ht="18.75" customHeight="1">
      <c r="A233" s="617"/>
      <c r="B233" s="617"/>
      <c r="C233" s="617"/>
      <c r="D233" s="617"/>
      <c r="E233" s="617"/>
      <c r="F233" s="617"/>
      <c r="G233" s="617"/>
      <c r="H233" s="617"/>
      <c r="I233" s="617"/>
      <c r="J233" s="617"/>
      <c r="K233" s="617"/>
      <c r="L233" s="617"/>
      <c r="M233" s="617"/>
      <c r="N233" s="617"/>
      <c r="O233" s="617"/>
      <c r="P233" s="617"/>
      <c r="Q233" s="617"/>
      <c r="R233" s="617"/>
      <c r="S233" s="617"/>
      <c r="T233" s="617"/>
      <c r="U233" s="617"/>
      <c r="V233" s="617"/>
      <c r="W233" s="617"/>
      <c r="X233" s="617"/>
    </row>
    <row r="234" ht="18.75" customHeight="1">
      <c r="A234" s="617"/>
      <c r="B234" s="617"/>
      <c r="C234" s="617"/>
      <c r="D234" s="617"/>
      <c r="E234" s="617"/>
      <c r="F234" s="617"/>
      <c r="G234" s="617"/>
      <c r="H234" s="617"/>
      <c r="I234" s="617"/>
      <c r="J234" s="617"/>
      <c r="K234" s="617"/>
      <c r="L234" s="617"/>
      <c r="M234" s="617"/>
      <c r="N234" s="617"/>
      <c r="O234" s="617"/>
      <c r="P234" s="617"/>
      <c r="Q234" s="617"/>
      <c r="R234" s="617"/>
      <c r="S234" s="617"/>
      <c r="T234" s="617"/>
      <c r="U234" s="617"/>
      <c r="V234" s="617"/>
      <c r="W234" s="617"/>
      <c r="X234" s="617"/>
    </row>
    <row r="235" ht="18.75" customHeight="1">
      <c r="A235" s="617"/>
      <c r="B235" s="617"/>
      <c r="C235" s="617"/>
      <c r="D235" s="617"/>
      <c r="E235" s="617"/>
      <c r="F235" s="617"/>
      <c r="G235" s="617"/>
      <c r="H235" s="617"/>
      <c r="I235" s="617"/>
      <c r="J235" s="617"/>
      <c r="K235" s="617"/>
      <c r="L235" s="617"/>
      <c r="M235" s="617"/>
      <c r="N235" s="617"/>
      <c r="O235" s="617"/>
      <c r="P235" s="617"/>
      <c r="Q235" s="617"/>
      <c r="R235" s="617"/>
      <c r="S235" s="617"/>
      <c r="T235" s="617"/>
      <c r="U235" s="617"/>
      <c r="V235" s="617"/>
      <c r="W235" s="617"/>
      <c r="X235" s="617"/>
    </row>
    <row r="236" ht="18.75" customHeight="1">
      <c r="A236" s="617"/>
      <c r="B236" s="617"/>
      <c r="C236" s="617"/>
      <c r="D236" s="617"/>
      <c r="E236" s="617"/>
      <c r="F236" s="617"/>
      <c r="G236" s="617"/>
      <c r="H236" s="617"/>
      <c r="I236" s="617"/>
      <c r="J236" s="617"/>
      <c r="K236" s="617"/>
      <c r="L236" s="617"/>
      <c r="M236" s="617"/>
      <c r="N236" s="617"/>
      <c r="O236" s="617"/>
      <c r="P236" s="617"/>
      <c r="Q236" s="617"/>
      <c r="R236" s="617"/>
      <c r="S236" s="617"/>
      <c r="T236" s="617"/>
      <c r="U236" s="617"/>
      <c r="V236" s="617"/>
      <c r="W236" s="617"/>
      <c r="X236" s="617"/>
    </row>
    <row r="237" ht="18.75" customHeight="1">
      <c r="A237" s="617"/>
      <c r="B237" s="617"/>
      <c r="C237" s="617"/>
      <c r="D237" s="617"/>
      <c r="E237" s="617"/>
      <c r="F237" s="617"/>
      <c r="G237" s="617"/>
      <c r="H237" s="617"/>
      <c r="I237" s="617"/>
      <c r="J237" s="617"/>
      <c r="K237" s="617"/>
      <c r="L237" s="617"/>
      <c r="M237" s="617"/>
      <c r="N237" s="617"/>
      <c r="O237" s="617"/>
      <c r="P237" s="617"/>
      <c r="Q237" s="617"/>
      <c r="R237" s="617"/>
      <c r="S237" s="617"/>
      <c r="T237" s="617"/>
      <c r="U237" s="617"/>
      <c r="V237" s="617"/>
      <c r="W237" s="617"/>
      <c r="X237" s="617"/>
    </row>
    <row r="238" ht="18.75" customHeight="1">
      <c r="A238" s="617"/>
      <c r="B238" s="617"/>
      <c r="C238" s="617"/>
      <c r="D238" s="617"/>
      <c r="E238" s="617"/>
      <c r="F238" s="617"/>
      <c r="G238" s="617"/>
      <c r="H238" s="617"/>
      <c r="I238" s="617"/>
      <c r="J238" s="617"/>
      <c r="K238" s="617"/>
      <c r="L238" s="617"/>
      <c r="M238" s="617"/>
      <c r="N238" s="617"/>
      <c r="O238" s="617"/>
      <c r="P238" s="617"/>
      <c r="Q238" s="617"/>
      <c r="R238" s="617"/>
      <c r="S238" s="617"/>
      <c r="T238" s="617"/>
      <c r="U238" s="617"/>
      <c r="V238" s="617"/>
      <c r="W238" s="617"/>
      <c r="X238" s="617"/>
    </row>
    <row r="239" ht="18.75" customHeight="1">
      <c r="A239" s="617"/>
      <c r="B239" s="617"/>
      <c r="C239" s="617"/>
      <c r="D239" s="617"/>
      <c r="E239" s="617"/>
      <c r="F239" s="617"/>
      <c r="G239" s="617"/>
      <c r="H239" s="617"/>
      <c r="I239" s="617"/>
      <c r="J239" s="617"/>
      <c r="K239" s="617"/>
      <c r="L239" s="617"/>
      <c r="M239" s="617"/>
      <c r="N239" s="617"/>
      <c r="O239" s="617"/>
      <c r="P239" s="617"/>
      <c r="Q239" s="617"/>
      <c r="R239" s="617"/>
      <c r="S239" s="617"/>
      <c r="T239" s="617"/>
      <c r="U239" s="617"/>
      <c r="V239" s="617"/>
      <c r="W239" s="617"/>
      <c r="X239" s="617"/>
    </row>
    <row r="240" ht="18.75" customHeight="1">
      <c r="A240" s="617"/>
      <c r="B240" s="617"/>
      <c r="C240" s="617"/>
      <c r="D240" s="617"/>
      <c r="E240" s="617"/>
      <c r="F240" s="617"/>
      <c r="G240" s="617"/>
      <c r="H240" s="617"/>
      <c r="I240" s="617"/>
      <c r="J240" s="617"/>
      <c r="K240" s="617"/>
      <c r="L240" s="617"/>
      <c r="M240" s="617"/>
      <c r="N240" s="617"/>
      <c r="O240" s="617"/>
      <c r="P240" s="617"/>
      <c r="Q240" s="617"/>
      <c r="R240" s="617"/>
      <c r="S240" s="617"/>
      <c r="T240" s="617"/>
      <c r="U240" s="617"/>
      <c r="V240" s="617"/>
      <c r="W240" s="617"/>
      <c r="X240" s="617"/>
    </row>
    <row r="241" ht="18.75" customHeight="1">
      <c r="A241" s="617"/>
      <c r="B241" s="617"/>
      <c r="C241" s="617"/>
      <c r="D241" s="617"/>
      <c r="E241" s="617"/>
      <c r="F241" s="617"/>
      <c r="G241" s="617"/>
      <c r="H241" s="617"/>
      <c r="I241" s="617"/>
      <c r="J241" s="617"/>
      <c r="K241" s="617"/>
      <c r="L241" s="617"/>
      <c r="M241" s="617"/>
      <c r="N241" s="617"/>
      <c r="O241" s="617"/>
      <c r="P241" s="617"/>
      <c r="Q241" s="617"/>
      <c r="R241" s="617"/>
      <c r="S241" s="617"/>
      <c r="T241" s="617"/>
      <c r="U241" s="617"/>
      <c r="V241" s="617"/>
      <c r="W241" s="617"/>
      <c r="X241" s="617"/>
    </row>
    <row r="242" ht="18.75" customHeight="1">
      <c r="A242" s="617"/>
      <c r="B242" s="617"/>
      <c r="C242" s="617"/>
      <c r="D242" s="617"/>
      <c r="E242" s="617"/>
      <c r="F242" s="617"/>
      <c r="G242" s="617"/>
      <c r="H242" s="617"/>
      <c r="I242" s="617"/>
      <c r="J242" s="617"/>
      <c r="K242" s="617"/>
      <c r="L242" s="617"/>
      <c r="M242" s="617"/>
      <c r="N242" s="617"/>
      <c r="O242" s="617"/>
      <c r="P242" s="617"/>
      <c r="Q242" s="617"/>
      <c r="R242" s="617"/>
      <c r="S242" s="617"/>
      <c r="T242" s="617"/>
      <c r="U242" s="617"/>
      <c r="V242" s="617"/>
      <c r="W242" s="617"/>
      <c r="X242" s="617"/>
    </row>
    <row r="243" ht="18.75" customHeight="1">
      <c r="A243" s="617"/>
      <c r="B243" s="617"/>
      <c r="C243" s="617"/>
      <c r="D243" s="617"/>
      <c r="E243" s="617"/>
      <c r="F243" s="617"/>
      <c r="G243" s="617"/>
      <c r="H243" s="617"/>
      <c r="I243" s="617"/>
      <c r="J243" s="617"/>
      <c r="K243" s="617"/>
      <c r="L243" s="617"/>
      <c r="M243" s="617"/>
      <c r="N243" s="617"/>
      <c r="O243" s="617"/>
      <c r="P243" s="617"/>
      <c r="Q243" s="617"/>
      <c r="R243" s="617"/>
      <c r="S243" s="617"/>
      <c r="T243" s="617"/>
      <c r="U243" s="617"/>
      <c r="V243" s="617"/>
      <c r="W243" s="617"/>
      <c r="X243" s="617"/>
    </row>
    <row r="244" ht="18.75" customHeight="1">
      <c r="A244" s="617"/>
      <c r="B244" s="617"/>
      <c r="C244" s="617"/>
      <c r="D244" s="617"/>
      <c r="E244" s="617"/>
      <c r="F244" s="617"/>
      <c r="G244" s="617"/>
      <c r="H244" s="617"/>
      <c r="I244" s="617"/>
      <c r="J244" s="617"/>
      <c r="K244" s="617"/>
      <c r="L244" s="617"/>
      <c r="M244" s="617"/>
      <c r="N244" s="617"/>
      <c r="O244" s="617"/>
      <c r="P244" s="617"/>
      <c r="Q244" s="617"/>
      <c r="R244" s="617"/>
      <c r="S244" s="617"/>
      <c r="T244" s="617"/>
      <c r="U244" s="617"/>
      <c r="V244" s="617"/>
      <c r="W244" s="617"/>
      <c r="X244" s="617"/>
    </row>
    <row r="245" ht="18.75" customHeight="1">
      <c r="A245" s="617"/>
      <c r="B245" s="617"/>
      <c r="C245" s="617"/>
      <c r="D245" s="617"/>
      <c r="E245" s="617"/>
      <c r="F245" s="617"/>
      <c r="G245" s="617"/>
      <c r="H245" s="617"/>
      <c r="I245" s="617"/>
      <c r="J245" s="617"/>
      <c r="K245" s="617"/>
      <c r="L245" s="617"/>
      <c r="M245" s="617"/>
      <c r="N245" s="617"/>
      <c r="O245" s="617"/>
      <c r="P245" s="617"/>
      <c r="Q245" s="617"/>
      <c r="R245" s="617"/>
      <c r="S245" s="617"/>
      <c r="T245" s="617"/>
      <c r="U245" s="617"/>
      <c r="V245" s="617"/>
      <c r="W245" s="617"/>
      <c r="X245" s="617"/>
    </row>
    <row r="246" ht="18.75" customHeight="1">
      <c r="A246" s="617"/>
      <c r="B246" s="617"/>
      <c r="C246" s="617"/>
      <c r="D246" s="617"/>
      <c r="E246" s="617"/>
      <c r="F246" s="617"/>
      <c r="G246" s="617"/>
      <c r="H246" s="617"/>
      <c r="I246" s="617"/>
      <c r="J246" s="617"/>
      <c r="K246" s="617"/>
      <c r="L246" s="617"/>
      <c r="M246" s="617"/>
      <c r="N246" s="617"/>
      <c r="O246" s="617"/>
      <c r="P246" s="617"/>
      <c r="Q246" s="617"/>
      <c r="R246" s="617"/>
      <c r="S246" s="617"/>
      <c r="T246" s="617"/>
      <c r="U246" s="617"/>
      <c r="V246" s="617"/>
      <c r="W246" s="617"/>
      <c r="X246" s="617"/>
    </row>
    <row r="247" ht="18.75" customHeight="1">
      <c r="A247" s="617"/>
      <c r="B247" s="617"/>
      <c r="C247" s="617"/>
      <c r="D247" s="617"/>
      <c r="E247" s="617"/>
      <c r="F247" s="617"/>
      <c r="G247" s="617"/>
      <c r="H247" s="617"/>
      <c r="I247" s="617"/>
      <c r="J247" s="617"/>
      <c r="K247" s="617"/>
      <c r="L247" s="617"/>
      <c r="M247" s="617"/>
      <c r="N247" s="617"/>
      <c r="O247" s="617"/>
      <c r="P247" s="617"/>
      <c r="Q247" s="617"/>
      <c r="R247" s="617"/>
      <c r="S247" s="617"/>
      <c r="T247" s="617"/>
      <c r="U247" s="617"/>
      <c r="V247" s="617"/>
      <c r="W247" s="617"/>
      <c r="X247" s="617"/>
    </row>
    <row r="248" ht="18.75" customHeight="1">
      <c r="A248" s="617"/>
      <c r="B248" s="617"/>
      <c r="C248" s="617"/>
      <c r="D248" s="617"/>
      <c r="E248" s="617"/>
      <c r="F248" s="617"/>
      <c r="G248" s="617"/>
      <c r="H248" s="617"/>
      <c r="I248" s="617"/>
      <c r="J248" s="617"/>
      <c r="K248" s="617"/>
      <c r="L248" s="617"/>
      <c r="M248" s="617"/>
      <c r="N248" s="617"/>
      <c r="O248" s="617"/>
      <c r="P248" s="617"/>
      <c r="Q248" s="617"/>
      <c r="R248" s="617"/>
      <c r="S248" s="617"/>
      <c r="T248" s="617"/>
      <c r="U248" s="617"/>
      <c r="V248" s="617"/>
      <c r="W248" s="617"/>
      <c r="X248" s="617"/>
    </row>
    <row r="249" ht="18.75" customHeight="1">
      <c r="A249" s="617"/>
      <c r="B249" s="617"/>
      <c r="C249" s="617"/>
      <c r="D249" s="617"/>
      <c r="E249" s="617"/>
      <c r="F249" s="617"/>
      <c r="G249" s="617"/>
      <c r="H249" s="617"/>
      <c r="I249" s="617"/>
      <c r="J249" s="617"/>
      <c r="K249" s="617"/>
      <c r="L249" s="617"/>
      <c r="M249" s="617"/>
      <c r="N249" s="617"/>
      <c r="O249" s="617"/>
      <c r="P249" s="617"/>
      <c r="Q249" s="617"/>
      <c r="R249" s="617"/>
      <c r="S249" s="617"/>
      <c r="T249" s="617"/>
      <c r="U249" s="617"/>
      <c r="V249" s="617"/>
      <c r="W249" s="617"/>
      <c r="X249" s="617"/>
    </row>
    <row r="250" ht="18.75" customHeight="1">
      <c r="A250" s="617"/>
      <c r="B250" s="617"/>
      <c r="C250" s="617"/>
      <c r="D250" s="617"/>
      <c r="E250" s="617"/>
      <c r="F250" s="617"/>
      <c r="G250" s="617"/>
      <c r="H250" s="617"/>
      <c r="I250" s="617"/>
      <c r="J250" s="617"/>
      <c r="K250" s="617"/>
      <c r="L250" s="617"/>
      <c r="M250" s="617"/>
      <c r="N250" s="617"/>
      <c r="O250" s="617"/>
      <c r="P250" s="617"/>
      <c r="Q250" s="617"/>
      <c r="R250" s="617"/>
      <c r="S250" s="617"/>
      <c r="T250" s="617"/>
      <c r="U250" s="617"/>
      <c r="V250" s="617"/>
      <c r="W250" s="617"/>
      <c r="X250" s="617"/>
    </row>
    <row r="251" ht="18.75" customHeight="1">
      <c r="A251" s="617"/>
      <c r="B251" s="617"/>
      <c r="C251" s="617"/>
      <c r="D251" s="617"/>
      <c r="E251" s="617"/>
      <c r="F251" s="617"/>
      <c r="G251" s="617"/>
      <c r="H251" s="617"/>
      <c r="I251" s="617"/>
      <c r="J251" s="617"/>
      <c r="K251" s="617"/>
      <c r="L251" s="617"/>
      <c r="M251" s="617"/>
      <c r="N251" s="617"/>
      <c r="O251" s="617"/>
      <c r="P251" s="617"/>
      <c r="Q251" s="617"/>
      <c r="R251" s="617"/>
      <c r="S251" s="617"/>
      <c r="T251" s="617"/>
      <c r="U251" s="617"/>
      <c r="V251" s="617"/>
      <c r="W251" s="617"/>
      <c r="X251" s="617"/>
    </row>
    <row r="252" ht="18.75" customHeight="1">
      <c r="A252" s="617"/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17"/>
      <c r="P252" s="617"/>
      <c r="Q252" s="617"/>
      <c r="R252" s="617"/>
      <c r="S252" s="617"/>
      <c r="T252" s="617"/>
      <c r="U252" s="617"/>
      <c r="V252" s="617"/>
      <c r="W252" s="617"/>
      <c r="X252" s="617"/>
    </row>
    <row r="253" ht="18.75" customHeight="1">
      <c r="A253" s="617"/>
      <c r="B253" s="617"/>
      <c r="C253" s="617"/>
      <c r="D253" s="617"/>
      <c r="E253" s="617"/>
      <c r="F253" s="617"/>
      <c r="G253" s="617"/>
      <c r="H253" s="617"/>
      <c r="I253" s="617"/>
      <c r="J253" s="617"/>
      <c r="K253" s="617"/>
      <c r="L253" s="617"/>
      <c r="M253" s="617"/>
      <c r="N253" s="617"/>
      <c r="O253" s="617"/>
      <c r="P253" s="617"/>
      <c r="Q253" s="617"/>
      <c r="R253" s="617"/>
      <c r="S253" s="617"/>
      <c r="T253" s="617"/>
      <c r="U253" s="617"/>
      <c r="V253" s="617"/>
      <c r="W253" s="617"/>
      <c r="X253" s="617"/>
    </row>
    <row r="254" ht="18.75" customHeight="1">
      <c r="A254" s="617"/>
      <c r="B254" s="617"/>
      <c r="C254" s="617"/>
      <c r="D254" s="617"/>
      <c r="E254" s="617"/>
      <c r="F254" s="617"/>
      <c r="G254" s="617"/>
      <c r="H254" s="617"/>
      <c r="I254" s="617"/>
      <c r="J254" s="617"/>
      <c r="K254" s="617"/>
      <c r="L254" s="617"/>
      <c r="M254" s="617"/>
      <c r="N254" s="617"/>
      <c r="O254" s="617"/>
      <c r="P254" s="617"/>
      <c r="Q254" s="617"/>
      <c r="R254" s="617"/>
      <c r="S254" s="617"/>
      <c r="T254" s="617"/>
      <c r="U254" s="617"/>
      <c r="V254" s="617"/>
      <c r="W254" s="617"/>
      <c r="X254" s="617"/>
    </row>
    <row r="255" ht="18.75" customHeight="1">
      <c r="A255" s="617"/>
      <c r="B255" s="617"/>
      <c r="C255" s="617"/>
      <c r="D255" s="617"/>
      <c r="E255" s="617"/>
      <c r="F255" s="617"/>
      <c r="G255" s="617"/>
      <c r="H255" s="617"/>
      <c r="I255" s="617"/>
      <c r="J255" s="617"/>
      <c r="K255" s="617"/>
      <c r="L255" s="617"/>
      <c r="M255" s="617"/>
      <c r="N255" s="617"/>
      <c r="O255" s="617"/>
      <c r="P255" s="617"/>
      <c r="Q255" s="617"/>
      <c r="R255" s="617"/>
      <c r="S255" s="617"/>
      <c r="T255" s="617"/>
      <c r="U255" s="617"/>
      <c r="V255" s="617"/>
      <c r="W255" s="617"/>
      <c r="X255" s="617"/>
    </row>
    <row r="256" ht="18.75" customHeight="1">
      <c r="A256" s="617"/>
      <c r="B256" s="617"/>
      <c r="C256" s="617"/>
      <c r="D256" s="617"/>
      <c r="E256" s="617"/>
      <c r="F256" s="617"/>
      <c r="G256" s="617"/>
      <c r="H256" s="617"/>
      <c r="I256" s="617"/>
      <c r="J256" s="617"/>
      <c r="K256" s="617"/>
      <c r="L256" s="617"/>
      <c r="M256" s="617"/>
      <c r="N256" s="617"/>
      <c r="O256" s="617"/>
      <c r="P256" s="617"/>
      <c r="Q256" s="617"/>
      <c r="R256" s="617"/>
      <c r="S256" s="617"/>
      <c r="T256" s="617"/>
      <c r="U256" s="617"/>
      <c r="V256" s="617"/>
      <c r="W256" s="617"/>
      <c r="X256" s="617"/>
    </row>
    <row r="257" ht="18.75" customHeight="1">
      <c r="A257" s="617"/>
      <c r="B257" s="617"/>
      <c r="C257" s="617"/>
      <c r="D257" s="617"/>
      <c r="E257" s="617"/>
      <c r="F257" s="617"/>
      <c r="G257" s="617"/>
      <c r="H257" s="617"/>
      <c r="I257" s="617"/>
      <c r="J257" s="617"/>
      <c r="K257" s="617"/>
      <c r="L257" s="617"/>
      <c r="M257" s="617"/>
      <c r="N257" s="617"/>
      <c r="O257" s="617"/>
      <c r="P257" s="617"/>
      <c r="Q257" s="617"/>
      <c r="R257" s="617"/>
      <c r="S257" s="617"/>
      <c r="T257" s="617"/>
      <c r="U257" s="617"/>
      <c r="V257" s="617"/>
      <c r="W257" s="617"/>
      <c r="X257" s="617"/>
    </row>
    <row r="258" ht="18.75" customHeight="1">
      <c r="A258" s="617"/>
      <c r="B258" s="617"/>
      <c r="C258" s="617"/>
      <c r="D258" s="617"/>
      <c r="E258" s="617"/>
      <c r="F258" s="617"/>
      <c r="G258" s="617"/>
      <c r="H258" s="617"/>
      <c r="I258" s="617"/>
      <c r="J258" s="617"/>
      <c r="K258" s="617"/>
      <c r="L258" s="617"/>
      <c r="M258" s="617"/>
      <c r="N258" s="617"/>
      <c r="O258" s="617"/>
      <c r="P258" s="617"/>
      <c r="Q258" s="617"/>
      <c r="R258" s="617"/>
      <c r="S258" s="617"/>
      <c r="T258" s="617"/>
      <c r="U258" s="617"/>
      <c r="V258" s="617"/>
      <c r="W258" s="617"/>
      <c r="X258" s="617"/>
    </row>
    <row r="259" ht="18.75" customHeight="1">
      <c r="A259" s="617"/>
      <c r="B259" s="617"/>
      <c r="C259" s="617"/>
      <c r="D259" s="617"/>
      <c r="E259" s="617"/>
      <c r="F259" s="617"/>
      <c r="G259" s="617"/>
      <c r="H259" s="617"/>
      <c r="I259" s="617"/>
      <c r="J259" s="617"/>
      <c r="K259" s="617"/>
      <c r="L259" s="617"/>
      <c r="M259" s="617"/>
      <c r="N259" s="617"/>
      <c r="O259" s="617"/>
      <c r="P259" s="617"/>
      <c r="Q259" s="617"/>
      <c r="R259" s="617"/>
      <c r="S259" s="617"/>
      <c r="T259" s="617"/>
      <c r="U259" s="617"/>
      <c r="V259" s="617"/>
      <c r="W259" s="617"/>
      <c r="X259" s="617"/>
    </row>
    <row r="260" ht="18.75" customHeight="1">
      <c r="A260" s="617"/>
      <c r="B260" s="617"/>
      <c r="C260" s="617"/>
      <c r="D260" s="617"/>
      <c r="E260" s="617"/>
      <c r="F260" s="617"/>
      <c r="G260" s="617"/>
      <c r="H260" s="617"/>
      <c r="I260" s="617"/>
      <c r="J260" s="617"/>
      <c r="K260" s="617"/>
      <c r="L260" s="617"/>
      <c r="M260" s="617"/>
      <c r="N260" s="617"/>
      <c r="O260" s="617"/>
      <c r="P260" s="617"/>
      <c r="Q260" s="617"/>
      <c r="R260" s="617"/>
      <c r="S260" s="617"/>
      <c r="T260" s="617"/>
      <c r="U260" s="617"/>
      <c r="V260" s="617"/>
      <c r="W260" s="617"/>
      <c r="X260" s="617"/>
    </row>
    <row r="261" ht="18.75" customHeight="1">
      <c r="A261" s="617"/>
      <c r="B261" s="617"/>
      <c r="C261" s="617"/>
      <c r="D261" s="617"/>
      <c r="E261" s="617"/>
      <c r="F261" s="617"/>
      <c r="G261" s="617"/>
      <c r="H261" s="617"/>
      <c r="I261" s="617"/>
      <c r="J261" s="617"/>
      <c r="K261" s="617"/>
      <c r="L261" s="617"/>
      <c r="M261" s="617"/>
      <c r="N261" s="617"/>
      <c r="O261" s="617"/>
      <c r="P261" s="617"/>
      <c r="Q261" s="617"/>
      <c r="R261" s="617"/>
      <c r="S261" s="617"/>
      <c r="T261" s="617"/>
      <c r="U261" s="617"/>
      <c r="V261" s="617"/>
      <c r="W261" s="617"/>
      <c r="X261" s="617"/>
    </row>
    <row r="262" ht="18.75" customHeight="1">
      <c r="A262" s="617"/>
      <c r="B262" s="617"/>
      <c r="C262" s="617"/>
      <c r="D262" s="617"/>
      <c r="E262" s="617"/>
      <c r="F262" s="617"/>
      <c r="G262" s="617"/>
      <c r="H262" s="617"/>
      <c r="I262" s="617"/>
      <c r="J262" s="617"/>
      <c r="K262" s="617"/>
      <c r="L262" s="617"/>
      <c r="M262" s="617"/>
      <c r="N262" s="617"/>
      <c r="O262" s="617"/>
      <c r="P262" s="617"/>
      <c r="Q262" s="617"/>
      <c r="R262" s="617"/>
      <c r="S262" s="617"/>
      <c r="T262" s="617"/>
      <c r="U262" s="617"/>
      <c r="V262" s="617"/>
      <c r="W262" s="617"/>
      <c r="X262" s="617"/>
    </row>
    <row r="263" ht="18.75" customHeight="1">
      <c r="A263" s="617"/>
      <c r="B263" s="617"/>
      <c r="C263" s="617"/>
      <c r="D263" s="617"/>
      <c r="E263" s="617"/>
      <c r="F263" s="617"/>
      <c r="G263" s="617"/>
      <c r="H263" s="617"/>
      <c r="I263" s="617"/>
      <c r="J263" s="617"/>
      <c r="K263" s="617"/>
      <c r="L263" s="617"/>
      <c r="M263" s="617"/>
      <c r="N263" s="617"/>
      <c r="O263" s="617"/>
      <c r="P263" s="617"/>
      <c r="Q263" s="617"/>
      <c r="R263" s="617"/>
      <c r="S263" s="617"/>
      <c r="T263" s="617"/>
      <c r="U263" s="617"/>
      <c r="V263" s="617"/>
      <c r="W263" s="617"/>
      <c r="X263" s="617"/>
    </row>
    <row r="264" ht="18.75" customHeight="1">
      <c r="A264" s="617"/>
      <c r="B264" s="617"/>
      <c r="C264" s="617"/>
      <c r="D264" s="617"/>
      <c r="E264" s="617"/>
      <c r="F264" s="617"/>
      <c r="G264" s="617"/>
      <c r="H264" s="617"/>
      <c r="I264" s="617"/>
      <c r="J264" s="617"/>
      <c r="K264" s="617"/>
      <c r="L264" s="617"/>
      <c r="M264" s="617"/>
      <c r="N264" s="617"/>
      <c r="O264" s="617"/>
      <c r="P264" s="617"/>
      <c r="Q264" s="617"/>
      <c r="R264" s="617"/>
      <c r="S264" s="617"/>
      <c r="T264" s="617"/>
      <c r="U264" s="617"/>
      <c r="V264" s="617"/>
      <c r="W264" s="617"/>
      <c r="X264" s="617"/>
    </row>
    <row r="265" ht="18.75" customHeight="1">
      <c r="A265" s="617"/>
      <c r="B265" s="617"/>
      <c r="C265" s="617"/>
      <c r="D265" s="617"/>
      <c r="E265" s="617"/>
      <c r="F265" s="617"/>
      <c r="G265" s="617"/>
      <c r="H265" s="617"/>
      <c r="I265" s="617"/>
      <c r="J265" s="617"/>
      <c r="K265" s="617"/>
      <c r="L265" s="617"/>
      <c r="M265" s="617"/>
      <c r="N265" s="617"/>
      <c r="O265" s="617"/>
      <c r="P265" s="617"/>
      <c r="Q265" s="617"/>
      <c r="R265" s="617"/>
      <c r="S265" s="617"/>
      <c r="T265" s="617"/>
      <c r="U265" s="617"/>
      <c r="V265" s="617"/>
      <c r="W265" s="617"/>
      <c r="X265" s="617"/>
    </row>
    <row r="266" ht="18.75" customHeight="1">
      <c r="A266" s="617"/>
      <c r="B266" s="617"/>
      <c r="C266" s="617"/>
      <c r="D266" s="617"/>
      <c r="E266" s="617"/>
      <c r="F266" s="617"/>
      <c r="G266" s="617"/>
      <c r="H266" s="617"/>
      <c r="I266" s="617"/>
      <c r="J266" s="617"/>
      <c r="K266" s="617"/>
      <c r="L266" s="617"/>
      <c r="M266" s="617"/>
      <c r="N266" s="617"/>
      <c r="O266" s="617"/>
      <c r="P266" s="617"/>
      <c r="Q266" s="617"/>
      <c r="R266" s="617"/>
      <c r="S266" s="617"/>
      <c r="T266" s="617"/>
      <c r="U266" s="617"/>
      <c r="V266" s="617"/>
      <c r="W266" s="617"/>
      <c r="X266" s="617"/>
    </row>
    <row r="267" ht="18.75" customHeight="1">
      <c r="A267" s="617"/>
      <c r="B267" s="617"/>
      <c r="C267" s="617"/>
      <c r="D267" s="617"/>
      <c r="E267" s="617"/>
      <c r="F267" s="617"/>
      <c r="G267" s="617"/>
      <c r="H267" s="617"/>
      <c r="I267" s="617"/>
      <c r="J267" s="617"/>
      <c r="K267" s="617"/>
      <c r="L267" s="617"/>
      <c r="M267" s="617"/>
      <c r="N267" s="617"/>
      <c r="O267" s="617"/>
      <c r="P267" s="617"/>
      <c r="Q267" s="617"/>
      <c r="R267" s="617"/>
      <c r="S267" s="617"/>
      <c r="T267" s="617"/>
      <c r="U267" s="617"/>
      <c r="V267" s="617"/>
      <c r="W267" s="617"/>
      <c r="X267" s="617"/>
    </row>
    <row r="268" ht="18.75" customHeight="1">
      <c r="A268" s="617"/>
      <c r="B268" s="617"/>
      <c r="C268" s="617"/>
      <c r="D268" s="617"/>
      <c r="E268" s="617"/>
      <c r="F268" s="617"/>
      <c r="G268" s="617"/>
      <c r="H268" s="617"/>
      <c r="I268" s="617"/>
      <c r="J268" s="617"/>
      <c r="K268" s="617"/>
      <c r="L268" s="617"/>
      <c r="M268" s="617"/>
      <c r="N268" s="617"/>
      <c r="O268" s="617"/>
      <c r="P268" s="617"/>
      <c r="Q268" s="617"/>
      <c r="R268" s="617"/>
      <c r="S268" s="617"/>
      <c r="T268" s="617"/>
      <c r="U268" s="617"/>
      <c r="V268" s="617"/>
      <c r="W268" s="617"/>
      <c r="X268" s="617"/>
    </row>
    <row r="269" ht="18.75" customHeight="1">
      <c r="A269" s="617"/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</row>
    <row r="270" ht="18.75" customHeight="1">
      <c r="A270" s="617"/>
      <c r="B270" s="617"/>
      <c r="C270" s="617"/>
      <c r="D270" s="617"/>
      <c r="E270" s="617"/>
      <c r="F270" s="617"/>
      <c r="G270" s="617"/>
      <c r="H270" s="617"/>
      <c r="I270" s="617"/>
      <c r="J270" s="617"/>
      <c r="K270" s="617"/>
      <c r="L270" s="617"/>
      <c r="M270" s="617"/>
      <c r="N270" s="617"/>
      <c r="O270" s="617"/>
      <c r="P270" s="617"/>
      <c r="Q270" s="617"/>
      <c r="R270" s="617"/>
      <c r="S270" s="617"/>
      <c r="T270" s="617"/>
      <c r="U270" s="617"/>
      <c r="V270" s="617"/>
      <c r="W270" s="617"/>
      <c r="X270" s="617"/>
    </row>
    <row r="271" ht="18.75" customHeight="1">
      <c r="A271" s="617"/>
      <c r="B271" s="617"/>
      <c r="C271" s="617"/>
      <c r="D271" s="617"/>
      <c r="E271" s="617"/>
      <c r="F271" s="617"/>
      <c r="G271" s="617"/>
      <c r="H271" s="617"/>
      <c r="I271" s="617"/>
      <c r="J271" s="617"/>
      <c r="K271" s="617"/>
      <c r="L271" s="617"/>
      <c r="M271" s="617"/>
      <c r="N271" s="617"/>
      <c r="O271" s="617"/>
      <c r="P271" s="617"/>
      <c r="Q271" s="617"/>
      <c r="R271" s="617"/>
      <c r="S271" s="617"/>
      <c r="T271" s="617"/>
      <c r="U271" s="617"/>
      <c r="V271" s="617"/>
      <c r="W271" s="617"/>
      <c r="X271" s="617"/>
    </row>
    <row r="272" ht="18.75" customHeight="1">
      <c r="A272" s="617"/>
      <c r="B272" s="617"/>
      <c r="C272" s="617"/>
      <c r="D272" s="617"/>
      <c r="E272" s="617"/>
      <c r="F272" s="617"/>
      <c r="G272" s="617"/>
      <c r="H272" s="617"/>
      <c r="I272" s="617"/>
      <c r="J272" s="617"/>
      <c r="K272" s="617"/>
      <c r="L272" s="617"/>
      <c r="M272" s="617"/>
      <c r="N272" s="617"/>
      <c r="O272" s="617"/>
      <c r="P272" s="617"/>
      <c r="Q272" s="617"/>
      <c r="R272" s="617"/>
      <c r="S272" s="617"/>
      <c r="T272" s="617"/>
      <c r="U272" s="617"/>
      <c r="V272" s="617"/>
      <c r="W272" s="617"/>
      <c r="X272" s="617"/>
    </row>
    <row r="273" ht="18.75" customHeight="1">
      <c r="A273" s="617"/>
      <c r="B273" s="617"/>
      <c r="C273" s="617"/>
      <c r="D273" s="617"/>
      <c r="E273" s="617"/>
      <c r="F273" s="617"/>
      <c r="G273" s="617"/>
      <c r="H273" s="617"/>
      <c r="I273" s="617"/>
      <c r="J273" s="617"/>
      <c r="K273" s="617"/>
      <c r="L273" s="617"/>
      <c r="M273" s="617"/>
      <c r="N273" s="617"/>
      <c r="O273" s="617"/>
      <c r="P273" s="617"/>
      <c r="Q273" s="617"/>
      <c r="R273" s="617"/>
      <c r="S273" s="617"/>
      <c r="T273" s="617"/>
      <c r="U273" s="617"/>
      <c r="V273" s="617"/>
      <c r="W273" s="617"/>
      <c r="X273" s="617"/>
    </row>
    <row r="274" ht="18.75" customHeight="1">
      <c r="A274" s="617"/>
      <c r="B274" s="617"/>
      <c r="C274" s="617"/>
      <c r="D274" s="617"/>
      <c r="E274" s="617"/>
      <c r="F274" s="617"/>
      <c r="G274" s="617"/>
      <c r="H274" s="617"/>
      <c r="I274" s="617"/>
      <c r="J274" s="617"/>
      <c r="K274" s="617"/>
      <c r="L274" s="617"/>
      <c r="M274" s="617"/>
      <c r="N274" s="617"/>
      <c r="O274" s="617"/>
      <c r="P274" s="617"/>
      <c r="Q274" s="617"/>
      <c r="R274" s="617"/>
      <c r="S274" s="617"/>
      <c r="T274" s="617"/>
      <c r="U274" s="617"/>
      <c r="V274" s="617"/>
      <c r="W274" s="617"/>
      <c r="X274" s="617"/>
    </row>
    <row r="275" ht="18.75" customHeight="1">
      <c r="A275" s="617"/>
      <c r="B275" s="617"/>
      <c r="C275" s="617"/>
      <c r="D275" s="617"/>
      <c r="E275" s="617"/>
      <c r="F275" s="617"/>
      <c r="G275" s="617"/>
      <c r="H275" s="617"/>
      <c r="I275" s="617"/>
      <c r="J275" s="617"/>
      <c r="K275" s="617"/>
      <c r="L275" s="617"/>
      <c r="M275" s="617"/>
      <c r="N275" s="617"/>
      <c r="O275" s="617"/>
      <c r="P275" s="617"/>
      <c r="Q275" s="617"/>
      <c r="R275" s="617"/>
      <c r="S275" s="617"/>
      <c r="T275" s="617"/>
      <c r="U275" s="617"/>
      <c r="V275" s="617"/>
      <c r="W275" s="617"/>
      <c r="X275" s="617"/>
    </row>
    <row r="276" ht="18.75" customHeight="1">
      <c r="A276" s="617"/>
      <c r="B276" s="617"/>
      <c r="C276" s="617"/>
      <c r="D276" s="617"/>
      <c r="E276" s="617"/>
      <c r="F276" s="617"/>
      <c r="G276" s="617"/>
      <c r="H276" s="617"/>
      <c r="I276" s="617"/>
      <c r="J276" s="617"/>
      <c r="K276" s="617"/>
      <c r="L276" s="617"/>
      <c r="M276" s="617"/>
      <c r="N276" s="617"/>
      <c r="O276" s="617"/>
      <c r="P276" s="617"/>
      <c r="Q276" s="617"/>
      <c r="R276" s="617"/>
      <c r="S276" s="617"/>
      <c r="T276" s="617"/>
      <c r="U276" s="617"/>
      <c r="V276" s="617"/>
      <c r="W276" s="617"/>
      <c r="X276" s="617"/>
    </row>
    <row r="277" ht="18.75" customHeight="1">
      <c r="A277" s="617"/>
      <c r="B277" s="617"/>
      <c r="C277" s="617"/>
      <c r="D277" s="617"/>
      <c r="E277" s="617"/>
      <c r="F277" s="617"/>
      <c r="G277" s="617"/>
      <c r="H277" s="617"/>
      <c r="I277" s="617"/>
      <c r="J277" s="617"/>
      <c r="K277" s="617"/>
      <c r="L277" s="617"/>
      <c r="M277" s="617"/>
      <c r="N277" s="617"/>
      <c r="O277" s="617"/>
      <c r="P277" s="617"/>
      <c r="Q277" s="617"/>
      <c r="R277" s="617"/>
      <c r="S277" s="617"/>
      <c r="T277" s="617"/>
      <c r="U277" s="617"/>
      <c r="V277" s="617"/>
      <c r="W277" s="617"/>
      <c r="X277" s="617"/>
    </row>
    <row r="278" ht="18.75" customHeight="1">
      <c r="A278" s="617"/>
      <c r="B278" s="617"/>
      <c r="C278" s="617"/>
      <c r="D278" s="617"/>
      <c r="E278" s="617"/>
      <c r="F278" s="617"/>
      <c r="G278" s="617"/>
      <c r="H278" s="617"/>
      <c r="I278" s="617"/>
      <c r="J278" s="617"/>
      <c r="K278" s="617"/>
      <c r="L278" s="617"/>
      <c r="M278" s="617"/>
      <c r="N278" s="617"/>
      <c r="O278" s="617"/>
      <c r="P278" s="617"/>
      <c r="Q278" s="617"/>
      <c r="R278" s="617"/>
      <c r="S278" s="617"/>
      <c r="T278" s="617"/>
      <c r="U278" s="617"/>
      <c r="V278" s="617"/>
      <c r="W278" s="617"/>
      <c r="X278" s="617"/>
    </row>
    <row r="279" ht="18.75" customHeight="1">
      <c r="A279" s="617"/>
      <c r="B279" s="617"/>
      <c r="C279" s="617"/>
      <c r="D279" s="617"/>
      <c r="E279" s="617"/>
      <c r="F279" s="617"/>
      <c r="G279" s="617"/>
      <c r="H279" s="617"/>
      <c r="I279" s="617"/>
      <c r="J279" s="617"/>
      <c r="K279" s="617"/>
      <c r="L279" s="617"/>
      <c r="M279" s="617"/>
      <c r="N279" s="617"/>
      <c r="O279" s="617"/>
      <c r="P279" s="617"/>
      <c r="Q279" s="617"/>
      <c r="R279" s="617"/>
      <c r="S279" s="617"/>
      <c r="T279" s="617"/>
      <c r="U279" s="617"/>
      <c r="V279" s="617"/>
      <c r="W279" s="617"/>
      <c r="X279" s="617"/>
    </row>
    <row r="280" ht="18.75" customHeight="1">
      <c r="A280" s="617"/>
      <c r="B280" s="617"/>
      <c r="C280" s="617"/>
      <c r="D280" s="617"/>
      <c r="E280" s="617"/>
      <c r="F280" s="617"/>
      <c r="G280" s="617"/>
      <c r="H280" s="617"/>
      <c r="I280" s="617"/>
      <c r="J280" s="617"/>
      <c r="K280" s="617"/>
      <c r="L280" s="617"/>
      <c r="M280" s="617"/>
      <c r="N280" s="617"/>
      <c r="O280" s="617"/>
      <c r="P280" s="617"/>
      <c r="Q280" s="617"/>
      <c r="R280" s="617"/>
      <c r="S280" s="617"/>
      <c r="T280" s="617"/>
      <c r="U280" s="617"/>
      <c r="V280" s="617"/>
      <c r="W280" s="617"/>
      <c r="X280" s="617"/>
    </row>
    <row r="281" ht="18.75" customHeight="1">
      <c r="A281" s="617"/>
      <c r="B281" s="617"/>
      <c r="C281" s="617"/>
      <c r="D281" s="617"/>
      <c r="E281" s="617"/>
      <c r="F281" s="617"/>
      <c r="G281" s="617"/>
      <c r="H281" s="617"/>
      <c r="I281" s="617"/>
      <c r="J281" s="617"/>
      <c r="K281" s="617"/>
      <c r="L281" s="617"/>
      <c r="M281" s="617"/>
      <c r="N281" s="617"/>
      <c r="O281" s="617"/>
      <c r="P281" s="617"/>
      <c r="Q281" s="617"/>
      <c r="R281" s="617"/>
      <c r="S281" s="617"/>
      <c r="T281" s="617"/>
      <c r="U281" s="617"/>
      <c r="V281" s="617"/>
      <c r="W281" s="617"/>
      <c r="X281" s="617"/>
    </row>
    <row r="282" ht="18.75" customHeight="1">
      <c r="A282" s="617"/>
      <c r="B282" s="617"/>
      <c r="C282" s="617"/>
      <c r="D282" s="617"/>
      <c r="E282" s="617"/>
      <c r="F282" s="617"/>
      <c r="G282" s="617"/>
      <c r="H282" s="617"/>
      <c r="I282" s="617"/>
      <c r="J282" s="617"/>
      <c r="K282" s="617"/>
      <c r="L282" s="617"/>
      <c r="M282" s="617"/>
      <c r="N282" s="617"/>
      <c r="O282" s="617"/>
      <c r="P282" s="617"/>
      <c r="Q282" s="617"/>
      <c r="R282" s="617"/>
      <c r="S282" s="617"/>
      <c r="T282" s="617"/>
      <c r="U282" s="617"/>
      <c r="V282" s="617"/>
      <c r="W282" s="617"/>
      <c r="X282" s="617"/>
    </row>
    <row r="283" ht="18.75" customHeight="1">
      <c r="A283" s="617"/>
      <c r="B283" s="617"/>
      <c r="C283" s="617"/>
      <c r="D283" s="617"/>
      <c r="E283" s="617"/>
      <c r="F283" s="617"/>
      <c r="G283" s="617"/>
      <c r="H283" s="617"/>
      <c r="I283" s="617"/>
      <c r="J283" s="617"/>
      <c r="K283" s="617"/>
      <c r="L283" s="617"/>
      <c r="M283" s="617"/>
      <c r="N283" s="617"/>
      <c r="O283" s="617"/>
      <c r="P283" s="617"/>
      <c r="Q283" s="617"/>
      <c r="R283" s="617"/>
      <c r="S283" s="617"/>
      <c r="T283" s="617"/>
      <c r="U283" s="617"/>
      <c r="V283" s="617"/>
      <c r="W283" s="617"/>
      <c r="X283" s="617"/>
    </row>
    <row r="284" ht="18.75" customHeight="1">
      <c r="A284" s="617"/>
      <c r="B284" s="617"/>
      <c r="C284" s="617"/>
      <c r="D284" s="617"/>
      <c r="E284" s="617"/>
      <c r="F284" s="617"/>
      <c r="G284" s="617"/>
      <c r="H284" s="617"/>
      <c r="I284" s="617"/>
      <c r="J284" s="617"/>
      <c r="K284" s="617"/>
      <c r="L284" s="617"/>
      <c r="M284" s="617"/>
      <c r="N284" s="617"/>
      <c r="O284" s="617"/>
      <c r="P284" s="617"/>
      <c r="Q284" s="617"/>
      <c r="R284" s="617"/>
      <c r="S284" s="617"/>
      <c r="T284" s="617"/>
      <c r="U284" s="617"/>
      <c r="V284" s="617"/>
      <c r="W284" s="617"/>
      <c r="X284" s="617"/>
    </row>
    <row r="285" ht="18.75" customHeight="1">
      <c r="A285" s="617"/>
      <c r="B285" s="617"/>
      <c r="C285" s="617"/>
      <c r="D285" s="617"/>
      <c r="E285" s="617"/>
      <c r="F285" s="617"/>
      <c r="G285" s="617"/>
      <c r="H285" s="617"/>
      <c r="I285" s="617"/>
      <c r="J285" s="617"/>
      <c r="K285" s="617"/>
      <c r="L285" s="617"/>
      <c r="M285" s="617"/>
      <c r="N285" s="617"/>
      <c r="O285" s="617"/>
      <c r="P285" s="617"/>
      <c r="Q285" s="617"/>
      <c r="R285" s="617"/>
      <c r="S285" s="617"/>
      <c r="T285" s="617"/>
      <c r="U285" s="617"/>
      <c r="V285" s="617"/>
      <c r="W285" s="617"/>
      <c r="X285" s="617"/>
    </row>
    <row r="286" ht="18.75" customHeight="1">
      <c r="A286" s="617"/>
      <c r="B286" s="617"/>
      <c r="C286" s="617"/>
      <c r="D286" s="617"/>
      <c r="E286" s="617"/>
      <c r="F286" s="617"/>
      <c r="G286" s="617"/>
      <c r="H286" s="617"/>
      <c r="I286" s="617"/>
      <c r="J286" s="617"/>
      <c r="K286" s="617"/>
      <c r="L286" s="617"/>
      <c r="M286" s="617"/>
      <c r="N286" s="617"/>
      <c r="O286" s="617"/>
      <c r="P286" s="617"/>
      <c r="Q286" s="617"/>
      <c r="R286" s="617"/>
      <c r="S286" s="617"/>
      <c r="T286" s="617"/>
      <c r="U286" s="617"/>
      <c r="V286" s="617"/>
      <c r="W286" s="617"/>
      <c r="X286" s="617"/>
    </row>
    <row r="287" ht="18.75" customHeight="1">
      <c r="A287" s="617"/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17"/>
      <c r="P287" s="617"/>
      <c r="Q287" s="617"/>
      <c r="R287" s="617"/>
      <c r="S287" s="617"/>
      <c r="T287" s="617"/>
      <c r="U287" s="617"/>
      <c r="V287" s="617"/>
      <c r="W287" s="617"/>
      <c r="X287" s="617"/>
    </row>
    <row r="288" ht="18.75" customHeight="1">
      <c r="A288" s="617"/>
      <c r="B288" s="617"/>
      <c r="C288" s="617"/>
      <c r="D288" s="617"/>
      <c r="E288" s="617"/>
      <c r="F288" s="617"/>
      <c r="G288" s="617"/>
      <c r="H288" s="617"/>
      <c r="I288" s="617"/>
      <c r="J288" s="617"/>
      <c r="K288" s="617"/>
      <c r="L288" s="617"/>
      <c r="M288" s="617"/>
      <c r="N288" s="617"/>
      <c r="O288" s="617"/>
      <c r="P288" s="617"/>
      <c r="Q288" s="617"/>
      <c r="R288" s="617"/>
      <c r="S288" s="617"/>
      <c r="T288" s="617"/>
      <c r="U288" s="617"/>
      <c r="V288" s="617"/>
      <c r="W288" s="617"/>
      <c r="X288" s="617"/>
    </row>
    <row r="289" ht="18.75" customHeight="1">
      <c r="A289" s="617"/>
      <c r="B289" s="617"/>
      <c r="C289" s="617"/>
      <c r="D289" s="617"/>
      <c r="E289" s="617"/>
      <c r="F289" s="617"/>
      <c r="G289" s="617"/>
      <c r="H289" s="617"/>
      <c r="I289" s="617"/>
      <c r="J289" s="617"/>
      <c r="K289" s="617"/>
      <c r="L289" s="617"/>
      <c r="M289" s="617"/>
      <c r="N289" s="617"/>
      <c r="O289" s="617"/>
      <c r="P289" s="617"/>
      <c r="Q289" s="617"/>
      <c r="R289" s="617"/>
      <c r="S289" s="617"/>
      <c r="T289" s="617"/>
      <c r="U289" s="617"/>
      <c r="V289" s="617"/>
      <c r="W289" s="617"/>
      <c r="X289" s="617"/>
    </row>
    <row r="290" ht="18.75" customHeight="1">
      <c r="A290" s="617"/>
      <c r="B290" s="617"/>
      <c r="C290" s="617"/>
      <c r="D290" s="617"/>
      <c r="E290" s="617"/>
      <c r="F290" s="617"/>
      <c r="G290" s="617"/>
      <c r="H290" s="617"/>
      <c r="I290" s="617"/>
      <c r="J290" s="617"/>
      <c r="K290" s="617"/>
      <c r="L290" s="617"/>
      <c r="M290" s="617"/>
      <c r="N290" s="617"/>
      <c r="O290" s="617"/>
      <c r="P290" s="617"/>
      <c r="Q290" s="617"/>
      <c r="R290" s="617"/>
      <c r="S290" s="617"/>
      <c r="T290" s="617"/>
      <c r="U290" s="617"/>
      <c r="V290" s="617"/>
      <c r="W290" s="617"/>
      <c r="X290" s="617"/>
    </row>
    <row r="291" ht="18.75" customHeight="1">
      <c r="A291" s="617"/>
      <c r="B291" s="617"/>
      <c r="C291" s="617"/>
      <c r="D291" s="617"/>
      <c r="E291" s="617"/>
      <c r="F291" s="617"/>
      <c r="G291" s="617"/>
      <c r="H291" s="617"/>
      <c r="I291" s="617"/>
      <c r="J291" s="617"/>
      <c r="K291" s="617"/>
      <c r="L291" s="617"/>
      <c r="M291" s="617"/>
      <c r="N291" s="617"/>
      <c r="O291" s="617"/>
      <c r="P291" s="617"/>
      <c r="Q291" s="617"/>
      <c r="R291" s="617"/>
      <c r="S291" s="617"/>
      <c r="T291" s="617"/>
      <c r="U291" s="617"/>
      <c r="V291" s="617"/>
      <c r="W291" s="617"/>
      <c r="X291" s="617"/>
    </row>
    <row r="292" ht="18.75" customHeight="1">
      <c r="A292" s="617"/>
      <c r="B292" s="617"/>
      <c r="C292" s="617"/>
      <c r="D292" s="617"/>
      <c r="E292" s="617"/>
      <c r="F292" s="617"/>
      <c r="G292" s="617"/>
      <c r="H292" s="617"/>
      <c r="I292" s="617"/>
      <c r="J292" s="617"/>
      <c r="K292" s="617"/>
      <c r="L292" s="617"/>
      <c r="M292" s="617"/>
      <c r="N292" s="617"/>
      <c r="O292" s="617"/>
      <c r="P292" s="617"/>
      <c r="Q292" s="617"/>
      <c r="R292" s="617"/>
      <c r="S292" s="617"/>
      <c r="T292" s="617"/>
      <c r="U292" s="617"/>
      <c r="V292" s="617"/>
      <c r="W292" s="617"/>
      <c r="X292" s="617"/>
    </row>
    <row r="293" ht="18.75" customHeight="1">
      <c r="A293" s="617"/>
      <c r="B293" s="617"/>
      <c r="C293" s="617"/>
      <c r="D293" s="617"/>
      <c r="E293" s="617"/>
      <c r="F293" s="617"/>
      <c r="G293" s="617"/>
      <c r="H293" s="617"/>
      <c r="I293" s="617"/>
      <c r="J293" s="617"/>
      <c r="K293" s="617"/>
      <c r="L293" s="617"/>
      <c r="M293" s="617"/>
      <c r="N293" s="617"/>
      <c r="O293" s="617"/>
      <c r="P293" s="617"/>
      <c r="Q293" s="617"/>
      <c r="R293" s="617"/>
      <c r="S293" s="617"/>
      <c r="T293" s="617"/>
      <c r="U293" s="617"/>
      <c r="V293" s="617"/>
      <c r="W293" s="617"/>
      <c r="X293" s="617"/>
    </row>
    <row r="294" ht="18.75" customHeight="1">
      <c r="A294" s="617"/>
      <c r="B294" s="617"/>
      <c r="C294" s="617"/>
      <c r="D294" s="617"/>
      <c r="E294" s="617"/>
      <c r="F294" s="617"/>
      <c r="G294" s="617"/>
      <c r="H294" s="617"/>
      <c r="I294" s="617"/>
      <c r="J294" s="617"/>
      <c r="K294" s="617"/>
      <c r="L294" s="617"/>
      <c r="M294" s="617"/>
      <c r="N294" s="617"/>
      <c r="O294" s="617"/>
      <c r="P294" s="617"/>
      <c r="Q294" s="617"/>
      <c r="R294" s="617"/>
      <c r="S294" s="617"/>
      <c r="T294" s="617"/>
      <c r="U294" s="617"/>
      <c r="V294" s="617"/>
      <c r="W294" s="617"/>
      <c r="X294" s="617"/>
    </row>
    <row r="295" ht="18.75" customHeight="1">
      <c r="A295" s="617"/>
      <c r="B295" s="617"/>
      <c r="C295" s="617"/>
      <c r="D295" s="617"/>
      <c r="E295" s="617"/>
      <c r="F295" s="617"/>
      <c r="G295" s="617"/>
      <c r="H295" s="617"/>
      <c r="I295" s="617"/>
      <c r="J295" s="617"/>
      <c r="K295" s="617"/>
      <c r="L295" s="617"/>
      <c r="M295" s="617"/>
      <c r="N295" s="617"/>
      <c r="O295" s="617"/>
      <c r="P295" s="617"/>
      <c r="Q295" s="617"/>
      <c r="R295" s="617"/>
      <c r="S295" s="617"/>
      <c r="T295" s="617"/>
      <c r="U295" s="617"/>
      <c r="V295" s="617"/>
      <c r="W295" s="617"/>
      <c r="X295" s="617"/>
    </row>
    <row r="296" ht="18.75" customHeight="1">
      <c r="A296" s="617"/>
      <c r="B296" s="617"/>
      <c r="C296" s="617"/>
      <c r="D296" s="617"/>
      <c r="E296" s="617"/>
      <c r="F296" s="617"/>
      <c r="G296" s="617"/>
      <c r="H296" s="617"/>
      <c r="I296" s="617"/>
      <c r="J296" s="617"/>
      <c r="K296" s="617"/>
      <c r="L296" s="617"/>
      <c r="M296" s="617"/>
      <c r="N296" s="617"/>
      <c r="O296" s="617"/>
      <c r="P296" s="617"/>
      <c r="Q296" s="617"/>
      <c r="R296" s="617"/>
      <c r="S296" s="617"/>
      <c r="T296" s="617"/>
      <c r="U296" s="617"/>
      <c r="V296" s="617"/>
      <c r="W296" s="617"/>
      <c r="X296" s="617"/>
    </row>
    <row r="297" ht="18.75" customHeight="1">
      <c r="A297" s="617"/>
      <c r="B297" s="617"/>
      <c r="C297" s="617"/>
      <c r="D297" s="617"/>
      <c r="E297" s="617"/>
      <c r="F297" s="617"/>
      <c r="G297" s="617"/>
      <c r="H297" s="617"/>
      <c r="I297" s="617"/>
      <c r="J297" s="617"/>
      <c r="K297" s="617"/>
      <c r="L297" s="617"/>
      <c r="M297" s="617"/>
      <c r="N297" s="617"/>
      <c r="O297" s="617"/>
      <c r="P297" s="617"/>
      <c r="Q297" s="617"/>
      <c r="R297" s="617"/>
      <c r="S297" s="617"/>
      <c r="T297" s="617"/>
      <c r="U297" s="617"/>
      <c r="V297" s="617"/>
      <c r="W297" s="617"/>
      <c r="X297" s="617"/>
    </row>
    <row r="298" ht="18.75" customHeight="1">
      <c r="A298" s="617"/>
      <c r="B298" s="617"/>
      <c r="C298" s="617"/>
      <c r="D298" s="617"/>
      <c r="E298" s="617"/>
      <c r="F298" s="617"/>
      <c r="G298" s="617"/>
      <c r="H298" s="617"/>
      <c r="I298" s="617"/>
      <c r="J298" s="617"/>
      <c r="K298" s="617"/>
      <c r="L298" s="617"/>
      <c r="M298" s="617"/>
      <c r="N298" s="617"/>
      <c r="O298" s="617"/>
      <c r="P298" s="617"/>
      <c r="Q298" s="617"/>
      <c r="R298" s="617"/>
      <c r="S298" s="617"/>
      <c r="T298" s="617"/>
      <c r="U298" s="617"/>
      <c r="V298" s="617"/>
      <c r="W298" s="617"/>
      <c r="X298" s="617"/>
    </row>
    <row r="299" ht="18.75" customHeight="1">
      <c r="A299" s="617"/>
      <c r="B299" s="617"/>
      <c r="C299" s="617"/>
      <c r="D299" s="617"/>
      <c r="E299" s="617"/>
      <c r="F299" s="617"/>
      <c r="G299" s="617"/>
      <c r="H299" s="617"/>
      <c r="I299" s="617"/>
      <c r="J299" s="617"/>
      <c r="K299" s="617"/>
      <c r="L299" s="617"/>
      <c r="M299" s="617"/>
      <c r="N299" s="617"/>
      <c r="O299" s="617"/>
      <c r="P299" s="617"/>
      <c r="Q299" s="617"/>
      <c r="R299" s="617"/>
      <c r="S299" s="617"/>
      <c r="T299" s="617"/>
      <c r="U299" s="617"/>
      <c r="V299" s="617"/>
      <c r="W299" s="617"/>
      <c r="X299" s="617"/>
    </row>
    <row r="300" ht="18.75" customHeight="1">
      <c r="A300" s="617"/>
      <c r="B300" s="617"/>
      <c r="C300" s="617"/>
      <c r="D300" s="617"/>
      <c r="E300" s="617"/>
      <c r="F300" s="617"/>
      <c r="G300" s="617"/>
      <c r="H300" s="617"/>
      <c r="I300" s="617"/>
      <c r="J300" s="617"/>
      <c r="K300" s="617"/>
      <c r="L300" s="617"/>
      <c r="M300" s="617"/>
      <c r="N300" s="617"/>
      <c r="O300" s="617"/>
      <c r="P300" s="617"/>
      <c r="Q300" s="617"/>
      <c r="R300" s="617"/>
      <c r="S300" s="617"/>
      <c r="T300" s="617"/>
      <c r="U300" s="617"/>
      <c r="V300" s="617"/>
      <c r="W300" s="617"/>
      <c r="X300" s="617"/>
    </row>
    <row r="301" ht="18.75" customHeight="1">
      <c r="A301" s="617"/>
      <c r="B301" s="617"/>
      <c r="C301" s="617"/>
      <c r="D301" s="617"/>
      <c r="E301" s="617"/>
      <c r="F301" s="617"/>
      <c r="G301" s="617"/>
      <c r="H301" s="617"/>
      <c r="I301" s="617"/>
      <c r="J301" s="617"/>
      <c r="K301" s="617"/>
      <c r="L301" s="617"/>
      <c r="M301" s="617"/>
      <c r="N301" s="617"/>
      <c r="O301" s="617"/>
      <c r="P301" s="617"/>
      <c r="Q301" s="617"/>
      <c r="R301" s="617"/>
      <c r="S301" s="617"/>
      <c r="T301" s="617"/>
      <c r="U301" s="617"/>
      <c r="V301" s="617"/>
      <c r="W301" s="617"/>
      <c r="X301" s="617"/>
    </row>
    <row r="302" ht="18.75" customHeight="1">
      <c r="A302" s="617"/>
      <c r="B302" s="617"/>
      <c r="C302" s="617"/>
      <c r="D302" s="617"/>
      <c r="E302" s="617"/>
      <c r="F302" s="617"/>
      <c r="G302" s="617"/>
      <c r="H302" s="617"/>
      <c r="I302" s="617"/>
      <c r="J302" s="617"/>
      <c r="K302" s="617"/>
      <c r="L302" s="617"/>
      <c r="M302" s="617"/>
      <c r="N302" s="617"/>
      <c r="O302" s="617"/>
      <c r="P302" s="617"/>
      <c r="Q302" s="617"/>
      <c r="R302" s="617"/>
      <c r="S302" s="617"/>
      <c r="T302" s="617"/>
      <c r="U302" s="617"/>
      <c r="V302" s="617"/>
      <c r="W302" s="617"/>
      <c r="X302" s="617"/>
    </row>
    <row r="303" ht="18.75" customHeight="1">
      <c r="A303" s="617"/>
      <c r="B303" s="617"/>
      <c r="C303" s="617"/>
      <c r="D303" s="617"/>
      <c r="E303" s="617"/>
      <c r="F303" s="617"/>
      <c r="G303" s="617"/>
      <c r="H303" s="617"/>
      <c r="I303" s="617"/>
      <c r="J303" s="617"/>
      <c r="K303" s="617"/>
      <c r="L303" s="617"/>
      <c r="M303" s="617"/>
      <c r="N303" s="617"/>
      <c r="O303" s="617"/>
      <c r="P303" s="617"/>
      <c r="Q303" s="617"/>
      <c r="R303" s="617"/>
      <c r="S303" s="617"/>
      <c r="T303" s="617"/>
      <c r="U303" s="617"/>
      <c r="V303" s="617"/>
      <c r="W303" s="617"/>
      <c r="X303" s="617"/>
    </row>
    <row r="304" ht="18.75" customHeight="1">
      <c r="A304" s="617"/>
      <c r="B304" s="617"/>
      <c r="C304" s="617"/>
      <c r="D304" s="617"/>
      <c r="E304" s="617"/>
      <c r="F304" s="617"/>
      <c r="G304" s="617"/>
      <c r="H304" s="617"/>
      <c r="I304" s="617"/>
      <c r="J304" s="617"/>
      <c r="K304" s="617"/>
      <c r="L304" s="617"/>
      <c r="M304" s="617"/>
      <c r="N304" s="617"/>
      <c r="O304" s="617"/>
      <c r="P304" s="617"/>
      <c r="Q304" s="617"/>
      <c r="R304" s="617"/>
      <c r="S304" s="617"/>
      <c r="T304" s="617"/>
      <c r="U304" s="617"/>
      <c r="V304" s="617"/>
      <c r="W304" s="617"/>
      <c r="X304" s="617"/>
    </row>
    <row r="305" ht="18.75" customHeight="1">
      <c r="A305" s="617"/>
      <c r="B305" s="617"/>
      <c r="C305" s="617"/>
      <c r="D305" s="617"/>
      <c r="E305" s="617"/>
      <c r="F305" s="617"/>
      <c r="G305" s="617"/>
      <c r="H305" s="617"/>
      <c r="I305" s="617"/>
      <c r="J305" s="617"/>
      <c r="K305" s="617"/>
      <c r="L305" s="617"/>
      <c r="M305" s="617"/>
      <c r="N305" s="617"/>
      <c r="O305" s="617"/>
      <c r="P305" s="617"/>
      <c r="Q305" s="617"/>
      <c r="R305" s="617"/>
      <c r="S305" s="617"/>
      <c r="T305" s="617"/>
      <c r="U305" s="617"/>
      <c r="V305" s="617"/>
      <c r="W305" s="617"/>
      <c r="X305" s="617"/>
    </row>
    <row r="306" ht="18.75" customHeight="1">
      <c r="A306" s="617"/>
      <c r="B306" s="617"/>
      <c r="C306" s="617"/>
      <c r="D306" s="617"/>
      <c r="E306" s="617"/>
      <c r="F306" s="617"/>
      <c r="G306" s="617"/>
      <c r="H306" s="617"/>
      <c r="I306" s="617"/>
      <c r="J306" s="617"/>
      <c r="K306" s="617"/>
      <c r="L306" s="617"/>
      <c r="M306" s="617"/>
      <c r="N306" s="617"/>
      <c r="O306" s="617"/>
      <c r="P306" s="617"/>
      <c r="Q306" s="617"/>
      <c r="R306" s="617"/>
      <c r="S306" s="617"/>
      <c r="T306" s="617"/>
      <c r="U306" s="617"/>
      <c r="V306" s="617"/>
      <c r="W306" s="617"/>
      <c r="X306" s="617"/>
    </row>
    <row r="307" ht="18.75" customHeight="1">
      <c r="A307" s="617"/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17"/>
      <c r="P307" s="617"/>
      <c r="Q307" s="617"/>
      <c r="R307" s="617"/>
      <c r="S307" s="617"/>
      <c r="T307" s="617"/>
      <c r="U307" s="617"/>
      <c r="V307" s="617"/>
      <c r="W307" s="617"/>
      <c r="X307" s="617"/>
    </row>
    <row r="308" ht="18.75" customHeight="1">
      <c r="A308" s="617"/>
      <c r="B308" s="617"/>
      <c r="C308" s="617"/>
      <c r="D308" s="617"/>
      <c r="E308" s="617"/>
      <c r="F308" s="617"/>
      <c r="G308" s="617"/>
      <c r="H308" s="617"/>
      <c r="I308" s="617"/>
      <c r="J308" s="617"/>
      <c r="K308" s="617"/>
      <c r="L308" s="617"/>
      <c r="M308" s="617"/>
      <c r="N308" s="617"/>
      <c r="O308" s="617"/>
      <c r="P308" s="617"/>
      <c r="Q308" s="617"/>
      <c r="R308" s="617"/>
      <c r="S308" s="617"/>
      <c r="T308" s="617"/>
      <c r="U308" s="617"/>
      <c r="V308" s="617"/>
      <c r="W308" s="617"/>
      <c r="X308" s="617"/>
    </row>
    <row r="309" ht="18.75" customHeight="1">
      <c r="A309" s="617"/>
      <c r="B309" s="617"/>
      <c r="C309" s="617"/>
      <c r="D309" s="617"/>
      <c r="E309" s="617"/>
      <c r="F309" s="617"/>
      <c r="G309" s="617"/>
      <c r="H309" s="617"/>
      <c r="I309" s="617"/>
      <c r="J309" s="617"/>
      <c r="K309" s="617"/>
      <c r="L309" s="617"/>
      <c r="M309" s="617"/>
      <c r="N309" s="617"/>
      <c r="O309" s="617"/>
      <c r="P309" s="617"/>
      <c r="Q309" s="617"/>
      <c r="R309" s="617"/>
      <c r="S309" s="617"/>
      <c r="T309" s="617"/>
      <c r="U309" s="617"/>
      <c r="V309" s="617"/>
      <c r="W309" s="617"/>
      <c r="X309" s="617"/>
    </row>
    <row r="310" ht="18.75" customHeight="1">
      <c r="A310" s="617"/>
      <c r="B310" s="617"/>
      <c r="C310" s="617"/>
      <c r="D310" s="617"/>
      <c r="E310" s="617"/>
      <c r="F310" s="617"/>
      <c r="G310" s="617"/>
      <c r="H310" s="617"/>
      <c r="I310" s="617"/>
      <c r="J310" s="617"/>
      <c r="K310" s="617"/>
      <c r="L310" s="617"/>
      <c r="M310" s="617"/>
      <c r="N310" s="617"/>
      <c r="O310" s="617"/>
      <c r="P310" s="617"/>
      <c r="Q310" s="617"/>
      <c r="R310" s="617"/>
      <c r="S310" s="617"/>
      <c r="T310" s="617"/>
      <c r="U310" s="617"/>
      <c r="V310" s="617"/>
      <c r="W310" s="617"/>
      <c r="X310" s="617"/>
    </row>
    <row r="311" ht="18.75" customHeight="1">
      <c r="A311" s="617"/>
      <c r="B311" s="617"/>
      <c r="C311" s="617"/>
      <c r="D311" s="617"/>
      <c r="E311" s="617"/>
      <c r="F311" s="617"/>
      <c r="G311" s="617"/>
      <c r="H311" s="617"/>
      <c r="I311" s="617"/>
      <c r="J311" s="617"/>
      <c r="K311" s="617"/>
      <c r="L311" s="617"/>
      <c r="M311" s="617"/>
      <c r="N311" s="617"/>
      <c r="O311" s="617"/>
      <c r="P311" s="617"/>
      <c r="Q311" s="617"/>
      <c r="R311" s="617"/>
      <c r="S311" s="617"/>
      <c r="T311" s="617"/>
      <c r="U311" s="617"/>
      <c r="V311" s="617"/>
      <c r="W311" s="617"/>
      <c r="X311" s="617"/>
    </row>
    <row r="312" ht="18.75" customHeight="1">
      <c r="A312" s="617"/>
      <c r="B312" s="617"/>
      <c r="C312" s="617"/>
      <c r="D312" s="617"/>
      <c r="E312" s="617"/>
      <c r="F312" s="617"/>
      <c r="G312" s="617"/>
      <c r="H312" s="617"/>
      <c r="I312" s="617"/>
      <c r="J312" s="617"/>
      <c r="K312" s="617"/>
      <c r="L312" s="617"/>
      <c r="M312" s="617"/>
      <c r="N312" s="617"/>
      <c r="O312" s="617"/>
      <c r="P312" s="617"/>
      <c r="Q312" s="617"/>
      <c r="R312" s="617"/>
      <c r="S312" s="617"/>
      <c r="T312" s="617"/>
      <c r="U312" s="617"/>
      <c r="V312" s="617"/>
      <c r="W312" s="617"/>
      <c r="X312" s="617"/>
    </row>
    <row r="313" ht="18.75" customHeight="1">
      <c r="A313" s="617"/>
      <c r="B313" s="617"/>
      <c r="C313" s="617"/>
      <c r="D313" s="617"/>
      <c r="E313" s="617"/>
      <c r="F313" s="617"/>
      <c r="G313" s="617"/>
      <c r="H313" s="617"/>
      <c r="I313" s="617"/>
      <c r="J313" s="617"/>
      <c r="K313" s="617"/>
      <c r="L313" s="617"/>
      <c r="M313" s="617"/>
      <c r="N313" s="617"/>
      <c r="O313" s="617"/>
      <c r="P313" s="617"/>
      <c r="Q313" s="617"/>
      <c r="R313" s="617"/>
      <c r="S313" s="617"/>
      <c r="T313" s="617"/>
      <c r="U313" s="617"/>
      <c r="V313" s="617"/>
      <c r="W313" s="617"/>
      <c r="X313" s="617"/>
    </row>
    <row r="314" ht="18.75" customHeight="1">
      <c r="A314" s="617"/>
      <c r="B314" s="617"/>
      <c r="C314" s="617"/>
      <c r="D314" s="617"/>
      <c r="E314" s="617"/>
      <c r="F314" s="617"/>
      <c r="G314" s="617"/>
      <c r="H314" s="617"/>
      <c r="I314" s="617"/>
      <c r="J314" s="617"/>
      <c r="K314" s="617"/>
      <c r="L314" s="617"/>
      <c r="M314" s="617"/>
      <c r="N314" s="617"/>
      <c r="O314" s="617"/>
      <c r="P314" s="617"/>
      <c r="Q314" s="617"/>
      <c r="R314" s="617"/>
      <c r="S314" s="617"/>
      <c r="T314" s="617"/>
      <c r="U314" s="617"/>
      <c r="V314" s="617"/>
      <c r="W314" s="617"/>
      <c r="X314" s="617"/>
    </row>
    <row r="315" ht="18.75" customHeight="1">
      <c r="A315" s="617"/>
      <c r="B315" s="617"/>
      <c r="C315" s="617"/>
      <c r="D315" s="617"/>
      <c r="E315" s="617"/>
      <c r="F315" s="617"/>
      <c r="G315" s="617"/>
      <c r="H315" s="617"/>
      <c r="I315" s="617"/>
      <c r="J315" s="617"/>
      <c r="K315" s="617"/>
      <c r="L315" s="617"/>
      <c r="M315" s="617"/>
      <c r="N315" s="617"/>
      <c r="O315" s="617"/>
      <c r="P315" s="617"/>
      <c r="Q315" s="617"/>
      <c r="R315" s="617"/>
      <c r="S315" s="617"/>
      <c r="T315" s="617"/>
      <c r="U315" s="617"/>
      <c r="V315" s="617"/>
      <c r="W315" s="617"/>
      <c r="X315" s="617"/>
    </row>
    <row r="316" ht="18.75" customHeight="1">
      <c r="A316" s="617"/>
      <c r="B316" s="617"/>
      <c r="C316" s="617"/>
      <c r="D316" s="617"/>
      <c r="E316" s="617"/>
      <c r="F316" s="617"/>
      <c r="G316" s="617"/>
      <c r="H316" s="617"/>
      <c r="I316" s="617"/>
      <c r="J316" s="617"/>
      <c r="K316" s="617"/>
      <c r="L316" s="617"/>
      <c r="M316" s="617"/>
      <c r="N316" s="617"/>
      <c r="O316" s="617"/>
      <c r="P316" s="617"/>
      <c r="Q316" s="617"/>
      <c r="R316" s="617"/>
      <c r="S316" s="617"/>
      <c r="T316" s="617"/>
      <c r="U316" s="617"/>
      <c r="V316" s="617"/>
      <c r="W316" s="617"/>
      <c r="X316" s="617"/>
    </row>
    <row r="317" ht="18.75" customHeight="1">
      <c r="A317" s="617"/>
      <c r="B317" s="617"/>
      <c r="C317" s="617"/>
      <c r="D317" s="617"/>
      <c r="E317" s="617"/>
      <c r="F317" s="617"/>
      <c r="G317" s="617"/>
      <c r="H317" s="617"/>
      <c r="I317" s="617"/>
      <c r="J317" s="617"/>
      <c r="K317" s="617"/>
      <c r="L317" s="617"/>
      <c r="M317" s="617"/>
      <c r="N317" s="617"/>
      <c r="O317" s="617"/>
      <c r="P317" s="617"/>
      <c r="Q317" s="617"/>
      <c r="R317" s="617"/>
      <c r="S317" s="617"/>
      <c r="T317" s="617"/>
      <c r="U317" s="617"/>
      <c r="V317" s="617"/>
      <c r="W317" s="617"/>
      <c r="X317" s="617"/>
    </row>
    <row r="318" ht="18.75" customHeight="1">
      <c r="A318" s="617"/>
      <c r="B318" s="617"/>
      <c r="C318" s="617"/>
      <c r="D318" s="617"/>
      <c r="E318" s="617"/>
      <c r="F318" s="617"/>
      <c r="G318" s="617"/>
      <c r="H318" s="617"/>
      <c r="I318" s="617"/>
      <c r="J318" s="617"/>
      <c r="K318" s="617"/>
      <c r="L318" s="617"/>
      <c r="M318" s="617"/>
      <c r="N318" s="617"/>
      <c r="O318" s="617"/>
      <c r="P318" s="617"/>
      <c r="Q318" s="617"/>
      <c r="R318" s="617"/>
      <c r="S318" s="617"/>
      <c r="T318" s="617"/>
      <c r="U318" s="617"/>
      <c r="V318" s="617"/>
      <c r="W318" s="617"/>
      <c r="X318" s="617"/>
    </row>
    <row r="319" ht="18.75" customHeight="1">
      <c r="A319" s="617"/>
      <c r="B319" s="617"/>
      <c r="C319" s="617"/>
      <c r="D319" s="617"/>
      <c r="E319" s="617"/>
      <c r="F319" s="617"/>
      <c r="G319" s="617"/>
      <c r="H319" s="617"/>
      <c r="I319" s="617"/>
      <c r="J319" s="617"/>
      <c r="K319" s="617"/>
      <c r="L319" s="617"/>
      <c r="M319" s="617"/>
      <c r="N319" s="617"/>
      <c r="O319" s="617"/>
      <c r="P319" s="617"/>
      <c r="Q319" s="617"/>
      <c r="R319" s="617"/>
      <c r="S319" s="617"/>
      <c r="T319" s="617"/>
      <c r="U319" s="617"/>
      <c r="V319" s="617"/>
      <c r="W319" s="617"/>
      <c r="X319" s="617"/>
    </row>
    <row r="320" ht="18.75" customHeight="1">
      <c r="A320" s="617"/>
      <c r="B320" s="617"/>
      <c r="C320" s="617"/>
      <c r="D320" s="617"/>
      <c r="E320" s="617"/>
      <c r="F320" s="617"/>
      <c r="G320" s="617"/>
      <c r="H320" s="617"/>
      <c r="I320" s="617"/>
      <c r="J320" s="617"/>
      <c r="K320" s="617"/>
      <c r="L320" s="617"/>
      <c r="M320" s="617"/>
      <c r="N320" s="617"/>
      <c r="O320" s="617"/>
      <c r="P320" s="617"/>
      <c r="Q320" s="617"/>
      <c r="R320" s="617"/>
      <c r="S320" s="617"/>
      <c r="T320" s="617"/>
      <c r="U320" s="617"/>
      <c r="V320" s="617"/>
      <c r="W320" s="617"/>
      <c r="X320" s="617"/>
    </row>
    <row r="321" ht="18.75" customHeight="1">
      <c r="A321" s="617"/>
      <c r="B321" s="617"/>
      <c r="C321" s="617"/>
      <c r="D321" s="617"/>
      <c r="E321" s="617"/>
      <c r="F321" s="617"/>
      <c r="G321" s="617"/>
      <c r="H321" s="617"/>
      <c r="I321" s="617"/>
      <c r="J321" s="617"/>
      <c r="K321" s="617"/>
      <c r="L321" s="617"/>
      <c r="M321" s="617"/>
      <c r="N321" s="617"/>
      <c r="O321" s="617"/>
      <c r="P321" s="617"/>
      <c r="Q321" s="617"/>
      <c r="R321" s="617"/>
      <c r="S321" s="617"/>
      <c r="T321" s="617"/>
      <c r="U321" s="617"/>
      <c r="V321" s="617"/>
      <c r="W321" s="617"/>
      <c r="X321" s="617"/>
    </row>
    <row r="322" ht="18.75" customHeight="1">
      <c r="A322" s="617"/>
      <c r="B322" s="617"/>
      <c r="C322" s="617"/>
      <c r="D322" s="617"/>
      <c r="E322" s="617"/>
      <c r="F322" s="617"/>
      <c r="G322" s="617"/>
      <c r="H322" s="617"/>
      <c r="I322" s="617"/>
      <c r="J322" s="617"/>
      <c r="K322" s="617"/>
      <c r="L322" s="617"/>
      <c r="M322" s="617"/>
      <c r="N322" s="617"/>
      <c r="O322" s="617"/>
      <c r="P322" s="617"/>
      <c r="Q322" s="617"/>
      <c r="R322" s="617"/>
      <c r="S322" s="617"/>
      <c r="T322" s="617"/>
      <c r="U322" s="617"/>
      <c r="V322" s="617"/>
      <c r="W322" s="617"/>
      <c r="X322" s="617"/>
    </row>
    <row r="323" ht="18.75" customHeight="1">
      <c r="A323" s="617"/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</row>
    <row r="324" ht="18.75" customHeight="1">
      <c r="A324" s="617"/>
      <c r="B324" s="617"/>
      <c r="C324" s="617"/>
      <c r="D324" s="617"/>
      <c r="E324" s="617"/>
      <c r="F324" s="617"/>
      <c r="G324" s="617"/>
      <c r="H324" s="617"/>
      <c r="I324" s="617"/>
      <c r="J324" s="617"/>
      <c r="K324" s="617"/>
      <c r="L324" s="617"/>
      <c r="M324" s="617"/>
      <c r="N324" s="617"/>
      <c r="O324" s="617"/>
      <c r="P324" s="617"/>
      <c r="Q324" s="617"/>
      <c r="R324" s="617"/>
      <c r="S324" s="617"/>
      <c r="T324" s="617"/>
      <c r="U324" s="617"/>
      <c r="V324" s="617"/>
      <c r="W324" s="617"/>
      <c r="X324" s="617"/>
    </row>
    <row r="325" ht="18.75" customHeight="1">
      <c r="A325" s="617"/>
      <c r="B325" s="617"/>
      <c r="C325" s="617"/>
      <c r="D325" s="617"/>
      <c r="E325" s="617"/>
      <c r="F325" s="617"/>
      <c r="G325" s="617"/>
      <c r="H325" s="617"/>
      <c r="I325" s="617"/>
      <c r="J325" s="617"/>
      <c r="K325" s="617"/>
      <c r="L325" s="617"/>
      <c r="M325" s="617"/>
      <c r="N325" s="617"/>
      <c r="O325" s="617"/>
      <c r="P325" s="617"/>
      <c r="Q325" s="617"/>
      <c r="R325" s="617"/>
      <c r="S325" s="617"/>
      <c r="T325" s="617"/>
      <c r="U325" s="617"/>
      <c r="V325" s="617"/>
      <c r="W325" s="617"/>
      <c r="X325" s="617"/>
    </row>
    <row r="326" ht="18.75" customHeight="1">
      <c r="A326" s="617"/>
      <c r="B326" s="617"/>
      <c r="C326" s="617"/>
      <c r="D326" s="617"/>
      <c r="E326" s="617"/>
      <c r="F326" s="617"/>
      <c r="G326" s="617"/>
      <c r="H326" s="617"/>
      <c r="I326" s="617"/>
      <c r="J326" s="617"/>
      <c r="K326" s="617"/>
      <c r="L326" s="617"/>
      <c r="M326" s="617"/>
      <c r="N326" s="617"/>
      <c r="O326" s="617"/>
      <c r="P326" s="617"/>
      <c r="Q326" s="617"/>
      <c r="R326" s="617"/>
      <c r="S326" s="617"/>
      <c r="T326" s="617"/>
      <c r="U326" s="617"/>
      <c r="V326" s="617"/>
      <c r="W326" s="617"/>
      <c r="X326" s="617"/>
    </row>
    <row r="327" ht="18.75" customHeight="1">
      <c r="A327" s="617"/>
      <c r="B327" s="617"/>
      <c r="C327" s="617"/>
      <c r="D327" s="617"/>
      <c r="E327" s="617"/>
      <c r="F327" s="617"/>
      <c r="G327" s="617"/>
      <c r="H327" s="617"/>
      <c r="I327" s="617"/>
      <c r="J327" s="617"/>
      <c r="K327" s="617"/>
      <c r="L327" s="617"/>
      <c r="M327" s="617"/>
      <c r="N327" s="617"/>
      <c r="O327" s="617"/>
      <c r="P327" s="617"/>
      <c r="Q327" s="617"/>
      <c r="R327" s="617"/>
      <c r="S327" s="617"/>
      <c r="T327" s="617"/>
      <c r="U327" s="617"/>
      <c r="V327" s="617"/>
      <c r="W327" s="617"/>
      <c r="X327" s="617"/>
    </row>
    <row r="328" ht="18.75" customHeight="1">
      <c r="A328" s="617"/>
      <c r="B328" s="617"/>
      <c r="C328" s="617"/>
      <c r="D328" s="617"/>
      <c r="E328" s="617"/>
      <c r="F328" s="617"/>
      <c r="G328" s="617"/>
      <c r="H328" s="617"/>
      <c r="I328" s="617"/>
      <c r="J328" s="617"/>
      <c r="K328" s="617"/>
      <c r="L328" s="617"/>
      <c r="M328" s="617"/>
      <c r="N328" s="617"/>
      <c r="O328" s="617"/>
      <c r="P328" s="617"/>
      <c r="Q328" s="617"/>
      <c r="R328" s="617"/>
      <c r="S328" s="617"/>
      <c r="T328" s="617"/>
      <c r="U328" s="617"/>
      <c r="V328" s="617"/>
      <c r="W328" s="617"/>
      <c r="X328" s="617"/>
    </row>
    <row r="329" ht="18.75" customHeight="1">
      <c r="A329" s="617"/>
      <c r="B329" s="617"/>
      <c r="C329" s="617"/>
      <c r="D329" s="617"/>
      <c r="E329" s="617"/>
      <c r="F329" s="617"/>
      <c r="G329" s="617"/>
      <c r="H329" s="617"/>
      <c r="I329" s="617"/>
      <c r="J329" s="617"/>
      <c r="K329" s="617"/>
      <c r="L329" s="617"/>
      <c r="M329" s="617"/>
      <c r="N329" s="617"/>
      <c r="O329" s="617"/>
      <c r="P329" s="617"/>
      <c r="Q329" s="617"/>
      <c r="R329" s="617"/>
      <c r="S329" s="617"/>
      <c r="T329" s="617"/>
      <c r="U329" s="617"/>
      <c r="V329" s="617"/>
      <c r="W329" s="617"/>
      <c r="X329" s="617"/>
    </row>
    <row r="330" ht="18.75" customHeight="1">
      <c r="A330" s="617"/>
      <c r="B330" s="617"/>
      <c r="C330" s="617"/>
      <c r="D330" s="617"/>
      <c r="E330" s="617"/>
      <c r="F330" s="617"/>
      <c r="G330" s="617"/>
      <c r="H330" s="617"/>
      <c r="I330" s="617"/>
      <c r="J330" s="617"/>
      <c r="K330" s="617"/>
      <c r="L330" s="617"/>
      <c r="M330" s="617"/>
      <c r="N330" s="617"/>
      <c r="O330" s="617"/>
      <c r="P330" s="617"/>
      <c r="Q330" s="617"/>
      <c r="R330" s="617"/>
      <c r="S330" s="617"/>
      <c r="T330" s="617"/>
      <c r="U330" s="617"/>
      <c r="V330" s="617"/>
      <c r="W330" s="617"/>
      <c r="X330" s="617"/>
    </row>
    <row r="331" ht="18.75" customHeight="1">
      <c r="A331" s="617"/>
      <c r="B331" s="617"/>
      <c r="C331" s="617"/>
      <c r="D331" s="617"/>
      <c r="E331" s="617"/>
      <c r="F331" s="617"/>
      <c r="G331" s="617"/>
      <c r="H331" s="617"/>
      <c r="I331" s="617"/>
      <c r="J331" s="617"/>
      <c r="K331" s="617"/>
      <c r="L331" s="617"/>
      <c r="M331" s="617"/>
      <c r="N331" s="617"/>
      <c r="O331" s="617"/>
      <c r="P331" s="617"/>
      <c r="Q331" s="617"/>
      <c r="R331" s="617"/>
      <c r="S331" s="617"/>
      <c r="T331" s="617"/>
      <c r="U331" s="617"/>
      <c r="V331" s="617"/>
      <c r="W331" s="617"/>
      <c r="X331" s="617"/>
    </row>
    <row r="332" ht="18.75" customHeight="1">
      <c r="A332" s="617"/>
      <c r="B332" s="617"/>
      <c r="C332" s="617"/>
      <c r="D332" s="617"/>
      <c r="E332" s="617"/>
      <c r="F332" s="617"/>
      <c r="G332" s="617"/>
      <c r="H332" s="617"/>
      <c r="I332" s="617"/>
      <c r="J332" s="617"/>
      <c r="K332" s="617"/>
      <c r="L332" s="617"/>
      <c r="M332" s="617"/>
      <c r="N332" s="617"/>
      <c r="O332" s="617"/>
      <c r="P332" s="617"/>
      <c r="Q332" s="617"/>
      <c r="R332" s="617"/>
      <c r="S332" s="617"/>
      <c r="T332" s="617"/>
      <c r="U332" s="617"/>
      <c r="V332" s="617"/>
      <c r="W332" s="617"/>
      <c r="X332" s="617"/>
    </row>
    <row r="333" ht="18.75" customHeight="1">
      <c r="A333" s="617"/>
      <c r="B333" s="617"/>
      <c r="C333" s="617"/>
      <c r="D333" s="617"/>
      <c r="E333" s="617"/>
      <c r="F333" s="617"/>
      <c r="G333" s="617"/>
      <c r="H333" s="617"/>
      <c r="I333" s="617"/>
      <c r="J333" s="617"/>
      <c r="K333" s="617"/>
      <c r="L333" s="617"/>
      <c r="M333" s="617"/>
      <c r="N333" s="617"/>
      <c r="O333" s="617"/>
      <c r="P333" s="617"/>
      <c r="Q333" s="617"/>
      <c r="R333" s="617"/>
      <c r="S333" s="617"/>
      <c r="T333" s="617"/>
      <c r="U333" s="617"/>
      <c r="V333" s="617"/>
      <c r="W333" s="617"/>
      <c r="X333" s="617"/>
    </row>
    <row r="334" ht="18.75" customHeight="1">
      <c r="A334" s="617"/>
      <c r="B334" s="617"/>
      <c r="C334" s="617"/>
      <c r="D334" s="617"/>
      <c r="E334" s="617"/>
      <c r="F334" s="617"/>
      <c r="G334" s="617"/>
      <c r="H334" s="617"/>
      <c r="I334" s="617"/>
      <c r="J334" s="617"/>
      <c r="K334" s="617"/>
      <c r="L334" s="617"/>
      <c r="M334" s="617"/>
      <c r="N334" s="617"/>
      <c r="O334" s="617"/>
      <c r="P334" s="617"/>
      <c r="Q334" s="617"/>
      <c r="R334" s="617"/>
      <c r="S334" s="617"/>
      <c r="T334" s="617"/>
      <c r="U334" s="617"/>
      <c r="V334" s="617"/>
      <c r="W334" s="617"/>
      <c r="X334" s="617"/>
    </row>
    <row r="335" ht="18.75" customHeight="1">
      <c r="A335" s="617"/>
      <c r="B335" s="617"/>
      <c r="C335" s="617"/>
      <c r="D335" s="617"/>
      <c r="E335" s="617"/>
      <c r="F335" s="617"/>
      <c r="G335" s="617"/>
      <c r="H335" s="617"/>
      <c r="I335" s="617"/>
      <c r="J335" s="617"/>
      <c r="K335" s="617"/>
      <c r="L335" s="617"/>
      <c r="M335" s="617"/>
      <c r="N335" s="617"/>
      <c r="O335" s="617"/>
      <c r="P335" s="617"/>
      <c r="Q335" s="617"/>
      <c r="R335" s="617"/>
      <c r="S335" s="617"/>
      <c r="T335" s="617"/>
      <c r="U335" s="617"/>
      <c r="V335" s="617"/>
      <c r="W335" s="617"/>
      <c r="X335" s="617"/>
    </row>
    <row r="336" ht="18.75" customHeight="1">
      <c r="A336" s="617"/>
      <c r="B336" s="617"/>
      <c r="C336" s="617"/>
      <c r="D336" s="617"/>
      <c r="E336" s="617"/>
      <c r="F336" s="617"/>
      <c r="G336" s="617"/>
      <c r="H336" s="617"/>
      <c r="I336" s="617"/>
      <c r="J336" s="617"/>
      <c r="K336" s="617"/>
      <c r="L336" s="617"/>
      <c r="M336" s="617"/>
      <c r="N336" s="617"/>
      <c r="O336" s="617"/>
      <c r="P336" s="617"/>
      <c r="Q336" s="617"/>
      <c r="R336" s="617"/>
      <c r="S336" s="617"/>
      <c r="T336" s="617"/>
      <c r="U336" s="617"/>
      <c r="V336" s="617"/>
      <c r="W336" s="617"/>
      <c r="X336" s="617"/>
    </row>
    <row r="337" ht="18.75" customHeight="1">
      <c r="A337" s="617"/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17"/>
      <c r="P337" s="617"/>
      <c r="Q337" s="617"/>
      <c r="R337" s="617"/>
      <c r="S337" s="617"/>
      <c r="T337" s="617"/>
      <c r="U337" s="617"/>
      <c r="V337" s="617"/>
      <c r="W337" s="617"/>
      <c r="X337" s="617"/>
    </row>
    <row r="338" ht="18.75" customHeight="1">
      <c r="A338" s="617"/>
      <c r="B338" s="617"/>
      <c r="C338" s="617"/>
      <c r="D338" s="617"/>
      <c r="E338" s="617"/>
      <c r="F338" s="617"/>
      <c r="G338" s="617"/>
      <c r="H338" s="617"/>
      <c r="I338" s="617"/>
      <c r="J338" s="617"/>
      <c r="K338" s="617"/>
      <c r="L338" s="617"/>
      <c r="M338" s="617"/>
      <c r="N338" s="617"/>
      <c r="O338" s="617"/>
      <c r="P338" s="617"/>
      <c r="Q338" s="617"/>
      <c r="R338" s="617"/>
      <c r="S338" s="617"/>
      <c r="T338" s="617"/>
      <c r="U338" s="617"/>
      <c r="V338" s="617"/>
      <c r="W338" s="617"/>
      <c r="X338" s="617"/>
    </row>
    <row r="339" ht="18.75" customHeight="1">
      <c r="A339" s="617"/>
      <c r="B339" s="617"/>
      <c r="C339" s="617"/>
      <c r="D339" s="617"/>
      <c r="E339" s="617"/>
      <c r="F339" s="617"/>
      <c r="G339" s="617"/>
      <c r="H339" s="617"/>
      <c r="I339" s="617"/>
      <c r="J339" s="617"/>
      <c r="K339" s="617"/>
      <c r="L339" s="617"/>
      <c r="M339" s="617"/>
      <c r="N339" s="617"/>
      <c r="O339" s="617"/>
      <c r="P339" s="617"/>
      <c r="Q339" s="617"/>
      <c r="R339" s="617"/>
      <c r="S339" s="617"/>
      <c r="T339" s="617"/>
      <c r="U339" s="617"/>
      <c r="V339" s="617"/>
      <c r="W339" s="617"/>
      <c r="X339" s="617"/>
    </row>
    <row r="340" ht="18.75" customHeight="1">
      <c r="A340" s="617"/>
      <c r="B340" s="617"/>
      <c r="C340" s="617"/>
      <c r="D340" s="617"/>
      <c r="E340" s="617"/>
      <c r="F340" s="617"/>
      <c r="G340" s="617"/>
      <c r="H340" s="617"/>
      <c r="I340" s="617"/>
      <c r="J340" s="617"/>
      <c r="K340" s="617"/>
      <c r="L340" s="617"/>
      <c r="M340" s="617"/>
      <c r="N340" s="617"/>
      <c r="O340" s="617"/>
      <c r="P340" s="617"/>
      <c r="Q340" s="617"/>
      <c r="R340" s="617"/>
      <c r="S340" s="617"/>
      <c r="T340" s="617"/>
      <c r="U340" s="617"/>
      <c r="V340" s="617"/>
      <c r="W340" s="617"/>
      <c r="X340" s="617"/>
    </row>
    <row r="341" ht="18.75" customHeight="1">
      <c r="A341" s="617"/>
      <c r="B341" s="617"/>
      <c r="C341" s="617"/>
      <c r="D341" s="617"/>
      <c r="E341" s="617"/>
      <c r="F341" s="617"/>
      <c r="G341" s="617"/>
      <c r="H341" s="617"/>
      <c r="I341" s="617"/>
      <c r="J341" s="617"/>
      <c r="K341" s="617"/>
      <c r="L341" s="617"/>
      <c r="M341" s="617"/>
      <c r="N341" s="617"/>
      <c r="O341" s="617"/>
      <c r="P341" s="617"/>
      <c r="Q341" s="617"/>
      <c r="R341" s="617"/>
      <c r="S341" s="617"/>
      <c r="T341" s="617"/>
      <c r="U341" s="617"/>
      <c r="V341" s="617"/>
      <c r="W341" s="617"/>
      <c r="X341" s="617"/>
    </row>
    <row r="342" ht="18.75" customHeight="1">
      <c r="A342" s="617"/>
      <c r="B342" s="617"/>
      <c r="C342" s="617"/>
      <c r="D342" s="617"/>
      <c r="E342" s="617"/>
      <c r="F342" s="617"/>
      <c r="G342" s="617"/>
      <c r="H342" s="617"/>
      <c r="I342" s="617"/>
      <c r="J342" s="617"/>
      <c r="K342" s="617"/>
      <c r="L342" s="617"/>
      <c r="M342" s="617"/>
      <c r="N342" s="617"/>
      <c r="O342" s="617"/>
      <c r="P342" s="617"/>
      <c r="Q342" s="617"/>
      <c r="R342" s="617"/>
      <c r="S342" s="617"/>
      <c r="T342" s="617"/>
      <c r="U342" s="617"/>
      <c r="V342" s="617"/>
      <c r="W342" s="617"/>
      <c r="X342" s="617"/>
    </row>
    <row r="343" ht="18.75" customHeight="1">
      <c r="A343" s="617"/>
      <c r="B343" s="617"/>
      <c r="C343" s="617"/>
      <c r="D343" s="617"/>
      <c r="E343" s="617"/>
      <c r="F343" s="617"/>
      <c r="G343" s="617"/>
      <c r="H343" s="617"/>
      <c r="I343" s="617"/>
      <c r="J343" s="617"/>
      <c r="K343" s="617"/>
      <c r="L343" s="617"/>
      <c r="M343" s="617"/>
      <c r="N343" s="617"/>
      <c r="O343" s="617"/>
      <c r="P343" s="617"/>
      <c r="Q343" s="617"/>
      <c r="R343" s="617"/>
      <c r="S343" s="617"/>
      <c r="T343" s="617"/>
      <c r="U343" s="617"/>
      <c r="V343" s="617"/>
      <c r="W343" s="617"/>
      <c r="X343" s="617"/>
    </row>
    <row r="344" ht="18.75" customHeight="1">
      <c r="A344" s="617"/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</row>
    <row r="345" ht="18.75" customHeight="1">
      <c r="A345" s="617"/>
      <c r="B345" s="617"/>
      <c r="C345" s="617"/>
      <c r="D345" s="617"/>
      <c r="E345" s="617"/>
      <c r="F345" s="617"/>
      <c r="G345" s="617"/>
      <c r="H345" s="617"/>
      <c r="I345" s="617"/>
      <c r="J345" s="617"/>
      <c r="K345" s="617"/>
      <c r="L345" s="617"/>
      <c r="M345" s="617"/>
      <c r="N345" s="617"/>
      <c r="O345" s="617"/>
      <c r="P345" s="617"/>
      <c r="Q345" s="617"/>
      <c r="R345" s="617"/>
      <c r="S345" s="617"/>
      <c r="T345" s="617"/>
      <c r="U345" s="617"/>
      <c r="V345" s="617"/>
      <c r="W345" s="617"/>
      <c r="X345" s="617"/>
    </row>
    <row r="346" ht="18.75" customHeight="1">
      <c r="A346" s="617"/>
      <c r="B346" s="617"/>
      <c r="C346" s="617"/>
      <c r="D346" s="617"/>
      <c r="E346" s="617"/>
      <c r="F346" s="617"/>
      <c r="G346" s="617"/>
      <c r="H346" s="617"/>
      <c r="I346" s="617"/>
      <c r="J346" s="617"/>
      <c r="K346" s="617"/>
      <c r="L346" s="617"/>
      <c r="M346" s="617"/>
      <c r="N346" s="617"/>
      <c r="O346" s="617"/>
      <c r="P346" s="617"/>
      <c r="Q346" s="617"/>
      <c r="R346" s="617"/>
      <c r="S346" s="617"/>
      <c r="T346" s="617"/>
      <c r="U346" s="617"/>
      <c r="V346" s="617"/>
      <c r="W346" s="617"/>
      <c r="X346" s="617"/>
    </row>
    <row r="347" ht="18.75" customHeight="1">
      <c r="A347" s="617"/>
      <c r="B347" s="617"/>
      <c r="C347" s="617"/>
      <c r="D347" s="617"/>
      <c r="E347" s="617"/>
      <c r="F347" s="617"/>
      <c r="G347" s="617"/>
      <c r="H347" s="617"/>
      <c r="I347" s="617"/>
      <c r="J347" s="617"/>
      <c r="K347" s="617"/>
      <c r="L347" s="617"/>
      <c r="M347" s="617"/>
      <c r="N347" s="617"/>
      <c r="O347" s="617"/>
      <c r="P347" s="617"/>
      <c r="Q347" s="617"/>
      <c r="R347" s="617"/>
      <c r="S347" s="617"/>
      <c r="T347" s="617"/>
      <c r="U347" s="617"/>
      <c r="V347" s="617"/>
      <c r="W347" s="617"/>
      <c r="X347" s="617"/>
    </row>
    <row r="348" ht="18.75" customHeight="1">
      <c r="A348" s="617"/>
      <c r="B348" s="617"/>
      <c r="C348" s="617"/>
      <c r="D348" s="617"/>
      <c r="E348" s="617"/>
      <c r="F348" s="617"/>
      <c r="G348" s="617"/>
      <c r="H348" s="617"/>
      <c r="I348" s="617"/>
      <c r="J348" s="617"/>
      <c r="K348" s="617"/>
      <c r="L348" s="617"/>
      <c r="M348" s="617"/>
      <c r="N348" s="617"/>
      <c r="O348" s="617"/>
      <c r="P348" s="617"/>
      <c r="Q348" s="617"/>
      <c r="R348" s="617"/>
      <c r="S348" s="617"/>
      <c r="T348" s="617"/>
      <c r="U348" s="617"/>
      <c r="V348" s="617"/>
      <c r="W348" s="617"/>
      <c r="X348" s="617"/>
    </row>
    <row r="349" ht="18.75" customHeight="1">
      <c r="A349" s="617"/>
      <c r="B349" s="617"/>
      <c r="C349" s="617"/>
      <c r="D349" s="617"/>
      <c r="E349" s="617"/>
      <c r="F349" s="617"/>
      <c r="G349" s="617"/>
      <c r="H349" s="617"/>
      <c r="I349" s="617"/>
      <c r="J349" s="617"/>
      <c r="K349" s="617"/>
      <c r="L349" s="617"/>
      <c r="M349" s="617"/>
      <c r="N349" s="617"/>
      <c r="O349" s="617"/>
      <c r="P349" s="617"/>
      <c r="Q349" s="617"/>
      <c r="R349" s="617"/>
      <c r="S349" s="617"/>
      <c r="T349" s="617"/>
      <c r="U349" s="617"/>
      <c r="V349" s="617"/>
      <c r="W349" s="617"/>
      <c r="X349" s="617"/>
    </row>
    <row r="350" ht="18.75" customHeight="1">
      <c r="A350" s="617"/>
      <c r="B350" s="617"/>
      <c r="C350" s="617"/>
      <c r="D350" s="617"/>
      <c r="E350" s="617"/>
      <c r="F350" s="617"/>
      <c r="G350" s="617"/>
      <c r="H350" s="617"/>
      <c r="I350" s="617"/>
      <c r="J350" s="617"/>
      <c r="K350" s="617"/>
      <c r="L350" s="617"/>
      <c r="M350" s="617"/>
      <c r="N350" s="617"/>
      <c r="O350" s="617"/>
      <c r="P350" s="617"/>
      <c r="Q350" s="617"/>
      <c r="R350" s="617"/>
      <c r="S350" s="617"/>
      <c r="T350" s="617"/>
      <c r="U350" s="617"/>
      <c r="V350" s="617"/>
      <c r="W350" s="617"/>
      <c r="X350" s="617"/>
    </row>
    <row r="351" ht="18.75" customHeight="1">
      <c r="A351" s="617"/>
      <c r="B351" s="617"/>
      <c r="C351" s="617"/>
      <c r="D351" s="617"/>
      <c r="E351" s="617"/>
      <c r="F351" s="617"/>
      <c r="G351" s="617"/>
      <c r="H351" s="617"/>
      <c r="I351" s="617"/>
      <c r="J351" s="617"/>
      <c r="K351" s="617"/>
      <c r="L351" s="617"/>
      <c r="M351" s="617"/>
      <c r="N351" s="617"/>
      <c r="O351" s="617"/>
      <c r="P351" s="617"/>
      <c r="Q351" s="617"/>
      <c r="R351" s="617"/>
      <c r="S351" s="617"/>
      <c r="T351" s="617"/>
      <c r="U351" s="617"/>
      <c r="V351" s="617"/>
      <c r="W351" s="617"/>
      <c r="X351" s="617"/>
    </row>
    <row r="352" ht="18.75" customHeight="1">
      <c r="A352" s="617"/>
      <c r="B352" s="617"/>
      <c r="C352" s="617"/>
      <c r="D352" s="617"/>
      <c r="E352" s="617"/>
      <c r="F352" s="617"/>
      <c r="G352" s="617"/>
      <c r="H352" s="617"/>
      <c r="I352" s="617"/>
      <c r="J352" s="617"/>
      <c r="K352" s="617"/>
      <c r="L352" s="617"/>
      <c r="M352" s="617"/>
      <c r="N352" s="617"/>
      <c r="O352" s="617"/>
      <c r="P352" s="617"/>
      <c r="Q352" s="617"/>
      <c r="R352" s="617"/>
      <c r="S352" s="617"/>
      <c r="T352" s="617"/>
      <c r="U352" s="617"/>
      <c r="V352" s="617"/>
      <c r="W352" s="617"/>
      <c r="X352" s="617"/>
    </row>
    <row r="353" ht="18.75" customHeight="1">
      <c r="A353" s="617"/>
      <c r="B353" s="617"/>
      <c r="C353" s="617"/>
      <c r="D353" s="617"/>
      <c r="E353" s="617"/>
      <c r="F353" s="617"/>
      <c r="G353" s="617"/>
      <c r="H353" s="617"/>
      <c r="I353" s="617"/>
      <c r="J353" s="617"/>
      <c r="K353" s="617"/>
      <c r="L353" s="617"/>
      <c r="M353" s="617"/>
      <c r="N353" s="617"/>
      <c r="O353" s="617"/>
      <c r="P353" s="617"/>
      <c r="Q353" s="617"/>
      <c r="R353" s="617"/>
      <c r="S353" s="617"/>
      <c r="T353" s="617"/>
      <c r="U353" s="617"/>
      <c r="V353" s="617"/>
      <c r="W353" s="617"/>
      <c r="X353" s="617"/>
    </row>
    <row r="354" ht="18.75" customHeight="1">
      <c r="A354" s="617"/>
      <c r="B354" s="617"/>
      <c r="C354" s="617"/>
      <c r="D354" s="617"/>
      <c r="E354" s="617"/>
      <c r="F354" s="617"/>
      <c r="G354" s="617"/>
      <c r="H354" s="617"/>
      <c r="I354" s="617"/>
      <c r="J354" s="617"/>
      <c r="K354" s="617"/>
      <c r="L354" s="617"/>
      <c r="M354" s="617"/>
      <c r="N354" s="617"/>
      <c r="O354" s="617"/>
      <c r="P354" s="617"/>
      <c r="Q354" s="617"/>
      <c r="R354" s="617"/>
      <c r="S354" s="617"/>
      <c r="T354" s="617"/>
      <c r="U354" s="617"/>
      <c r="V354" s="617"/>
      <c r="W354" s="617"/>
      <c r="X354" s="617"/>
    </row>
    <row r="355" ht="18.75" customHeight="1">
      <c r="A355" s="617"/>
      <c r="B355" s="617"/>
      <c r="C355" s="617"/>
      <c r="D355" s="617"/>
      <c r="E355" s="617"/>
      <c r="F355" s="617"/>
      <c r="G355" s="617"/>
      <c r="H355" s="617"/>
      <c r="I355" s="617"/>
      <c r="J355" s="617"/>
      <c r="K355" s="617"/>
      <c r="L355" s="617"/>
      <c r="M355" s="617"/>
      <c r="N355" s="617"/>
      <c r="O355" s="617"/>
      <c r="P355" s="617"/>
      <c r="Q355" s="617"/>
      <c r="R355" s="617"/>
      <c r="S355" s="617"/>
      <c r="T355" s="617"/>
      <c r="U355" s="617"/>
      <c r="V355" s="617"/>
      <c r="W355" s="617"/>
      <c r="X355" s="617"/>
    </row>
    <row r="356" ht="18.75" customHeight="1">
      <c r="A356" s="617"/>
      <c r="B356" s="617"/>
      <c r="C356" s="617"/>
      <c r="D356" s="617"/>
      <c r="E356" s="617"/>
      <c r="F356" s="617"/>
      <c r="G356" s="617"/>
      <c r="H356" s="617"/>
      <c r="I356" s="617"/>
      <c r="J356" s="617"/>
      <c r="K356" s="617"/>
      <c r="L356" s="617"/>
      <c r="M356" s="617"/>
      <c r="N356" s="617"/>
      <c r="O356" s="617"/>
      <c r="P356" s="617"/>
      <c r="Q356" s="617"/>
      <c r="R356" s="617"/>
      <c r="S356" s="617"/>
      <c r="T356" s="617"/>
      <c r="U356" s="617"/>
      <c r="V356" s="617"/>
      <c r="W356" s="617"/>
      <c r="X356" s="617"/>
    </row>
    <row r="357" ht="18.75" customHeight="1">
      <c r="A357" s="617"/>
      <c r="B357" s="617"/>
      <c r="C357" s="617"/>
      <c r="D357" s="617"/>
      <c r="E357" s="617"/>
      <c r="F357" s="617"/>
      <c r="G357" s="617"/>
      <c r="H357" s="617"/>
      <c r="I357" s="617"/>
      <c r="J357" s="617"/>
      <c r="K357" s="617"/>
      <c r="L357" s="617"/>
      <c r="M357" s="617"/>
      <c r="N357" s="617"/>
      <c r="O357" s="617"/>
      <c r="P357" s="617"/>
      <c r="Q357" s="617"/>
      <c r="R357" s="617"/>
      <c r="S357" s="617"/>
      <c r="T357" s="617"/>
      <c r="U357" s="617"/>
      <c r="V357" s="617"/>
      <c r="W357" s="617"/>
      <c r="X357" s="617"/>
    </row>
    <row r="358" ht="18.75" customHeight="1">
      <c r="A358" s="617"/>
      <c r="B358" s="617"/>
      <c r="C358" s="617"/>
      <c r="D358" s="617"/>
      <c r="E358" s="617"/>
      <c r="F358" s="617"/>
      <c r="G358" s="617"/>
      <c r="H358" s="617"/>
      <c r="I358" s="617"/>
      <c r="J358" s="617"/>
      <c r="K358" s="617"/>
      <c r="L358" s="617"/>
      <c r="M358" s="617"/>
      <c r="N358" s="617"/>
      <c r="O358" s="617"/>
      <c r="P358" s="617"/>
      <c r="Q358" s="617"/>
      <c r="R358" s="617"/>
      <c r="S358" s="617"/>
      <c r="T358" s="617"/>
      <c r="U358" s="617"/>
      <c r="V358" s="617"/>
      <c r="W358" s="617"/>
      <c r="X358" s="617"/>
    </row>
    <row r="359" ht="18.75" customHeight="1">
      <c r="A359" s="617"/>
      <c r="B359" s="617"/>
      <c r="C359" s="617"/>
      <c r="D359" s="617"/>
      <c r="E359" s="617"/>
      <c r="F359" s="617"/>
      <c r="G359" s="617"/>
      <c r="H359" s="617"/>
      <c r="I359" s="617"/>
      <c r="J359" s="617"/>
      <c r="K359" s="617"/>
      <c r="L359" s="617"/>
      <c r="M359" s="617"/>
      <c r="N359" s="617"/>
      <c r="O359" s="617"/>
      <c r="P359" s="617"/>
      <c r="Q359" s="617"/>
      <c r="R359" s="617"/>
      <c r="S359" s="617"/>
      <c r="T359" s="617"/>
      <c r="U359" s="617"/>
      <c r="V359" s="617"/>
      <c r="W359" s="617"/>
      <c r="X359" s="617"/>
    </row>
    <row r="360" ht="18.75" customHeight="1">
      <c r="A360" s="617"/>
      <c r="B360" s="617"/>
      <c r="C360" s="617"/>
      <c r="D360" s="617"/>
      <c r="E360" s="617"/>
      <c r="F360" s="617"/>
      <c r="G360" s="617"/>
      <c r="H360" s="617"/>
      <c r="I360" s="617"/>
      <c r="J360" s="617"/>
      <c r="K360" s="617"/>
      <c r="L360" s="617"/>
      <c r="M360" s="617"/>
      <c r="N360" s="617"/>
      <c r="O360" s="617"/>
      <c r="P360" s="617"/>
      <c r="Q360" s="617"/>
      <c r="R360" s="617"/>
      <c r="S360" s="617"/>
      <c r="T360" s="617"/>
      <c r="U360" s="617"/>
      <c r="V360" s="617"/>
      <c r="W360" s="617"/>
      <c r="X360" s="617"/>
    </row>
    <row r="361" ht="18.75" customHeight="1">
      <c r="A361" s="617"/>
      <c r="B361" s="617"/>
      <c r="C361" s="617"/>
      <c r="D361" s="617"/>
      <c r="E361" s="617"/>
      <c r="F361" s="617"/>
      <c r="G361" s="617"/>
      <c r="H361" s="617"/>
      <c r="I361" s="617"/>
      <c r="J361" s="617"/>
      <c r="K361" s="617"/>
      <c r="L361" s="617"/>
      <c r="M361" s="617"/>
      <c r="N361" s="617"/>
      <c r="O361" s="617"/>
      <c r="P361" s="617"/>
      <c r="Q361" s="617"/>
      <c r="R361" s="617"/>
      <c r="S361" s="617"/>
      <c r="T361" s="617"/>
      <c r="U361" s="617"/>
      <c r="V361" s="617"/>
      <c r="W361" s="617"/>
      <c r="X361" s="617"/>
    </row>
    <row r="362" ht="18.75" customHeight="1">
      <c r="A362" s="617"/>
      <c r="B362" s="617"/>
      <c r="C362" s="617"/>
      <c r="D362" s="617"/>
      <c r="E362" s="617"/>
      <c r="F362" s="617"/>
      <c r="G362" s="617"/>
      <c r="H362" s="617"/>
      <c r="I362" s="617"/>
      <c r="J362" s="617"/>
      <c r="K362" s="617"/>
      <c r="L362" s="617"/>
      <c r="M362" s="617"/>
      <c r="N362" s="617"/>
      <c r="O362" s="617"/>
      <c r="P362" s="617"/>
      <c r="Q362" s="617"/>
      <c r="R362" s="617"/>
      <c r="S362" s="617"/>
      <c r="T362" s="617"/>
      <c r="U362" s="617"/>
      <c r="V362" s="617"/>
      <c r="W362" s="617"/>
      <c r="X362" s="617"/>
    </row>
    <row r="363" ht="18.75" customHeight="1">
      <c r="A363" s="617"/>
      <c r="B363" s="617"/>
      <c r="C363" s="617"/>
      <c r="D363" s="617"/>
      <c r="E363" s="617"/>
      <c r="F363" s="617"/>
      <c r="G363" s="617"/>
      <c r="H363" s="617"/>
      <c r="I363" s="617"/>
      <c r="J363" s="617"/>
      <c r="K363" s="617"/>
      <c r="L363" s="617"/>
      <c r="M363" s="617"/>
      <c r="N363" s="617"/>
      <c r="O363" s="617"/>
      <c r="P363" s="617"/>
      <c r="Q363" s="617"/>
      <c r="R363" s="617"/>
      <c r="S363" s="617"/>
      <c r="T363" s="617"/>
      <c r="U363" s="617"/>
      <c r="V363" s="617"/>
      <c r="W363" s="617"/>
      <c r="X363" s="617"/>
    </row>
    <row r="364" ht="18.75" customHeight="1">
      <c r="A364" s="617"/>
      <c r="B364" s="617"/>
      <c r="C364" s="617"/>
      <c r="D364" s="617"/>
      <c r="E364" s="617"/>
      <c r="F364" s="617"/>
      <c r="G364" s="617"/>
      <c r="H364" s="617"/>
      <c r="I364" s="617"/>
      <c r="J364" s="617"/>
      <c r="K364" s="617"/>
      <c r="L364" s="617"/>
      <c r="M364" s="617"/>
      <c r="N364" s="617"/>
      <c r="O364" s="617"/>
      <c r="P364" s="617"/>
      <c r="Q364" s="617"/>
      <c r="R364" s="617"/>
      <c r="S364" s="617"/>
      <c r="T364" s="617"/>
      <c r="U364" s="617"/>
      <c r="V364" s="617"/>
      <c r="W364" s="617"/>
      <c r="X364" s="617"/>
    </row>
    <row r="365" ht="18.75" customHeight="1">
      <c r="A365" s="617"/>
      <c r="B365" s="617"/>
      <c r="C365" s="617"/>
      <c r="D365" s="617"/>
      <c r="E365" s="617"/>
      <c r="F365" s="617"/>
      <c r="G365" s="617"/>
      <c r="H365" s="617"/>
      <c r="I365" s="617"/>
      <c r="J365" s="617"/>
      <c r="K365" s="617"/>
      <c r="L365" s="617"/>
      <c r="M365" s="617"/>
      <c r="N365" s="617"/>
      <c r="O365" s="617"/>
      <c r="P365" s="617"/>
      <c r="Q365" s="617"/>
      <c r="R365" s="617"/>
      <c r="S365" s="617"/>
      <c r="T365" s="617"/>
      <c r="U365" s="617"/>
      <c r="V365" s="617"/>
      <c r="W365" s="617"/>
      <c r="X365" s="617"/>
    </row>
    <row r="366" ht="18.75" customHeight="1">
      <c r="A366" s="617"/>
      <c r="B366" s="617"/>
      <c r="C366" s="617"/>
      <c r="D366" s="617"/>
      <c r="E366" s="617"/>
      <c r="F366" s="617"/>
      <c r="G366" s="617"/>
      <c r="H366" s="617"/>
      <c r="I366" s="617"/>
      <c r="J366" s="617"/>
      <c r="K366" s="617"/>
      <c r="L366" s="617"/>
      <c r="M366" s="617"/>
      <c r="N366" s="617"/>
      <c r="O366" s="617"/>
      <c r="P366" s="617"/>
      <c r="Q366" s="617"/>
      <c r="R366" s="617"/>
      <c r="S366" s="617"/>
      <c r="T366" s="617"/>
      <c r="U366" s="617"/>
      <c r="V366" s="617"/>
      <c r="W366" s="617"/>
      <c r="X366" s="617"/>
    </row>
    <row r="367" ht="18.75" customHeight="1">
      <c r="A367" s="617"/>
      <c r="B367" s="617"/>
      <c r="C367" s="617"/>
      <c r="D367" s="617"/>
      <c r="E367" s="617"/>
      <c r="F367" s="617"/>
      <c r="G367" s="617"/>
      <c r="H367" s="617"/>
      <c r="I367" s="617"/>
      <c r="J367" s="617"/>
      <c r="K367" s="617"/>
      <c r="L367" s="617"/>
      <c r="M367" s="617"/>
      <c r="N367" s="617"/>
      <c r="O367" s="617"/>
      <c r="P367" s="617"/>
      <c r="Q367" s="617"/>
      <c r="R367" s="617"/>
      <c r="S367" s="617"/>
      <c r="T367" s="617"/>
      <c r="U367" s="617"/>
      <c r="V367" s="617"/>
      <c r="W367" s="617"/>
      <c r="X367" s="617"/>
    </row>
    <row r="368" ht="18.75" customHeight="1">
      <c r="A368" s="617"/>
      <c r="B368" s="617"/>
      <c r="C368" s="617"/>
      <c r="D368" s="617"/>
      <c r="E368" s="617"/>
      <c r="F368" s="617"/>
      <c r="G368" s="617"/>
      <c r="H368" s="617"/>
      <c r="I368" s="617"/>
      <c r="J368" s="617"/>
      <c r="K368" s="617"/>
      <c r="L368" s="617"/>
      <c r="M368" s="617"/>
      <c r="N368" s="617"/>
      <c r="O368" s="617"/>
      <c r="P368" s="617"/>
      <c r="Q368" s="617"/>
      <c r="R368" s="617"/>
      <c r="S368" s="617"/>
      <c r="T368" s="617"/>
      <c r="U368" s="617"/>
      <c r="V368" s="617"/>
      <c r="W368" s="617"/>
      <c r="X368" s="617"/>
    </row>
    <row r="369" ht="18.75" customHeight="1">
      <c r="A369" s="617"/>
      <c r="B369" s="617"/>
      <c r="C369" s="617"/>
      <c r="D369" s="617"/>
      <c r="E369" s="617"/>
      <c r="F369" s="617"/>
      <c r="G369" s="617"/>
      <c r="H369" s="617"/>
      <c r="I369" s="617"/>
      <c r="J369" s="617"/>
      <c r="K369" s="617"/>
      <c r="L369" s="617"/>
      <c r="M369" s="617"/>
      <c r="N369" s="617"/>
      <c r="O369" s="617"/>
      <c r="P369" s="617"/>
      <c r="Q369" s="617"/>
      <c r="R369" s="617"/>
      <c r="S369" s="617"/>
      <c r="T369" s="617"/>
      <c r="U369" s="617"/>
      <c r="V369" s="617"/>
      <c r="W369" s="617"/>
      <c r="X369" s="617"/>
    </row>
    <row r="370" ht="18.75" customHeight="1">
      <c r="A370" s="617"/>
      <c r="B370" s="617"/>
      <c r="C370" s="617"/>
      <c r="D370" s="617"/>
      <c r="E370" s="617"/>
      <c r="F370" s="617"/>
      <c r="G370" s="617"/>
      <c r="H370" s="617"/>
      <c r="I370" s="617"/>
      <c r="J370" s="617"/>
      <c r="K370" s="617"/>
      <c r="L370" s="617"/>
      <c r="M370" s="617"/>
      <c r="N370" s="617"/>
      <c r="O370" s="617"/>
      <c r="P370" s="617"/>
      <c r="Q370" s="617"/>
      <c r="R370" s="617"/>
      <c r="S370" s="617"/>
      <c r="T370" s="617"/>
      <c r="U370" s="617"/>
      <c r="V370" s="617"/>
      <c r="W370" s="617"/>
      <c r="X370" s="617"/>
    </row>
    <row r="371" ht="18.75" customHeight="1">
      <c r="A371" s="617"/>
      <c r="B371" s="617"/>
      <c r="C371" s="617"/>
      <c r="D371" s="617"/>
      <c r="E371" s="617"/>
      <c r="F371" s="617"/>
      <c r="G371" s="617"/>
      <c r="H371" s="617"/>
      <c r="I371" s="617"/>
      <c r="J371" s="617"/>
      <c r="K371" s="617"/>
      <c r="L371" s="617"/>
      <c r="M371" s="617"/>
      <c r="N371" s="617"/>
      <c r="O371" s="617"/>
      <c r="P371" s="617"/>
      <c r="Q371" s="617"/>
      <c r="R371" s="617"/>
      <c r="S371" s="617"/>
      <c r="T371" s="617"/>
      <c r="U371" s="617"/>
      <c r="V371" s="617"/>
      <c r="W371" s="617"/>
      <c r="X371" s="617"/>
    </row>
    <row r="372" ht="18.75" customHeight="1">
      <c r="A372" s="617"/>
      <c r="B372" s="617"/>
      <c r="C372" s="617"/>
      <c r="D372" s="617"/>
      <c r="E372" s="617"/>
      <c r="F372" s="617"/>
      <c r="G372" s="617"/>
      <c r="H372" s="617"/>
      <c r="I372" s="617"/>
      <c r="J372" s="617"/>
      <c r="K372" s="617"/>
      <c r="L372" s="617"/>
      <c r="M372" s="617"/>
      <c r="N372" s="617"/>
      <c r="O372" s="617"/>
      <c r="P372" s="617"/>
      <c r="Q372" s="617"/>
      <c r="R372" s="617"/>
      <c r="S372" s="617"/>
      <c r="T372" s="617"/>
      <c r="U372" s="617"/>
      <c r="V372" s="617"/>
      <c r="W372" s="617"/>
      <c r="X372" s="617"/>
    </row>
    <row r="373" ht="18.75" customHeight="1">
      <c r="A373" s="617"/>
      <c r="B373" s="617"/>
      <c r="C373" s="617"/>
      <c r="D373" s="617"/>
      <c r="E373" s="617"/>
      <c r="F373" s="617"/>
      <c r="G373" s="617"/>
      <c r="H373" s="617"/>
      <c r="I373" s="617"/>
      <c r="J373" s="617"/>
      <c r="K373" s="617"/>
      <c r="L373" s="617"/>
      <c r="M373" s="617"/>
      <c r="N373" s="617"/>
      <c r="O373" s="617"/>
      <c r="P373" s="617"/>
      <c r="Q373" s="617"/>
      <c r="R373" s="617"/>
      <c r="S373" s="617"/>
      <c r="T373" s="617"/>
      <c r="U373" s="617"/>
      <c r="V373" s="617"/>
      <c r="W373" s="617"/>
      <c r="X373" s="617"/>
    </row>
    <row r="374" ht="18.75" customHeight="1">
      <c r="A374" s="617"/>
      <c r="B374" s="617"/>
      <c r="C374" s="617"/>
      <c r="D374" s="617"/>
      <c r="E374" s="617"/>
      <c r="F374" s="617"/>
      <c r="G374" s="617"/>
      <c r="H374" s="617"/>
      <c r="I374" s="617"/>
      <c r="J374" s="617"/>
      <c r="K374" s="617"/>
      <c r="L374" s="617"/>
      <c r="M374" s="617"/>
      <c r="N374" s="617"/>
      <c r="O374" s="617"/>
      <c r="P374" s="617"/>
      <c r="Q374" s="617"/>
      <c r="R374" s="617"/>
      <c r="S374" s="617"/>
      <c r="T374" s="617"/>
      <c r="U374" s="617"/>
      <c r="V374" s="617"/>
      <c r="W374" s="617"/>
      <c r="X374" s="617"/>
    </row>
    <row r="375" ht="18.75" customHeight="1">
      <c r="A375" s="617"/>
      <c r="B375" s="617"/>
      <c r="C375" s="617"/>
      <c r="D375" s="617"/>
      <c r="E375" s="617"/>
      <c r="F375" s="617"/>
      <c r="G375" s="617"/>
      <c r="H375" s="617"/>
      <c r="I375" s="617"/>
      <c r="J375" s="617"/>
      <c r="K375" s="617"/>
      <c r="L375" s="617"/>
      <c r="M375" s="617"/>
      <c r="N375" s="617"/>
      <c r="O375" s="617"/>
      <c r="P375" s="617"/>
      <c r="Q375" s="617"/>
      <c r="R375" s="617"/>
      <c r="S375" s="617"/>
      <c r="T375" s="617"/>
      <c r="U375" s="617"/>
      <c r="V375" s="617"/>
      <c r="W375" s="617"/>
      <c r="X375" s="617"/>
    </row>
    <row r="376" ht="18.75" customHeight="1">
      <c r="A376" s="617"/>
      <c r="B376" s="617"/>
      <c r="C376" s="617"/>
      <c r="D376" s="617"/>
      <c r="E376" s="617"/>
      <c r="F376" s="617"/>
      <c r="G376" s="617"/>
      <c r="H376" s="617"/>
      <c r="I376" s="617"/>
      <c r="J376" s="617"/>
      <c r="K376" s="617"/>
      <c r="L376" s="617"/>
      <c r="M376" s="617"/>
      <c r="N376" s="617"/>
      <c r="O376" s="617"/>
      <c r="P376" s="617"/>
      <c r="Q376" s="617"/>
      <c r="R376" s="617"/>
      <c r="S376" s="617"/>
      <c r="T376" s="617"/>
      <c r="U376" s="617"/>
      <c r="V376" s="617"/>
      <c r="W376" s="617"/>
      <c r="X376" s="617"/>
    </row>
    <row r="377" ht="18.75" customHeight="1">
      <c r="A377" s="617"/>
      <c r="B377" s="617"/>
      <c r="C377" s="617"/>
      <c r="D377" s="617"/>
      <c r="E377" s="617"/>
      <c r="F377" s="617"/>
      <c r="G377" s="617"/>
      <c r="H377" s="617"/>
      <c r="I377" s="617"/>
      <c r="J377" s="617"/>
      <c r="K377" s="617"/>
      <c r="L377" s="617"/>
      <c r="M377" s="617"/>
      <c r="N377" s="617"/>
      <c r="O377" s="617"/>
      <c r="P377" s="617"/>
      <c r="Q377" s="617"/>
      <c r="R377" s="617"/>
      <c r="S377" s="617"/>
      <c r="T377" s="617"/>
      <c r="U377" s="617"/>
      <c r="V377" s="617"/>
      <c r="W377" s="617"/>
      <c r="X377" s="617"/>
    </row>
    <row r="378" ht="18.75" customHeight="1">
      <c r="A378" s="617"/>
      <c r="B378" s="617"/>
      <c r="C378" s="617"/>
      <c r="D378" s="617"/>
      <c r="E378" s="617"/>
      <c r="F378" s="617"/>
      <c r="G378" s="617"/>
      <c r="H378" s="617"/>
      <c r="I378" s="617"/>
      <c r="J378" s="617"/>
      <c r="K378" s="617"/>
      <c r="L378" s="617"/>
      <c r="M378" s="617"/>
      <c r="N378" s="617"/>
      <c r="O378" s="617"/>
      <c r="P378" s="617"/>
      <c r="Q378" s="617"/>
      <c r="R378" s="617"/>
      <c r="S378" s="617"/>
      <c r="T378" s="617"/>
      <c r="U378" s="617"/>
      <c r="V378" s="617"/>
      <c r="W378" s="617"/>
      <c r="X378" s="617"/>
    </row>
    <row r="379" ht="18.75" customHeight="1">
      <c r="A379" s="617"/>
      <c r="B379" s="617"/>
      <c r="C379" s="617"/>
      <c r="D379" s="617"/>
      <c r="E379" s="617"/>
      <c r="F379" s="617"/>
      <c r="G379" s="617"/>
      <c r="H379" s="617"/>
      <c r="I379" s="617"/>
      <c r="J379" s="617"/>
      <c r="K379" s="617"/>
      <c r="L379" s="617"/>
      <c r="M379" s="617"/>
      <c r="N379" s="617"/>
      <c r="O379" s="617"/>
      <c r="P379" s="617"/>
      <c r="Q379" s="617"/>
      <c r="R379" s="617"/>
      <c r="S379" s="617"/>
      <c r="T379" s="617"/>
      <c r="U379" s="617"/>
      <c r="V379" s="617"/>
      <c r="W379" s="617"/>
      <c r="X379" s="617"/>
    </row>
    <row r="380" ht="18.75" customHeight="1">
      <c r="A380" s="617"/>
      <c r="B380" s="617"/>
      <c r="C380" s="617"/>
      <c r="D380" s="617"/>
      <c r="E380" s="617"/>
      <c r="F380" s="617"/>
      <c r="G380" s="617"/>
      <c r="H380" s="617"/>
      <c r="I380" s="617"/>
      <c r="J380" s="617"/>
      <c r="K380" s="617"/>
      <c r="L380" s="617"/>
      <c r="M380" s="617"/>
      <c r="N380" s="617"/>
      <c r="O380" s="617"/>
      <c r="P380" s="617"/>
      <c r="Q380" s="617"/>
      <c r="R380" s="617"/>
      <c r="S380" s="617"/>
      <c r="T380" s="617"/>
      <c r="U380" s="617"/>
      <c r="V380" s="617"/>
      <c r="W380" s="617"/>
      <c r="X380" s="617"/>
    </row>
    <row r="381" ht="18.75" customHeight="1">
      <c r="A381" s="617"/>
      <c r="B381" s="617"/>
      <c r="C381" s="617"/>
      <c r="D381" s="617"/>
      <c r="E381" s="617"/>
      <c r="F381" s="617"/>
      <c r="G381" s="617"/>
      <c r="H381" s="617"/>
      <c r="I381" s="617"/>
      <c r="J381" s="617"/>
      <c r="K381" s="617"/>
      <c r="L381" s="617"/>
      <c r="M381" s="617"/>
      <c r="N381" s="617"/>
      <c r="O381" s="617"/>
      <c r="P381" s="617"/>
      <c r="Q381" s="617"/>
      <c r="R381" s="617"/>
      <c r="S381" s="617"/>
      <c r="T381" s="617"/>
      <c r="U381" s="617"/>
      <c r="V381" s="617"/>
      <c r="W381" s="617"/>
      <c r="X381" s="617"/>
    </row>
    <row r="382" ht="18.75" customHeight="1">
      <c r="A382" s="617"/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17"/>
      <c r="P382" s="617"/>
      <c r="Q382" s="617"/>
      <c r="R382" s="617"/>
      <c r="S382" s="617"/>
      <c r="T382" s="617"/>
      <c r="U382" s="617"/>
      <c r="V382" s="617"/>
      <c r="W382" s="617"/>
      <c r="X382" s="617"/>
    </row>
    <row r="383" ht="18.75" customHeight="1">
      <c r="A383" s="617"/>
      <c r="B383" s="617"/>
      <c r="C383" s="617"/>
      <c r="D383" s="617"/>
      <c r="E383" s="617"/>
      <c r="F383" s="617"/>
      <c r="G383" s="617"/>
      <c r="H383" s="617"/>
      <c r="I383" s="617"/>
      <c r="J383" s="617"/>
      <c r="K383" s="617"/>
      <c r="L383" s="617"/>
      <c r="M383" s="617"/>
      <c r="N383" s="617"/>
      <c r="O383" s="617"/>
      <c r="P383" s="617"/>
      <c r="Q383" s="617"/>
      <c r="R383" s="617"/>
      <c r="S383" s="617"/>
      <c r="T383" s="617"/>
      <c r="U383" s="617"/>
      <c r="V383" s="617"/>
      <c r="W383" s="617"/>
      <c r="X383" s="617"/>
    </row>
    <row r="384" ht="18.75" customHeight="1">
      <c r="A384" s="617"/>
      <c r="B384" s="617"/>
      <c r="C384" s="617"/>
      <c r="D384" s="617"/>
      <c r="E384" s="617"/>
      <c r="F384" s="617"/>
      <c r="G384" s="617"/>
      <c r="H384" s="617"/>
      <c r="I384" s="617"/>
      <c r="J384" s="617"/>
      <c r="K384" s="617"/>
      <c r="L384" s="617"/>
      <c r="M384" s="617"/>
      <c r="N384" s="617"/>
      <c r="O384" s="617"/>
      <c r="P384" s="617"/>
      <c r="Q384" s="617"/>
      <c r="R384" s="617"/>
      <c r="S384" s="617"/>
      <c r="T384" s="617"/>
      <c r="U384" s="617"/>
      <c r="V384" s="617"/>
      <c r="W384" s="617"/>
      <c r="X384" s="617"/>
    </row>
    <row r="385" ht="18.75" customHeight="1">
      <c r="A385" s="617"/>
      <c r="B385" s="617"/>
      <c r="C385" s="617"/>
      <c r="D385" s="617"/>
      <c r="E385" s="617"/>
      <c r="F385" s="617"/>
      <c r="G385" s="617"/>
      <c r="H385" s="617"/>
      <c r="I385" s="617"/>
      <c r="J385" s="617"/>
      <c r="K385" s="617"/>
      <c r="L385" s="617"/>
      <c r="M385" s="617"/>
      <c r="N385" s="617"/>
      <c r="O385" s="617"/>
      <c r="P385" s="617"/>
      <c r="Q385" s="617"/>
      <c r="R385" s="617"/>
      <c r="S385" s="617"/>
      <c r="T385" s="617"/>
      <c r="U385" s="617"/>
      <c r="V385" s="617"/>
      <c r="W385" s="617"/>
      <c r="X385" s="617"/>
    </row>
    <row r="386" ht="18.75" customHeight="1">
      <c r="A386" s="617"/>
      <c r="B386" s="617"/>
      <c r="C386" s="617"/>
      <c r="D386" s="617"/>
      <c r="E386" s="617"/>
      <c r="F386" s="617"/>
      <c r="G386" s="617"/>
      <c r="H386" s="617"/>
      <c r="I386" s="617"/>
      <c r="J386" s="617"/>
      <c r="K386" s="617"/>
      <c r="L386" s="617"/>
      <c r="M386" s="617"/>
      <c r="N386" s="617"/>
      <c r="O386" s="617"/>
      <c r="P386" s="617"/>
      <c r="Q386" s="617"/>
      <c r="R386" s="617"/>
      <c r="S386" s="617"/>
      <c r="T386" s="617"/>
      <c r="U386" s="617"/>
      <c r="V386" s="617"/>
      <c r="W386" s="617"/>
      <c r="X386" s="617"/>
    </row>
    <row r="387" ht="18.75" customHeight="1">
      <c r="A387" s="617"/>
      <c r="B387" s="617"/>
      <c r="C387" s="617"/>
      <c r="D387" s="617"/>
      <c r="E387" s="617"/>
      <c r="F387" s="617"/>
      <c r="G387" s="617"/>
      <c r="H387" s="617"/>
      <c r="I387" s="617"/>
      <c r="J387" s="617"/>
      <c r="K387" s="617"/>
      <c r="L387" s="617"/>
      <c r="M387" s="617"/>
      <c r="N387" s="617"/>
      <c r="O387" s="617"/>
      <c r="P387" s="617"/>
      <c r="Q387" s="617"/>
      <c r="R387" s="617"/>
      <c r="S387" s="617"/>
      <c r="T387" s="617"/>
      <c r="U387" s="617"/>
      <c r="V387" s="617"/>
      <c r="W387" s="617"/>
      <c r="X387" s="617"/>
    </row>
    <row r="388" ht="18.75" customHeight="1">
      <c r="A388" s="617"/>
      <c r="B388" s="617"/>
      <c r="C388" s="617"/>
      <c r="D388" s="617"/>
      <c r="E388" s="617"/>
      <c r="F388" s="617"/>
      <c r="G388" s="617"/>
      <c r="H388" s="617"/>
      <c r="I388" s="617"/>
      <c r="J388" s="617"/>
      <c r="K388" s="617"/>
      <c r="L388" s="617"/>
      <c r="M388" s="617"/>
      <c r="N388" s="617"/>
      <c r="O388" s="617"/>
      <c r="P388" s="617"/>
      <c r="Q388" s="617"/>
      <c r="R388" s="617"/>
      <c r="S388" s="617"/>
      <c r="T388" s="617"/>
      <c r="U388" s="617"/>
      <c r="V388" s="617"/>
      <c r="W388" s="617"/>
      <c r="X388" s="617"/>
    </row>
    <row r="389" ht="18.75" customHeight="1">
      <c r="A389" s="617"/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17"/>
      <c r="P389" s="617"/>
      <c r="Q389" s="617"/>
      <c r="R389" s="617"/>
      <c r="S389" s="617"/>
      <c r="T389" s="617"/>
      <c r="U389" s="617"/>
      <c r="V389" s="617"/>
      <c r="W389" s="617"/>
      <c r="X389" s="617"/>
    </row>
    <row r="390" ht="18.75" customHeight="1">
      <c r="A390" s="617"/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</row>
    <row r="391" ht="18.75" customHeight="1">
      <c r="A391" s="617"/>
      <c r="B391" s="617"/>
      <c r="C391" s="617"/>
      <c r="D391" s="617"/>
      <c r="E391" s="617"/>
      <c r="F391" s="617"/>
      <c r="G391" s="617"/>
      <c r="H391" s="617"/>
      <c r="I391" s="617"/>
      <c r="J391" s="617"/>
      <c r="K391" s="617"/>
      <c r="L391" s="617"/>
      <c r="M391" s="617"/>
      <c r="N391" s="617"/>
      <c r="O391" s="617"/>
      <c r="P391" s="617"/>
      <c r="Q391" s="617"/>
      <c r="R391" s="617"/>
      <c r="S391" s="617"/>
      <c r="T391" s="617"/>
      <c r="U391" s="617"/>
      <c r="V391" s="617"/>
      <c r="W391" s="617"/>
      <c r="X391" s="617"/>
    </row>
    <row r="392" ht="18.75" customHeight="1">
      <c r="A392" s="617"/>
      <c r="B392" s="617"/>
      <c r="C392" s="617"/>
      <c r="D392" s="617"/>
      <c r="E392" s="617"/>
      <c r="F392" s="617"/>
      <c r="G392" s="617"/>
      <c r="H392" s="617"/>
      <c r="I392" s="617"/>
      <c r="J392" s="617"/>
      <c r="K392" s="617"/>
      <c r="L392" s="617"/>
      <c r="M392" s="617"/>
      <c r="N392" s="617"/>
      <c r="O392" s="617"/>
      <c r="P392" s="617"/>
      <c r="Q392" s="617"/>
      <c r="R392" s="617"/>
      <c r="S392" s="617"/>
      <c r="T392" s="617"/>
      <c r="U392" s="617"/>
      <c r="V392" s="617"/>
      <c r="W392" s="617"/>
      <c r="X392" s="617"/>
    </row>
    <row r="393" ht="18.75" customHeight="1">
      <c r="A393" s="617"/>
      <c r="B393" s="617"/>
      <c r="C393" s="617"/>
      <c r="D393" s="617"/>
      <c r="E393" s="617"/>
      <c r="F393" s="617"/>
      <c r="G393" s="617"/>
      <c r="H393" s="617"/>
      <c r="I393" s="617"/>
      <c r="J393" s="617"/>
      <c r="K393" s="617"/>
      <c r="L393" s="617"/>
      <c r="M393" s="617"/>
      <c r="N393" s="617"/>
      <c r="O393" s="617"/>
      <c r="P393" s="617"/>
      <c r="Q393" s="617"/>
      <c r="R393" s="617"/>
      <c r="S393" s="617"/>
      <c r="T393" s="617"/>
      <c r="U393" s="617"/>
      <c r="V393" s="617"/>
      <c r="W393" s="617"/>
      <c r="X393" s="617"/>
    </row>
    <row r="394" ht="18.75" customHeight="1">
      <c r="A394" s="617"/>
      <c r="B394" s="617"/>
      <c r="C394" s="617"/>
      <c r="D394" s="617"/>
      <c r="E394" s="617"/>
      <c r="F394" s="617"/>
      <c r="G394" s="617"/>
      <c r="H394" s="617"/>
      <c r="I394" s="617"/>
      <c r="J394" s="617"/>
      <c r="K394" s="617"/>
      <c r="L394" s="617"/>
      <c r="M394" s="617"/>
      <c r="N394" s="617"/>
      <c r="O394" s="617"/>
      <c r="P394" s="617"/>
      <c r="Q394" s="617"/>
      <c r="R394" s="617"/>
      <c r="S394" s="617"/>
      <c r="T394" s="617"/>
      <c r="U394" s="617"/>
      <c r="V394" s="617"/>
      <c r="W394" s="617"/>
      <c r="X394" s="617"/>
    </row>
    <row r="395" ht="18.75" customHeight="1">
      <c r="A395" s="617"/>
      <c r="B395" s="617"/>
      <c r="C395" s="617"/>
      <c r="D395" s="617"/>
      <c r="E395" s="617"/>
      <c r="F395" s="617"/>
      <c r="G395" s="617"/>
      <c r="H395" s="617"/>
      <c r="I395" s="617"/>
      <c r="J395" s="617"/>
      <c r="K395" s="617"/>
      <c r="L395" s="617"/>
      <c r="M395" s="617"/>
      <c r="N395" s="617"/>
      <c r="O395" s="617"/>
      <c r="P395" s="617"/>
      <c r="Q395" s="617"/>
      <c r="R395" s="617"/>
      <c r="S395" s="617"/>
      <c r="T395" s="617"/>
      <c r="U395" s="617"/>
      <c r="V395" s="617"/>
      <c r="W395" s="617"/>
      <c r="X395" s="617"/>
    </row>
    <row r="396" ht="18.75" customHeight="1">
      <c r="A396" s="617"/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</row>
    <row r="397" ht="18.75" customHeight="1">
      <c r="A397" s="617"/>
      <c r="B397" s="617"/>
      <c r="C397" s="617"/>
      <c r="D397" s="617"/>
      <c r="E397" s="617"/>
      <c r="F397" s="617"/>
      <c r="G397" s="617"/>
      <c r="H397" s="617"/>
      <c r="I397" s="617"/>
      <c r="J397" s="617"/>
      <c r="K397" s="617"/>
      <c r="L397" s="617"/>
      <c r="M397" s="617"/>
      <c r="N397" s="617"/>
      <c r="O397" s="617"/>
      <c r="P397" s="617"/>
      <c r="Q397" s="617"/>
      <c r="R397" s="617"/>
      <c r="S397" s="617"/>
      <c r="T397" s="617"/>
      <c r="U397" s="617"/>
      <c r="V397" s="617"/>
      <c r="W397" s="617"/>
      <c r="X397" s="617"/>
    </row>
    <row r="398" ht="18.75" customHeight="1">
      <c r="A398" s="617"/>
      <c r="B398" s="617"/>
      <c r="C398" s="617"/>
      <c r="D398" s="617"/>
      <c r="E398" s="617"/>
      <c r="F398" s="617"/>
      <c r="G398" s="617"/>
      <c r="H398" s="617"/>
      <c r="I398" s="617"/>
      <c r="J398" s="617"/>
      <c r="K398" s="617"/>
      <c r="L398" s="617"/>
      <c r="M398" s="617"/>
      <c r="N398" s="617"/>
      <c r="O398" s="617"/>
      <c r="P398" s="617"/>
      <c r="Q398" s="617"/>
      <c r="R398" s="617"/>
      <c r="S398" s="617"/>
      <c r="T398" s="617"/>
      <c r="U398" s="617"/>
      <c r="V398" s="617"/>
      <c r="W398" s="617"/>
      <c r="X398" s="617"/>
    </row>
    <row r="399" ht="18.75" customHeight="1">
      <c r="A399" s="617"/>
      <c r="B399" s="617"/>
      <c r="C399" s="617"/>
      <c r="D399" s="617"/>
      <c r="E399" s="617"/>
      <c r="F399" s="617"/>
      <c r="G399" s="617"/>
      <c r="H399" s="617"/>
      <c r="I399" s="617"/>
      <c r="J399" s="617"/>
      <c r="K399" s="617"/>
      <c r="L399" s="617"/>
      <c r="M399" s="617"/>
      <c r="N399" s="617"/>
      <c r="O399" s="617"/>
      <c r="P399" s="617"/>
      <c r="Q399" s="617"/>
      <c r="R399" s="617"/>
      <c r="S399" s="617"/>
      <c r="T399" s="617"/>
      <c r="U399" s="617"/>
      <c r="V399" s="617"/>
      <c r="W399" s="617"/>
      <c r="X399" s="617"/>
    </row>
    <row r="400" ht="18.75" customHeight="1">
      <c r="A400" s="617"/>
      <c r="B400" s="617"/>
      <c r="C400" s="617"/>
      <c r="D400" s="617"/>
      <c r="E400" s="617"/>
      <c r="F400" s="617"/>
      <c r="G400" s="617"/>
      <c r="H400" s="617"/>
      <c r="I400" s="617"/>
      <c r="J400" s="617"/>
      <c r="K400" s="617"/>
      <c r="L400" s="617"/>
      <c r="M400" s="617"/>
      <c r="N400" s="617"/>
      <c r="O400" s="617"/>
      <c r="P400" s="617"/>
      <c r="Q400" s="617"/>
      <c r="R400" s="617"/>
      <c r="S400" s="617"/>
      <c r="T400" s="617"/>
      <c r="U400" s="617"/>
      <c r="V400" s="617"/>
      <c r="W400" s="617"/>
      <c r="X400" s="617"/>
    </row>
    <row r="401" ht="18.75" customHeight="1">
      <c r="A401" s="617"/>
      <c r="B401" s="617"/>
      <c r="C401" s="617"/>
      <c r="D401" s="617"/>
      <c r="E401" s="617"/>
      <c r="F401" s="617"/>
      <c r="G401" s="617"/>
      <c r="H401" s="617"/>
      <c r="I401" s="617"/>
      <c r="J401" s="617"/>
      <c r="K401" s="617"/>
      <c r="L401" s="617"/>
      <c r="M401" s="617"/>
      <c r="N401" s="617"/>
      <c r="O401" s="617"/>
      <c r="P401" s="617"/>
      <c r="Q401" s="617"/>
      <c r="R401" s="617"/>
      <c r="S401" s="617"/>
      <c r="T401" s="617"/>
      <c r="U401" s="617"/>
      <c r="V401" s="617"/>
      <c r="W401" s="617"/>
      <c r="X401" s="617"/>
    </row>
    <row r="402" ht="18.75" customHeight="1">
      <c r="A402" s="617"/>
      <c r="B402" s="617"/>
      <c r="C402" s="617"/>
      <c r="D402" s="617"/>
      <c r="E402" s="617"/>
      <c r="F402" s="617"/>
      <c r="G402" s="617"/>
      <c r="H402" s="617"/>
      <c r="I402" s="617"/>
      <c r="J402" s="617"/>
      <c r="K402" s="617"/>
      <c r="L402" s="617"/>
      <c r="M402" s="617"/>
      <c r="N402" s="617"/>
      <c r="O402" s="617"/>
      <c r="P402" s="617"/>
      <c r="Q402" s="617"/>
      <c r="R402" s="617"/>
      <c r="S402" s="617"/>
      <c r="T402" s="617"/>
      <c r="U402" s="617"/>
      <c r="V402" s="617"/>
      <c r="W402" s="617"/>
      <c r="X402" s="617"/>
    </row>
    <row r="403" ht="18.75" customHeight="1">
      <c r="A403" s="617"/>
      <c r="B403" s="617"/>
      <c r="C403" s="617"/>
      <c r="D403" s="617"/>
      <c r="E403" s="617"/>
      <c r="F403" s="617"/>
      <c r="G403" s="617"/>
      <c r="H403" s="617"/>
      <c r="I403" s="617"/>
      <c r="J403" s="617"/>
      <c r="K403" s="617"/>
      <c r="L403" s="617"/>
      <c r="M403" s="617"/>
      <c r="N403" s="617"/>
      <c r="O403" s="617"/>
      <c r="P403" s="617"/>
      <c r="Q403" s="617"/>
      <c r="R403" s="617"/>
      <c r="S403" s="617"/>
      <c r="T403" s="617"/>
      <c r="U403" s="617"/>
      <c r="V403" s="617"/>
      <c r="W403" s="617"/>
      <c r="X403" s="617"/>
    </row>
    <row r="404" ht="18.75" customHeight="1">
      <c r="A404" s="617"/>
      <c r="B404" s="617"/>
      <c r="C404" s="617"/>
      <c r="D404" s="617"/>
      <c r="E404" s="617"/>
      <c r="F404" s="617"/>
      <c r="G404" s="617"/>
      <c r="H404" s="617"/>
      <c r="I404" s="617"/>
      <c r="J404" s="617"/>
      <c r="K404" s="617"/>
      <c r="L404" s="617"/>
      <c r="M404" s="617"/>
      <c r="N404" s="617"/>
      <c r="O404" s="617"/>
      <c r="P404" s="617"/>
      <c r="Q404" s="617"/>
      <c r="R404" s="617"/>
      <c r="S404" s="617"/>
      <c r="T404" s="617"/>
      <c r="U404" s="617"/>
      <c r="V404" s="617"/>
      <c r="W404" s="617"/>
      <c r="X404" s="617"/>
    </row>
    <row r="405" ht="18.75" customHeight="1">
      <c r="A405" s="617"/>
      <c r="B405" s="617"/>
      <c r="C405" s="617"/>
      <c r="D405" s="617"/>
      <c r="E405" s="617"/>
      <c r="F405" s="617"/>
      <c r="G405" s="617"/>
      <c r="H405" s="617"/>
      <c r="I405" s="617"/>
      <c r="J405" s="617"/>
      <c r="K405" s="617"/>
      <c r="L405" s="617"/>
      <c r="M405" s="617"/>
      <c r="N405" s="617"/>
      <c r="O405" s="617"/>
      <c r="P405" s="617"/>
      <c r="Q405" s="617"/>
      <c r="R405" s="617"/>
      <c r="S405" s="617"/>
      <c r="T405" s="617"/>
      <c r="U405" s="617"/>
      <c r="V405" s="617"/>
      <c r="W405" s="617"/>
      <c r="X405" s="617"/>
    </row>
    <row r="406" ht="18.75" customHeight="1">
      <c r="A406" s="617"/>
      <c r="B406" s="617"/>
      <c r="C406" s="617"/>
      <c r="D406" s="617"/>
      <c r="E406" s="617"/>
      <c r="F406" s="617"/>
      <c r="G406" s="617"/>
      <c r="H406" s="617"/>
      <c r="I406" s="617"/>
      <c r="J406" s="617"/>
      <c r="K406" s="617"/>
      <c r="L406" s="617"/>
      <c r="M406" s="617"/>
      <c r="N406" s="617"/>
      <c r="O406" s="617"/>
      <c r="P406" s="617"/>
      <c r="Q406" s="617"/>
      <c r="R406" s="617"/>
      <c r="S406" s="617"/>
      <c r="T406" s="617"/>
      <c r="U406" s="617"/>
      <c r="V406" s="617"/>
      <c r="W406" s="617"/>
      <c r="X406" s="617"/>
    </row>
    <row r="407" ht="18.75" customHeight="1">
      <c r="A407" s="617"/>
      <c r="B407" s="617"/>
      <c r="C407" s="617"/>
      <c r="D407" s="617"/>
      <c r="E407" s="617"/>
      <c r="F407" s="617"/>
      <c r="G407" s="617"/>
      <c r="H407" s="617"/>
      <c r="I407" s="617"/>
      <c r="J407" s="617"/>
      <c r="K407" s="617"/>
      <c r="L407" s="617"/>
      <c r="M407" s="617"/>
      <c r="N407" s="617"/>
      <c r="O407" s="617"/>
      <c r="P407" s="617"/>
      <c r="Q407" s="617"/>
      <c r="R407" s="617"/>
      <c r="S407" s="617"/>
      <c r="T407" s="617"/>
      <c r="U407" s="617"/>
      <c r="V407" s="617"/>
      <c r="W407" s="617"/>
      <c r="X407" s="617"/>
    </row>
    <row r="408" ht="18.75" customHeight="1">
      <c r="A408" s="617"/>
      <c r="B408" s="617"/>
      <c r="C408" s="617"/>
      <c r="D408" s="617"/>
      <c r="E408" s="617"/>
      <c r="F408" s="617"/>
      <c r="G408" s="617"/>
      <c r="H408" s="617"/>
      <c r="I408" s="617"/>
      <c r="J408" s="617"/>
      <c r="K408" s="617"/>
      <c r="L408" s="617"/>
      <c r="M408" s="617"/>
      <c r="N408" s="617"/>
      <c r="O408" s="617"/>
      <c r="P408" s="617"/>
      <c r="Q408" s="617"/>
      <c r="R408" s="617"/>
      <c r="S408" s="617"/>
      <c r="T408" s="617"/>
      <c r="U408" s="617"/>
      <c r="V408" s="617"/>
      <c r="W408" s="617"/>
      <c r="X408" s="617"/>
    </row>
    <row r="409" ht="18.75" customHeight="1">
      <c r="A409" s="617"/>
      <c r="B409" s="617"/>
      <c r="C409" s="617"/>
      <c r="D409" s="617"/>
      <c r="E409" s="617"/>
      <c r="F409" s="617"/>
      <c r="G409" s="617"/>
      <c r="H409" s="617"/>
      <c r="I409" s="617"/>
      <c r="J409" s="617"/>
      <c r="K409" s="617"/>
      <c r="L409" s="617"/>
      <c r="M409" s="617"/>
      <c r="N409" s="617"/>
      <c r="O409" s="617"/>
      <c r="P409" s="617"/>
      <c r="Q409" s="617"/>
      <c r="R409" s="617"/>
      <c r="S409" s="617"/>
      <c r="T409" s="617"/>
      <c r="U409" s="617"/>
      <c r="V409" s="617"/>
      <c r="W409" s="617"/>
      <c r="X409" s="617"/>
    </row>
    <row r="410" ht="18.75" customHeight="1">
      <c r="A410" s="617"/>
      <c r="B410" s="617"/>
      <c r="C410" s="617"/>
      <c r="D410" s="617"/>
      <c r="E410" s="617"/>
      <c r="F410" s="617"/>
      <c r="G410" s="617"/>
      <c r="H410" s="617"/>
      <c r="I410" s="617"/>
      <c r="J410" s="617"/>
      <c r="K410" s="617"/>
      <c r="L410" s="617"/>
      <c r="M410" s="617"/>
      <c r="N410" s="617"/>
      <c r="O410" s="617"/>
      <c r="P410" s="617"/>
      <c r="Q410" s="617"/>
      <c r="R410" s="617"/>
      <c r="S410" s="617"/>
      <c r="T410" s="617"/>
      <c r="U410" s="617"/>
      <c r="V410" s="617"/>
      <c r="W410" s="617"/>
      <c r="X410" s="617"/>
    </row>
    <row r="411" ht="18.75" customHeight="1">
      <c r="A411" s="617"/>
      <c r="B411" s="617"/>
      <c r="C411" s="617"/>
      <c r="D411" s="617"/>
      <c r="E411" s="617"/>
      <c r="F411" s="617"/>
      <c r="G411" s="617"/>
      <c r="H411" s="617"/>
      <c r="I411" s="617"/>
      <c r="J411" s="617"/>
      <c r="K411" s="617"/>
      <c r="L411" s="617"/>
      <c r="M411" s="617"/>
      <c r="N411" s="617"/>
      <c r="O411" s="617"/>
      <c r="P411" s="617"/>
      <c r="Q411" s="617"/>
      <c r="R411" s="617"/>
      <c r="S411" s="617"/>
      <c r="T411" s="617"/>
      <c r="U411" s="617"/>
      <c r="V411" s="617"/>
      <c r="W411" s="617"/>
      <c r="X411" s="617"/>
    </row>
    <row r="412" ht="18.75" customHeight="1">
      <c r="A412" s="617"/>
      <c r="B412" s="617"/>
      <c r="C412" s="617"/>
      <c r="D412" s="617"/>
      <c r="E412" s="617"/>
      <c r="F412" s="617"/>
      <c r="G412" s="617"/>
      <c r="H412" s="617"/>
      <c r="I412" s="617"/>
      <c r="J412" s="617"/>
      <c r="K412" s="617"/>
      <c r="L412" s="617"/>
      <c r="M412" s="617"/>
      <c r="N412" s="617"/>
      <c r="O412" s="617"/>
      <c r="P412" s="617"/>
      <c r="Q412" s="617"/>
      <c r="R412" s="617"/>
      <c r="S412" s="617"/>
      <c r="T412" s="617"/>
      <c r="U412" s="617"/>
      <c r="V412" s="617"/>
      <c r="W412" s="617"/>
      <c r="X412" s="617"/>
    </row>
    <row r="413" ht="18.75" customHeight="1">
      <c r="A413" s="617"/>
      <c r="B413" s="617"/>
      <c r="C413" s="617"/>
      <c r="D413" s="617"/>
      <c r="E413" s="617"/>
      <c r="F413" s="617"/>
      <c r="G413" s="617"/>
      <c r="H413" s="617"/>
      <c r="I413" s="617"/>
      <c r="J413" s="617"/>
      <c r="K413" s="617"/>
      <c r="L413" s="617"/>
      <c r="M413" s="617"/>
      <c r="N413" s="617"/>
      <c r="O413" s="617"/>
      <c r="P413" s="617"/>
      <c r="Q413" s="617"/>
      <c r="R413" s="617"/>
      <c r="S413" s="617"/>
      <c r="T413" s="617"/>
      <c r="U413" s="617"/>
      <c r="V413" s="617"/>
      <c r="W413" s="617"/>
      <c r="X413" s="617"/>
    </row>
    <row r="414" ht="18.75" customHeight="1">
      <c r="A414" s="617"/>
      <c r="B414" s="617"/>
      <c r="C414" s="617"/>
      <c r="D414" s="617"/>
      <c r="E414" s="617"/>
      <c r="F414" s="617"/>
      <c r="G414" s="617"/>
      <c r="H414" s="617"/>
      <c r="I414" s="617"/>
      <c r="J414" s="617"/>
      <c r="K414" s="617"/>
      <c r="L414" s="617"/>
      <c r="M414" s="617"/>
      <c r="N414" s="617"/>
      <c r="O414" s="617"/>
      <c r="P414" s="617"/>
      <c r="Q414" s="617"/>
      <c r="R414" s="617"/>
      <c r="S414" s="617"/>
      <c r="T414" s="617"/>
      <c r="U414" s="617"/>
      <c r="V414" s="617"/>
      <c r="W414" s="617"/>
      <c r="X414" s="617"/>
    </row>
    <row r="415" ht="18.75" customHeight="1">
      <c r="A415" s="617"/>
      <c r="B415" s="617"/>
      <c r="C415" s="617"/>
      <c r="D415" s="617"/>
      <c r="E415" s="617"/>
      <c r="F415" s="617"/>
      <c r="G415" s="617"/>
      <c r="H415" s="617"/>
      <c r="I415" s="617"/>
      <c r="J415" s="617"/>
      <c r="K415" s="617"/>
      <c r="L415" s="617"/>
      <c r="M415" s="617"/>
      <c r="N415" s="617"/>
      <c r="O415" s="617"/>
      <c r="P415" s="617"/>
      <c r="Q415" s="617"/>
      <c r="R415" s="617"/>
      <c r="S415" s="617"/>
      <c r="T415" s="617"/>
      <c r="U415" s="617"/>
      <c r="V415" s="617"/>
      <c r="W415" s="617"/>
      <c r="X415" s="617"/>
    </row>
    <row r="416" ht="18.75" customHeight="1">
      <c r="A416" s="617"/>
      <c r="B416" s="617"/>
      <c r="C416" s="617"/>
      <c r="D416" s="617"/>
      <c r="E416" s="617"/>
      <c r="F416" s="617"/>
      <c r="G416" s="617"/>
      <c r="H416" s="617"/>
      <c r="I416" s="617"/>
      <c r="J416" s="617"/>
      <c r="K416" s="617"/>
      <c r="L416" s="617"/>
      <c r="M416" s="617"/>
      <c r="N416" s="617"/>
      <c r="O416" s="617"/>
      <c r="P416" s="617"/>
      <c r="Q416" s="617"/>
      <c r="R416" s="617"/>
      <c r="S416" s="617"/>
      <c r="T416" s="617"/>
      <c r="U416" s="617"/>
      <c r="V416" s="617"/>
      <c r="W416" s="617"/>
      <c r="X416" s="617"/>
    </row>
    <row r="417" ht="18.75" customHeight="1">
      <c r="A417" s="617"/>
      <c r="B417" s="617"/>
      <c r="C417" s="617"/>
      <c r="D417" s="617"/>
      <c r="E417" s="617"/>
      <c r="F417" s="617"/>
      <c r="G417" s="617"/>
      <c r="H417" s="617"/>
      <c r="I417" s="617"/>
      <c r="J417" s="617"/>
      <c r="K417" s="617"/>
      <c r="L417" s="617"/>
      <c r="M417" s="617"/>
      <c r="N417" s="617"/>
      <c r="O417" s="617"/>
      <c r="P417" s="617"/>
      <c r="Q417" s="617"/>
      <c r="R417" s="617"/>
      <c r="S417" s="617"/>
      <c r="T417" s="617"/>
      <c r="U417" s="617"/>
      <c r="V417" s="617"/>
      <c r="W417" s="617"/>
      <c r="X417" s="617"/>
    </row>
    <row r="418" ht="18.75" customHeight="1">
      <c r="A418" s="617"/>
      <c r="B418" s="617"/>
      <c r="C418" s="617"/>
      <c r="D418" s="617"/>
      <c r="E418" s="617"/>
      <c r="F418" s="617"/>
      <c r="G418" s="617"/>
      <c r="H418" s="617"/>
      <c r="I418" s="617"/>
      <c r="J418" s="617"/>
      <c r="K418" s="617"/>
      <c r="L418" s="617"/>
      <c r="M418" s="617"/>
      <c r="N418" s="617"/>
      <c r="O418" s="617"/>
      <c r="P418" s="617"/>
      <c r="Q418" s="617"/>
      <c r="R418" s="617"/>
      <c r="S418" s="617"/>
      <c r="T418" s="617"/>
      <c r="U418" s="617"/>
      <c r="V418" s="617"/>
      <c r="W418" s="617"/>
      <c r="X418" s="617"/>
    </row>
    <row r="419" ht="18.75" customHeight="1">
      <c r="A419" s="617"/>
      <c r="B419" s="617"/>
      <c r="C419" s="617"/>
      <c r="D419" s="617"/>
      <c r="E419" s="617"/>
      <c r="F419" s="617"/>
      <c r="G419" s="617"/>
      <c r="H419" s="617"/>
      <c r="I419" s="617"/>
      <c r="J419" s="617"/>
      <c r="K419" s="617"/>
      <c r="L419" s="617"/>
      <c r="M419" s="617"/>
      <c r="N419" s="617"/>
      <c r="O419" s="617"/>
      <c r="P419" s="617"/>
      <c r="Q419" s="617"/>
      <c r="R419" s="617"/>
      <c r="S419" s="617"/>
      <c r="T419" s="617"/>
      <c r="U419" s="617"/>
      <c r="V419" s="617"/>
      <c r="W419" s="617"/>
      <c r="X419" s="617"/>
    </row>
    <row r="420" ht="18.75" customHeight="1">
      <c r="A420" s="617"/>
      <c r="B420" s="617"/>
      <c r="C420" s="617"/>
      <c r="D420" s="617"/>
      <c r="E420" s="617"/>
      <c r="F420" s="617"/>
      <c r="G420" s="617"/>
      <c r="H420" s="617"/>
      <c r="I420" s="617"/>
      <c r="J420" s="617"/>
      <c r="K420" s="617"/>
      <c r="L420" s="617"/>
      <c r="M420" s="617"/>
      <c r="N420" s="617"/>
      <c r="O420" s="617"/>
      <c r="P420" s="617"/>
      <c r="Q420" s="617"/>
      <c r="R420" s="617"/>
      <c r="S420" s="617"/>
      <c r="T420" s="617"/>
      <c r="U420" s="617"/>
      <c r="V420" s="617"/>
      <c r="W420" s="617"/>
      <c r="X420" s="617"/>
    </row>
    <row r="421" ht="18.75" customHeight="1">
      <c r="A421" s="617"/>
      <c r="B421" s="617"/>
      <c r="C421" s="617"/>
      <c r="D421" s="617"/>
      <c r="E421" s="617"/>
      <c r="F421" s="617"/>
      <c r="G421" s="617"/>
      <c r="H421" s="617"/>
      <c r="I421" s="617"/>
      <c r="J421" s="617"/>
      <c r="K421" s="617"/>
      <c r="L421" s="617"/>
      <c r="M421" s="617"/>
      <c r="N421" s="617"/>
      <c r="O421" s="617"/>
      <c r="P421" s="617"/>
      <c r="Q421" s="617"/>
      <c r="R421" s="617"/>
      <c r="S421" s="617"/>
      <c r="T421" s="617"/>
      <c r="U421" s="617"/>
      <c r="V421" s="617"/>
      <c r="W421" s="617"/>
      <c r="X421" s="617"/>
    </row>
    <row r="422" ht="18.75" customHeight="1">
      <c r="A422" s="617"/>
      <c r="B422" s="617"/>
      <c r="C422" s="617"/>
      <c r="D422" s="617"/>
      <c r="E422" s="617"/>
      <c r="F422" s="617"/>
      <c r="G422" s="617"/>
      <c r="H422" s="617"/>
      <c r="I422" s="617"/>
      <c r="J422" s="617"/>
      <c r="K422" s="617"/>
      <c r="L422" s="617"/>
      <c r="M422" s="617"/>
      <c r="N422" s="617"/>
      <c r="O422" s="617"/>
      <c r="P422" s="617"/>
      <c r="Q422" s="617"/>
      <c r="R422" s="617"/>
      <c r="S422" s="617"/>
      <c r="T422" s="617"/>
      <c r="U422" s="617"/>
      <c r="V422" s="617"/>
      <c r="W422" s="617"/>
      <c r="X422" s="617"/>
    </row>
    <row r="423" ht="18.75" customHeight="1">
      <c r="A423" s="617"/>
      <c r="B423" s="617"/>
      <c r="C423" s="617"/>
      <c r="D423" s="617"/>
      <c r="E423" s="617"/>
      <c r="F423" s="617"/>
      <c r="G423" s="617"/>
      <c r="H423" s="617"/>
      <c r="I423" s="617"/>
      <c r="J423" s="617"/>
      <c r="K423" s="617"/>
      <c r="L423" s="617"/>
      <c r="M423" s="617"/>
      <c r="N423" s="617"/>
      <c r="O423" s="617"/>
      <c r="P423" s="617"/>
      <c r="Q423" s="617"/>
      <c r="R423" s="617"/>
      <c r="S423" s="617"/>
      <c r="T423" s="617"/>
      <c r="U423" s="617"/>
      <c r="V423" s="617"/>
      <c r="W423" s="617"/>
      <c r="X423" s="617"/>
    </row>
    <row r="424" ht="18.75" customHeight="1">
      <c r="A424" s="617"/>
      <c r="B424" s="617"/>
      <c r="C424" s="617"/>
      <c r="D424" s="617"/>
      <c r="E424" s="617"/>
      <c r="F424" s="617"/>
      <c r="G424" s="617"/>
      <c r="H424" s="617"/>
      <c r="I424" s="617"/>
      <c r="J424" s="617"/>
      <c r="K424" s="617"/>
      <c r="L424" s="617"/>
      <c r="M424" s="617"/>
      <c r="N424" s="617"/>
      <c r="O424" s="617"/>
      <c r="P424" s="617"/>
      <c r="Q424" s="617"/>
      <c r="R424" s="617"/>
      <c r="S424" s="617"/>
      <c r="T424" s="617"/>
      <c r="U424" s="617"/>
      <c r="V424" s="617"/>
      <c r="W424" s="617"/>
      <c r="X424" s="617"/>
    </row>
    <row r="425" ht="18.75" customHeight="1">
      <c r="A425" s="617"/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17"/>
      <c r="P425" s="617"/>
      <c r="Q425" s="617"/>
      <c r="R425" s="617"/>
      <c r="S425" s="617"/>
      <c r="T425" s="617"/>
      <c r="U425" s="617"/>
      <c r="V425" s="617"/>
      <c r="W425" s="617"/>
      <c r="X425" s="617"/>
    </row>
    <row r="426" ht="18.75" customHeight="1">
      <c r="A426" s="617"/>
      <c r="B426" s="617"/>
      <c r="C426" s="617"/>
      <c r="D426" s="617"/>
      <c r="E426" s="617"/>
      <c r="F426" s="617"/>
      <c r="G426" s="617"/>
      <c r="H426" s="617"/>
      <c r="I426" s="617"/>
      <c r="J426" s="617"/>
      <c r="K426" s="617"/>
      <c r="L426" s="617"/>
      <c r="M426" s="617"/>
      <c r="N426" s="617"/>
      <c r="O426" s="617"/>
      <c r="P426" s="617"/>
      <c r="Q426" s="617"/>
      <c r="R426" s="617"/>
      <c r="S426" s="617"/>
      <c r="T426" s="617"/>
      <c r="U426" s="617"/>
      <c r="V426" s="617"/>
      <c r="W426" s="617"/>
      <c r="X426" s="617"/>
    </row>
    <row r="427" ht="18.75" customHeight="1">
      <c r="A427" s="617"/>
      <c r="B427" s="617"/>
      <c r="C427" s="617"/>
      <c r="D427" s="617"/>
      <c r="E427" s="617"/>
      <c r="F427" s="617"/>
      <c r="G427" s="617"/>
      <c r="H427" s="617"/>
      <c r="I427" s="617"/>
      <c r="J427" s="617"/>
      <c r="K427" s="617"/>
      <c r="L427" s="617"/>
      <c r="M427" s="617"/>
      <c r="N427" s="617"/>
      <c r="O427" s="617"/>
      <c r="P427" s="617"/>
      <c r="Q427" s="617"/>
      <c r="R427" s="617"/>
      <c r="S427" s="617"/>
      <c r="T427" s="617"/>
      <c r="U427" s="617"/>
      <c r="V427" s="617"/>
      <c r="W427" s="617"/>
      <c r="X427" s="617"/>
    </row>
    <row r="428" ht="18.75" customHeight="1">
      <c r="A428" s="617"/>
      <c r="B428" s="617"/>
      <c r="C428" s="617"/>
      <c r="D428" s="617"/>
      <c r="E428" s="617"/>
      <c r="F428" s="617"/>
      <c r="G428" s="617"/>
      <c r="H428" s="617"/>
      <c r="I428" s="617"/>
      <c r="J428" s="617"/>
      <c r="K428" s="617"/>
      <c r="L428" s="617"/>
      <c r="M428" s="617"/>
      <c r="N428" s="617"/>
      <c r="O428" s="617"/>
      <c r="P428" s="617"/>
      <c r="Q428" s="617"/>
      <c r="R428" s="617"/>
      <c r="S428" s="617"/>
      <c r="T428" s="617"/>
      <c r="U428" s="617"/>
      <c r="V428" s="617"/>
      <c r="W428" s="617"/>
      <c r="X428" s="617"/>
    </row>
    <row r="429" ht="18.75" customHeight="1">
      <c r="A429" s="617"/>
      <c r="B429" s="617"/>
      <c r="C429" s="617"/>
      <c r="D429" s="617"/>
      <c r="E429" s="617"/>
      <c r="F429" s="617"/>
      <c r="G429" s="617"/>
      <c r="H429" s="617"/>
      <c r="I429" s="617"/>
      <c r="J429" s="617"/>
      <c r="K429" s="617"/>
      <c r="L429" s="617"/>
      <c r="M429" s="617"/>
      <c r="N429" s="617"/>
      <c r="O429" s="617"/>
      <c r="P429" s="617"/>
      <c r="Q429" s="617"/>
      <c r="R429" s="617"/>
      <c r="S429" s="617"/>
      <c r="T429" s="617"/>
      <c r="U429" s="617"/>
      <c r="V429" s="617"/>
      <c r="W429" s="617"/>
      <c r="X429" s="617"/>
    </row>
    <row r="430" ht="18.75" customHeight="1">
      <c r="A430" s="617"/>
      <c r="B430" s="617"/>
      <c r="C430" s="617"/>
      <c r="D430" s="617"/>
      <c r="E430" s="617"/>
      <c r="F430" s="617"/>
      <c r="G430" s="617"/>
      <c r="H430" s="617"/>
      <c r="I430" s="617"/>
      <c r="J430" s="617"/>
      <c r="K430" s="617"/>
      <c r="L430" s="617"/>
      <c r="M430" s="617"/>
      <c r="N430" s="617"/>
      <c r="O430" s="617"/>
      <c r="P430" s="617"/>
      <c r="Q430" s="617"/>
      <c r="R430" s="617"/>
      <c r="S430" s="617"/>
      <c r="T430" s="617"/>
      <c r="U430" s="617"/>
      <c r="V430" s="617"/>
      <c r="W430" s="617"/>
      <c r="X430" s="617"/>
    </row>
    <row r="431" ht="18.75" customHeight="1">
      <c r="A431" s="617"/>
      <c r="B431" s="617"/>
      <c r="C431" s="617"/>
      <c r="D431" s="617"/>
      <c r="E431" s="617"/>
      <c r="F431" s="617"/>
      <c r="G431" s="617"/>
      <c r="H431" s="617"/>
      <c r="I431" s="617"/>
      <c r="J431" s="617"/>
      <c r="K431" s="617"/>
      <c r="L431" s="617"/>
      <c r="M431" s="617"/>
      <c r="N431" s="617"/>
      <c r="O431" s="617"/>
      <c r="P431" s="617"/>
      <c r="Q431" s="617"/>
      <c r="R431" s="617"/>
      <c r="S431" s="617"/>
      <c r="T431" s="617"/>
      <c r="U431" s="617"/>
      <c r="V431" s="617"/>
      <c r="W431" s="617"/>
      <c r="X431" s="617"/>
    </row>
    <row r="432" ht="18.75" customHeight="1">
      <c r="A432" s="617"/>
      <c r="B432" s="617"/>
      <c r="C432" s="617"/>
      <c r="D432" s="617"/>
      <c r="E432" s="617"/>
      <c r="F432" s="617"/>
      <c r="G432" s="617"/>
      <c r="H432" s="617"/>
      <c r="I432" s="617"/>
      <c r="J432" s="617"/>
      <c r="K432" s="617"/>
      <c r="L432" s="617"/>
      <c r="M432" s="617"/>
      <c r="N432" s="617"/>
      <c r="O432" s="617"/>
      <c r="P432" s="617"/>
      <c r="Q432" s="617"/>
      <c r="R432" s="617"/>
      <c r="S432" s="617"/>
      <c r="T432" s="617"/>
      <c r="U432" s="617"/>
      <c r="V432" s="617"/>
      <c r="W432" s="617"/>
      <c r="X432" s="617"/>
    </row>
    <row r="433" ht="18.75" customHeight="1">
      <c r="A433" s="617"/>
      <c r="B433" s="617"/>
      <c r="C433" s="617"/>
      <c r="D433" s="617"/>
      <c r="E433" s="617"/>
      <c r="F433" s="617"/>
      <c r="G433" s="617"/>
      <c r="H433" s="617"/>
      <c r="I433" s="617"/>
      <c r="J433" s="617"/>
      <c r="K433" s="617"/>
      <c r="L433" s="617"/>
      <c r="M433" s="617"/>
      <c r="N433" s="617"/>
      <c r="O433" s="617"/>
      <c r="P433" s="617"/>
      <c r="Q433" s="617"/>
      <c r="R433" s="617"/>
      <c r="S433" s="617"/>
      <c r="T433" s="617"/>
      <c r="U433" s="617"/>
      <c r="V433" s="617"/>
      <c r="W433" s="617"/>
      <c r="X433" s="617"/>
    </row>
    <row r="434" ht="18.75" customHeight="1">
      <c r="A434" s="617"/>
      <c r="B434" s="617"/>
      <c r="C434" s="617"/>
      <c r="D434" s="617"/>
      <c r="E434" s="617"/>
      <c r="F434" s="617"/>
      <c r="G434" s="617"/>
      <c r="H434" s="617"/>
      <c r="I434" s="617"/>
      <c r="J434" s="617"/>
      <c r="K434" s="617"/>
      <c r="L434" s="617"/>
      <c r="M434" s="617"/>
      <c r="N434" s="617"/>
      <c r="O434" s="617"/>
      <c r="P434" s="617"/>
      <c r="Q434" s="617"/>
      <c r="R434" s="617"/>
      <c r="S434" s="617"/>
      <c r="T434" s="617"/>
      <c r="U434" s="617"/>
      <c r="V434" s="617"/>
      <c r="W434" s="617"/>
      <c r="X434" s="617"/>
    </row>
    <row r="435" ht="18.75" customHeight="1">
      <c r="A435" s="617"/>
      <c r="B435" s="617"/>
      <c r="C435" s="617"/>
      <c r="D435" s="617"/>
      <c r="E435" s="617"/>
      <c r="F435" s="617"/>
      <c r="G435" s="617"/>
      <c r="H435" s="617"/>
      <c r="I435" s="617"/>
      <c r="J435" s="617"/>
      <c r="K435" s="617"/>
      <c r="L435" s="617"/>
      <c r="M435" s="617"/>
      <c r="N435" s="617"/>
      <c r="O435" s="617"/>
      <c r="P435" s="617"/>
      <c r="Q435" s="617"/>
      <c r="R435" s="617"/>
      <c r="S435" s="617"/>
      <c r="T435" s="617"/>
      <c r="U435" s="617"/>
      <c r="V435" s="617"/>
      <c r="W435" s="617"/>
      <c r="X435" s="617"/>
    </row>
    <row r="436" ht="18.75" customHeight="1">
      <c r="A436" s="617"/>
      <c r="B436" s="617"/>
      <c r="C436" s="617"/>
      <c r="D436" s="617"/>
      <c r="E436" s="617"/>
      <c r="F436" s="617"/>
      <c r="G436" s="617"/>
      <c r="H436" s="617"/>
      <c r="I436" s="617"/>
      <c r="J436" s="617"/>
      <c r="K436" s="617"/>
      <c r="L436" s="617"/>
      <c r="M436" s="617"/>
      <c r="N436" s="617"/>
      <c r="O436" s="617"/>
      <c r="P436" s="617"/>
      <c r="Q436" s="617"/>
      <c r="R436" s="617"/>
      <c r="S436" s="617"/>
      <c r="T436" s="617"/>
      <c r="U436" s="617"/>
      <c r="V436" s="617"/>
      <c r="W436" s="617"/>
      <c r="X436" s="617"/>
    </row>
    <row r="437" ht="18.75" customHeight="1">
      <c r="A437" s="617"/>
      <c r="B437" s="617"/>
      <c r="C437" s="617"/>
      <c r="D437" s="617"/>
      <c r="E437" s="617"/>
      <c r="F437" s="617"/>
      <c r="G437" s="617"/>
      <c r="H437" s="617"/>
      <c r="I437" s="617"/>
      <c r="J437" s="617"/>
      <c r="K437" s="617"/>
      <c r="L437" s="617"/>
      <c r="M437" s="617"/>
      <c r="N437" s="617"/>
      <c r="O437" s="617"/>
      <c r="P437" s="617"/>
      <c r="Q437" s="617"/>
      <c r="R437" s="617"/>
      <c r="S437" s="617"/>
      <c r="T437" s="617"/>
      <c r="U437" s="617"/>
      <c r="V437" s="617"/>
      <c r="W437" s="617"/>
      <c r="X437" s="617"/>
    </row>
    <row r="438" ht="18.75" customHeight="1">
      <c r="A438" s="617"/>
      <c r="B438" s="617"/>
      <c r="C438" s="617"/>
      <c r="D438" s="617"/>
      <c r="E438" s="617"/>
      <c r="F438" s="617"/>
      <c r="G438" s="617"/>
      <c r="H438" s="617"/>
      <c r="I438" s="617"/>
      <c r="J438" s="617"/>
      <c r="K438" s="617"/>
      <c r="L438" s="617"/>
      <c r="M438" s="617"/>
      <c r="N438" s="617"/>
      <c r="O438" s="617"/>
      <c r="P438" s="617"/>
      <c r="Q438" s="617"/>
      <c r="R438" s="617"/>
      <c r="S438" s="617"/>
      <c r="T438" s="617"/>
      <c r="U438" s="617"/>
      <c r="V438" s="617"/>
      <c r="W438" s="617"/>
      <c r="X438" s="617"/>
    </row>
    <row r="439" ht="18.75" customHeight="1">
      <c r="A439" s="617"/>
      <c r="B439" s="617"/>
      <c r="C439" s="617"/>
      <c r="D439" s="617"/>
      <c r="E439" s="617"/>
      <c r="F439" s="617"/>
      <c r="G439" s="617"/>
      <c r="H439" s="617"/>
      <c r="I439" s="617"/>
      <c r="J439" s="617"/>
      <c r="K439" s="617"/>
      <c r="L439" s="617"/>
      <c r="M439" s="617"/>
      <c r="N439" s="617"/>
      <c r="O439" s="617"/>
      <c r="P439" s="617"/>
      <c r="Q439" s="617"/>
      <c r="R439" s="617"/>
      <c r="S439" s="617"/>
      <c r="T439" s="617"/>
      <c r="U439" s="617"/>
      <c r="V439" s="617"/>
      <c r="W439" s="617"/>
      <c r="X439" s="617"/>
    </row>
    <row r="440" ht="18.75" customHeight="1">
      <c r="A440" s="617"/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17"/>
      <c r="P440" s="617"/>
      <c r="Q440" s="617"/>
      <c r="R440" s="617"/>
      <c r="S440" s="617"/>
      <c r="T440" s="617"/>
      <c r="U440" s="617"/>
      <c r="V440" s="617"/>
      <c r="W440" s="617"/>
      <c r="X440" s="617"/>
    </row>
    <row r="441" ht="18.75" customHeight="1">
      <c r="A441" s="617"/>
      <c r="B441" s="617"/>
      <c r="C441" s="617"/>
      <c r="D441" s="617"/>
      <c r="E441" s="617"/>
      <c r="F441" s="617"/>
      <c r="G441" s="617"/>
      <c r="H441" s="617"/>
      <c r="I441" s="617"/>
      <c r="J441" s="617"/>
      <c r="K441" s="617"/>
      <c r="L441" s="617"/>
      <c r="M441" s="617"/>
      <c r="N441" s="617"/>
      <c r="O441" s="617"/>
      <c r="P441" s="617"/>
      <c r="Q441" s="617"/>
      <c r="R441" s="617"/>
      <c r="S441" s="617"/>
      <c r="T441" s="617"/>
      <c r="U441" s="617"/>
      <c r="V441" s="617"/>
      <c r="W441" s="617"/>
      <c r="X441" s="617"/>
    </row>
    <row r="442" ht="18.75" customHeight="1">
      <c r="A442" s="617"/>
      <c r="B442" s="617"/>
      <c r="C442" s="617"/>
      <c r="D442" s="617"/>
      <c r="E442" s="617"/>
      <c r="F442" s="617"/>
      <c r="G442" s="617"/>
      <c r="H442" s="617"/>
      <c r="I442" s="617"/>
      <c r="J442" s="617"/>
      <c r="K442" s="617"/>
      <c r="L442" s="617"/>
      <c r="M442" s="617"/>
      <c r="N442" s="617"/>
      <c r="O442" s="617"/>
      <c r="P442" s="617"/>
      <c r="Q442" s="617"/>
      <c r="R442" s="617"/>
      <c r="S442" s="617"/>
      <c r="T442" s="617"/>
      <c r="U442" s="617"/>
      <c r="V442" s="617"/>
      <c r="W442" s="617"/>
      <c r="X442" s="617"/>
    </row>
    <row r="443" ht="18.75" customHeight="1">
      <c r="A443" s="617"/>
      <c r="B443" s="617"/>
      <c r="C443" s="617"/>
      <c r="D443" s="617"/>
      <c r="E443" s="617"/>
      <c r="F443" s="617"/>
      <c r="G443" s="617"/>
      <c r="H443" s="617"/>
      <c r="I443" s="617"/>
      <c r="J443" s="617"/>
      <c r="K443" s="617"/>
      <c r="L443" s="617"/>
      <c r="M443" s="617"/>
      <c r="N443" s="617"/>
      <c r="O443" s="617"/>
      <c r="P443" s="617"/>
      <c r="Q443" s="617"/>
      <c r="R443" s="617"/>
      <c r="S443" s="617"/>
      <c r="T443" s="617"/>
      <c r="U443" s="617"/>
      <c r="V443" s="617"/>
      <c r="W443" s="617"/>
      <c r="X443" s="617"/>
    </row>
    <row r="444" ht="18.75" customHeight="1">
      <c r="A444" s="617"/>
      <c r="B444" s="617"/>
      <c r="C444" s="617"/>
      <c r="D444" s="617"/>
      <c r="E444" s="617"/>
      <c r="F444" s="617"/>
      <c r="G444" s="617"/>
      <c r="H444" s="617"/>
      <c r="I444" s="617"/>
      <c r="J444" s="617"/>
      <c r="K444" s="617"/>
      <c r="L444" s="617"/>
      <c r="M444" s="617"/>
      <c r="N444" s="617"/>
      <c r="O444" s="617"/>
      <c r="P444" s="617"/>
      <c r="Q444" s="617"/>
      <c r="R444" s="617"/>
      <c r="S444" s="617"/>
      <c r="T444" s="617"/>
      <c r="U444" s="617"/>
      <c r="V444" s="617"/>
      <c r="W444" s="617"/>
      <c r="X444" s="617"/>
    </row>
    <row r="445" ht="18.75" customHeight="1">
      <c r="A445" s="617"/>
      <c r="B445" s="617"/>
      <c r="C445" s="617"/>
      <c r="D445" s="617"/>
      <c r="E445" s="617"/>
      <c r="F445" s="617"/>
      <c r="G445" s="617"/>
      <c r="H445" s="617"/>
      <c r="I445" s="617"/>
      <c r="J445" s="617"/>
      <c r="K445" s="617"/>
      <c r="L445" s="617"/>
      <c r="M445" s="617"/>
      <c r="N445" s="617"/>
      <c r="O445" s="617"/>
      <c r="P445" s="617"/>
      <c r="Q445" s="617"/>
      <c r="R445" s="617"/>
      <c r="S445" s="617"/>
      <c r="T445" s="617"/>
      <c r="U445" s="617"/>
      <c r="V445" s="617"/>
      <c r="W445" s="617"/>
      <c r="X445" s="617"/>
    </row>
    <row r="446" ht="18.75" customHeight="1">
      <c r="A446" s="617"/>
      <c r="B446" s="617"/>
      <c r="C446" s="617"/>
      <c r="D446" s="617"/>
      <c r="E446" s="617"/>
      <c r="F446" s="617"/>
      <c r="G446" s="617"/>
      <c r="H446" s="617"/>
      <c r="I446" s="617"/>
      <c r="J446" s="617"/>
      <c r="K446" s="617"/>
      <c r="L446" s="617"/>
      <c r="M446" s="617"/>
      <c r="N446" s="617"/>
      <c r="O446" s="617"/>
      <c r="P446" s="617"/>
      <c r="Q446" s="617"/>
      <c r="R446" s="617"/>
      <c r="S446" s="617"/>
      <c r="T446" s="617"/>
      <c r="U446" s="617"/>
      <c r="V446" s="617"/>
      <c r="W446" s="617"/>
      <c r="X446" s="617"/>
    </row>
    <row r="447" ht="18.75" customHeight="1">
      <c r="A447" s="617"/>
      <c r="B447" s="617"/>
      <c r="C447" s="617"/>
      <c r="D447" s="617"/>
      <c r="E447" s="617"/>
      <c r="F447" s="617"/>
      <c r="G447" s="617"/>
      <c r="H447" s="617"/>
      <c r="I447" s="617"/>
      <c r="J447" s="617"/>
      <c r="K447" s="617"/>
      <c r="L447" s="617"/>
      <c r="M447" s="617"/>
      <c r="N447" s="617"/>
      <c r="O447" s="617"/>
      <c r="P447" s="617"/>
      <c r="Q447" s="617"/>
      <c r="R447" s="617"/>
      <c r="S447" s="617"/>
      <c r="T447" s="617"/>
      <c r="U447" s="617"/>
      <c r="V447" s="617"/>
      <c r="W447" s="617"/>
      <c r="X447" s="617"/>
    </row>
    <row r="448" ht="18.75" customHeight="1">
      <c r="A448" s="617"/>
      <c r="B448" s="617"/>
      <c r="C448" s="617"/>
      <c r="D448" s="617"/>
      <c r="E448" s="617"/>
      <c r="F448" s="617"/>
      <c r="G448" s="617"/>
      <c r="H448" s="617"/>
      <c r="I448" s="617"/>
      <c r="J448" s="617"/>
      <c r="K448" s="617"/>
      <c r="L448" s="617"/>
      <c r="M448" s="617"/>
      <c r="N448" s="617"/>
      <c r="O448" s="617"/>
      <c r="P448" s="617"/>
      <c r="Q448" s="617"/>
      <c r="R448" s="617"/>
      <c r="S448" s="617"/>
      <c r="T448" s="617"/>
      <c r="U448" s="617"/>
      <c r="V448" s="617"/>
      <c r="W448" s="617"/>
      <c r="X448" s="617"/>
    </row>
    <row r="449" ht="18.75" customHeight="1">
      <c r="A449" s="617"/>
      <c r="B449" s="617"/>
      <c r="C449" s="617"/>
      <c r="D449" s="617"/>
      <c r="E449" s="617"/>
      <c r="F449" s="617"/>
      <c r="G449" s="617"/>
      <c r="H449" s="617"/>
      <c r="I449" s="617"/>
      <c r="J449" s="617"/>
      <c r="K449" s="617"/>
      <c r="L449" s="617"/>
      <c r="M449" s="617"/>
      <c r="N449" s="617"/>
      <c r="O449" s="617"/>
      <c r="P449" s="617"/>
      <c r="Q449" s="617"/>
      <c r="R449" s="617"/>
      <c r="S449" s="617"/>
      <c r="T449" s="617"/>
      <c r="U449" s="617"/>
      <c r="V449" s="617"/>
      <c r="W449" s="617"/>
      <c r="X449" s="617"/>
    </row>
    <row r="450" ht="18.75" customHeight="1">
      <c r="A450" s="617"/>
      <c r="B450" s="617"/>
      <c r="C450" s="617"/>
      <c r="D450" s="617"/>
      <c r="E450" s="617"/>
      <c r="F450" s="617"/>
      <c r="G450" s="617"/>
      <c r="H450" s="617"/>
      <c r="I450" s="617"/>
      <c r="J450" s="617"/>
      <c r="K450" s="617"/>
      <c r="L450" s="617"/>
      <c r="M450" s="617"/>
      <c r="N450" s="617"/>
      <c r="O450" s="617"/>
      <c r="P450" s="617"/>
      <c r="Q450" s="617"/>
      <c r="R450" s="617"/>
      <c r="S450" s="617"/>
      <c r="T450" s="617"/>
      <c r="U450" s="617"/>
      <c r="V450" s="617"/>
      <c r="W450" s="617"/>
      <c r="X450" s="617"/>
    </row>
    <row r="451" ht="18.75" customHeight="1">
      <c r="A451" s="617"/>
      <c r="B451" s="617"/>
      <c r="C451" s="617"/>
      <c r="D451" s="617"/>
      <c r="E451" s="617"/>
      <c r="F451" s="617"/>
      <c r="G451" s="617"/>
      <c r="H451" s="617"/>
      <c r="I451" s="617"/>
      <c r="J451" s="617"/>
      <c r="K451" s="617"/>
      <c r="L451" s="617"/>
      <c r="M451" s="617"/>
      <c r="N451" s="617"/>
      <c r="O451" s="617"/>
      <c r="P451" s="617"/>
      <c r="Q451" s="617"/>
      <c r="R451" s="617"/>
      <c r="S451" s="617"/>
      <c r="T451" s="617"/>
      <c r="U451" s="617"/>
      <c r="V451" s="617"/>
      <c r="W451" s="617"/>
      <c r="X451" s="617"/>
    </row>
    <row r="452" ht="18.75" customHeight="1">
      <c r="A452" s="617"/>
      <c r="B452" s="617"/>
      <c r="C452" s="617"/>
      <c r="D452" s="617"/>
      <c r="E452" s="617"/>
      <c r="F452" s="617"/>
      <c r="G452" s="617"/>
      <c r="H452" s="617"/>
      <c r="I452" s="617"/>
      <c r="J452" s="617"/>
      <c r="K452" s="617"/>
      <c r="L452" s="617"/>
      <c r="M452" s="617"/>
      <c r="N452" s="617"/>
      <c r="O452" s="617"/>
      <c r="P452" s="617"/>
      <c r="Q452" s="617"/>
      <c r="R452" s="617"/>
      <c r="S452" s="617"/>
      <c r="T452" s="617"/>
      <c r="U452" s="617"/>
      <c r="V452" s="617"/>
      <c r="W452" s="617"/>
      <c r="X452" s="617"/>
    </row>
    <row r="453" ht="18.75" customHeight="1">
      <c r="A453" s="617"/>
      <c r="B453" s="617"/>
      <c r="C453" s="617"/>
      <c r="D453" s="617"/>
      <c r="E453" s="617"/>
      <c r="F453" s="617"/>
      <c r="G453" s="617"/>
      <c r="H453" s="617"/>
      <c r="I453" s="617"/>
      <c r="J453" s="617"/>
      <c r="K453" s="617"/>
      <c r="L453" s="617"/>
      <c r="M453" s="617"/>
      <c r="N453" s="617"/>
      <c r="O453" s="617"/>
      <c r="P453" s="617"/>
      <c r="Q453" s="617"/>
      <c r="R453" s="617"/>
      <c r="S453" s="617"/>
      <c r="T453" s="617"/>
      <c r="U453" s="617"/>
      <c r="V453" s="617"/>
      <c r="W453" s="617"/>
      <c r="X453" s="617"/>
    </row>
    <row r="454" ht="18.75" customHeight="1">
      <c r="A454" s="617"/>
      <c r="B454" s="617"/>
      <c r="C454" s="617"/>
      <c r="D454" s="617"/>
      <c r="E454" s="617"/>
      <c r="F454" s="617"/>
      <c r="G454" s="617"/>
      <c r="H454" s="617"/>
      <c r="I454" s="617"/>
      <c r="J454" s="617"/>
      <c r="K454" s="617"/>
      <c r="L454" s="617"/>
      <c r="M454" s="617"/>
      <c r="N454" s="617"/>
      <c r="O454" s="617"/>
      <c r="P454" s="617"/>
      <c r="Q454" s="617"/>
      <c r="R454" s="617"/>
      <c r="S454" s="617"/>
      <c r="T454" s="617"/>
      <c r="U454" s="617"/>
      <c r="V454" s="617"/>
      <c r="W454" s="617"/>
      <c r="X454" s="617"/>
    </row>
    <row r="455" ht="18.75" customHeight="1">
      <c r="A455" s="617"/>
      <c r="B455" s="617"/>
      <c r="C455" s="617"/>
      <c r="D455" s="617"/>
      <c r="E455" s="617"/>
      <c r="F455" s="617"/>
      <c r="G455" s="617"/>
      <c r="H455" s="617"/>
      <c r="I455" s="617"/>
      <c r="J455" s="617"/>
      <c r="K455" s="617"/>
      <c r="L455" s="617"/>
      <c r="M455" s="617"/>
      <c r="N455" s="617"/>
      <c r="O455" s="617"/>
      <c r="P455" s="617"/>
      <c r="Q455" s="617"/>
      <c r="R455" s="617"/>
      <c r="S455" s="617"/>
      <c r="T455" s="617"/>
      <c r="U455" s="617"/>
      <c r="V455" s="617"/>
      <c r="W455" s="617"/>
      <c r="X455" s="617"/>
    </row>
    <row r="456" ht="18.75" customHeight="1">
      <c r="A456" s="617"/>
      <c r="B456" s="617"/>
      <c r="C456" s="617"/>
      <c r="D456" s="617"/>
      <c r="E456" s="617"/>
      <c r="F456" s="617"/>
      <c r="G456" s="617"/>
      <c r="H456" s="617"/>
      <c r="I456" s="617"/>
      <c r="J456" s="617"/>
      <c r="K456" s="617"/>
      <c r="L456" s="617"/>
      <c r="M456" s="617"/>
      <c r="N456" s="617"/>
      <c r="O456" s="617"/>
      <c r="P456" s="617"/>
      <c r="Q456" s="617"/>
      <c r="R456" s="617"/>
      <c r="S456" s="617"/>
      <c r="T456" s="617"/>
      <c r="U456" s="617"/>
      <c r="V456" s="617"/>
      <c r="W456" s="617"/>
      <c r="X456" s="617"/>
    </row>
    <row r="457" ht="18.75" customHeight="1">
      <c r="A457" s="617"/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</row>
    <row r="458" ht="18.75" customHeight="1">
      <c r="A458" s="617"/>
      <c r="B458" s="617"/>
      <c r="C458" s="617"/>
      <c r="D458" s="617"/>
      <c r="E458" s="617"/>
      <c r="F458" s="617"/>
      <c r="G458" s="617"/>
      <c r="H458" s="617"/>
      <c r="I458" s="617"/>
      <c r="J458" s="617"/>
      <c r="K458" s="617"/>
      <c r="L458" s="617"/>
      <c r="M458" s="617"/>
      <c r="N458" s="617"/>
      <c r="O458" s="617"/>
      <c r="P458" s="617"/>
      <c r="Q458" s="617"/>
      <c r="R458" s="617"/>
      <c r="S458" s="617"/>
      <c r="T458" s="617"/>
      <c r="U458" s="617"/>
      <c r="V458" s="617"/>
      <c r="W458" s="617"/>
      <c r="X458" s="617"/>
    </row>
    <row r="459" ht="18.75" customHeight="1">
      <c r="A459" s="617"/>
      <c r="B459" s="617"/>
      <c r="C459" s="617"/>
      <c r="D459" s="617"/>
      <c r="E459" s="617"/>
      <c r="F459" s="617"/>
      <c r="G459" s="617"/>
      <c r="H459" s="617"/>
      <c r="I459" s="617"/>
      <c r="J459" s="617"/>
      <c r="K459" s="617"/>
      <c r="L459" s="617"/>
      <c r="M459" s="617"/>
      <c r="N459" s="617"/>
      <c r="O459" s="617"/>
      <c r="P459" s="617"/>
      <c r="Q459" s="617"/>
      <c r="R459" s="617"/>
      <c r="S459" s="617"/>
      <c r="T459" s="617"/>
      <c r="U459" s="617"/>
      <c r="V459" s="617"/>
      <c r="W459" s="617"/>
      <c r="X459" s="617"/>
    </row>
    <row r="460" ht="18.75" customHeight="1">
      <c r="A460" s="617"/>
      <c r="B460" s="617"/>
      <c r="C460" s="617"/>
      <c r="D460" s="617"/>
      <c r="E460" s="617"/>
      <c r="F460" s="617"/>
      <c r="G460" s="617"/>
      <c r="H460" s="617"/>
      <c r="I460" s="617"/>
      <c r="J460" s="617"/>
      <c r="K460" s="617"/>
      <c r="L460" s="617"/>
      <c r="M460" s="617"/>
      <c r="N460" s="617"/>
      <c r="O460" s="617"/>
      <c r="P460" s="617"/>
      <c r="Q460" s="617"/>
      <c r="R460" s="617"/>
      <c r="S460" s="617"/>
      <c r="T460" s="617"/>
      <c r="U460" s="617"/>
      <c r="V460" s="617"/>
      <c r="W460" s="617"/>
      <c r="X460" s="617"/>
    </row>
    <row r="461" ht="18.75" customHeight="1">
      <c r="A461" s="617"/>
      <c r="B461" s="617"/>
      <c r="C461" s="617"/>
      <c r="D461" s="617"/>
      <c r="E461" s="617"/>
      <c r="F461" s="617"/>
      <c r="G461" s="617"/>
      <c r="H461" s="617"/>
      <c r="I461" s="617"/>
      <c r="J461" s="617"/>
      <c r="K461" s="617"/>
      <c r="L461" s="617"/>
      <c r="M461" s="617"/>
      <c r="N461" s="617"/>
      <c r="O461" s="617"/>
      <c r="P461" s="617"/>
      <c r="Q461" s="617"/>
      <c r="R461" s="617"/>
      <c r="S461" s="617"/>
      <c r="T461" s="617"/>
      <c r="U461" s="617"/>
      <c r="V461" s="617"/>
      <c r="W461" s="617"/>
      <c r="X461" s="617"/>
    </row>
    <row r="462" ht="18.75" customHeight="1">
      <c r="A462" s="617"/>
      <c r="B462" s="617"/>
      <c r="C462" s="617"/>
      <c r="D462" s="617"/>
      <c r="E462" s="617"/>
      <c r="F462" s="617"/>
      <c r="G462" s="617"/>
      <c r="H462" s="617"/>
      <c r="I462" s="617"/>
      <c r="J462" s="617"/>
      <c r="K462" s="617"/>
      <c r="L462" s="617"/>
      <c r="M462" s="617"/>
      <c r="N462" s="617"/>
      <c r="O462" s="617"/>
      <c r="P462" s="617"/>
      <c r="Q462" s="617"/>
      <c r="R462" s="617"/>
      <c r="S462" s="617"/>
      <c r="T462" s="617"/>
      <c r="U462" s="617"/>
      <c r="V462" s="617"/>
      <c r="W462" s="617"/>
      <c r="X462" s="617"/>
    </row>
    <row r="463" ht="18.75" customHeight="1">
      <c r="A463" s="617"/>
      <c r="B463" s="617"/>
      <c r="C463" s="617"/>
      <c r="D463" s="617"/>
      <c r="E463" s="617"/>
      <c r="F463" s="617"/>
      <c r="G463" s="617"/>
      <c r="H463" s="617"/>
      <c r="I463" s="617"/>
      <c r="J463" s="617"/>
      <c r="K463" s="617"/>
      <c r="L463" s="617"/>
      <c r="M463" s="617"/>
      <c r="N463" s="617"/>
      <c r="O463" s="617"/>
      <c r="P463" s="617"/>
      <c r="Q463" s="617"/>
      <c r="R463" s="617"/>
      <c r="S463" s="617"/>
      <c r="T463" s="617"/>
      <c r="U463" s="617"/>
      <c r="V463" s="617"/>
      <c r="W463" s="617"/>
      <c r="X463" s="617"/>
    </row>
    <row r="464" ht="18.75" customHeight="1">
      <c r="A464" s="617"/>
      <c r="B464" s="617"/>
      <c r="C464" s="617"/>
      <c r="D464" s="617"/>
      <c r="E464" s="617"/>
      <c r="F464" s="617"/>
      <c r="G464" s="617"/>
      <c r="H464" s="617"/>
      <c r="I464" s="617"/>
      <c r="J464" s="617"/>
      <c r="K464" s="617"/>
      <c r="L464" s="617"/>
      <c r="M464" s="617"/>
      <c r="N464" s="617"/>
      <c r="O464" s="617"/>
      <c r="P464" s="617"/>
      <c r="Q464" s="617"/>
      <c r="R464" s="617"/>
      <c r="S464" s="617"/>
      <c r="T464" s="617"/>
      <c r="U464" s="617"/>
      <c r="V464" s="617"/>
      <c r="W464" s="617"/>
      <c r="X464" s="617"/>
    </row>
    <row r="465" ht="18.75" customHeight="1">
      <c r="A465" s="617"/>
      <c r="B465" s="617"/>
      <c r="C465" s="617"/>
      <c r="D465" s="617"/>
      <c r="E465" s="617"/>
      <c r="F465" s="617"/>
      <c r="G465" s="617"/>
      <c r="H465" s="617"/>
      <c r="I465" s="617"/>
      <c r="J465" s="617"/>
      <c r="K465" s="617"/>
      <c r="L465" s="617"/>
      <c r="M465" s="617"/>
      <c r="N465" s="617"/>
      <c r="O465" s="617"/>
      <c r="P465" s="617"/>
      <c r="Q465" s="617"/>
      <c r="R465" s="617"/>
      <c r="S465" s="617"/>
      <c r="T465" s="617"/>
      <c r="U465" s="617"/>
      <c r="V465" s="617"/>
      <c r="W465" s="617"/>
      <c r="X465" s="617"/>
    </row>
    <row r="466" ht="18.75" customHeight="1">
      <c r="A466" s="617"/>
      <c r="B466" s="617"/>
      <c r="C466" s="617"/>
      <c r="D466" s="617"/>
      <c r="E466" s="617"/>
      <c r="F466" s="617"/>
      <c r="G466" s="617"/>
      <c r="H466" s="617"/>
      <c r="I466" s="617"/>
      <c r="J466" s="617"/>
      <c r="K466" s="617"/>
      <c r="L466" s="617"/>
      <c r="M466" s="617"/>
      <c r="N466" s="617"/>
      <c r="O466" s="617"/>
      <c r="P466" s="617"/>
      <c r="Q466" s="617"/>
      <c r="R466" s="617"/>
      <c r="S466" s="617"/>
      <c r="T466" s="617"/>
      <c r="U466" s="617"/>
      <c r="V466" s="617"/>
      <c r="W466" s="617"/>
      <c r="X466" s="617"/>
    </row>
    <row r="467" ht="18.75" customHeight="1">
      <c r="A467" s="617"/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17"/>
      <c r="P467" s="617"/>
      <c r="Q467" s="617"/>
      <c r="R467" s="617"/>
      <c r="S467" s="617"/>
      <c r="T467" s="617"/>
      <c r="U467" s="617"/>
      <c r="V467" s="617"/>
      <c r="W467" s="617"/>
      <c r="X467" s="617"/>
    </row>
    <row r="468" ht="18.75" customHeight="1">
      <c r="A468" s="617"/>
      <c r="B468" s="617"/>
      <c r="C468" s="617"/>
      <c r="D468" s="617"/>
      <c r="E468" s="617"/>
      <c r="F468" s="617"/>
      <c r="G468" s="617"/>
      <c r="H468" s="617"/>
      <c r="I468" s="617"/>
      <c r="J468" s="617"/>
      <c r="K468" s="617"/>
      <c r="L468" s="617"/>
      <c r="M468" s="617"/>
      <c r="N468" s="617"/>
      <c r="O468" s="617"/>
      <c r="P468" s="617"/>
      <c r="Q468" s="617"/>
      <c r="R468" s="617"/>
      <c r="S468" s="617"/>
      <c r="T468" s="617"/>
      <c r="U468" s="617"/>
      <c r="V468" s="617"/>
      <c r="W468" s="617"/>
      <c r="X468" s="617"/>
    </row>
    <row r="469" ht="18.75" customHeight="1">
      <c r="A469" s="617"/>
      <c r="B469" s="617"/>
      <c r="C469" s="617"/>
      <c r="D469" s="617"/>
      <c r="E469" s="617"/>
      <c r="F469" s="617"/>
      <c r="G469" s="617"/>
      <c r="H469" s="617"/>
      <c r="I469" s="617"/>
      <c r="J469" s="617"/>
      <c r="K469" s="617"/>
      <c r="L469" s="617"/>
      <c r="M469" s="617"/>
      <c r="N469" s="617"/>
      <c r="O469" s="617"/>
      <c r="P469" s="617"/>
      <c r="Q469" s="617"/>
      <c r="R469" s="617"/>
      <c r="S469" s="617"/>
      <c r="T469" s="617"/>
      <c r="U469" s="617"/>
      <c r="V469" s="617"/>
      <c r="W469" s="617"/>
      <c r="X469" s="617"/>
    </row>
    <row r="470" ht="18.75" customHeight="1">
      <c r="A470" s="617"/>
      <c r="B470" s="617"/>
      <c r="C470" s="617"/>
      <c r="D470" s="617"/>
      <c r="E470" s="617"/>
      <c r="F470" s="617"/>
      <c r="G470" s="617"/>
      <c r="H470" s="617"/>
      <c r="I470" s="617"/>
      <c r="J470" s="617"/>
      <c r="K470" s="617"/>
      <c r="L470" s="617"/>
      <c r="M470" s="617"/>
      <c r="N470" s="617"/>
      <c r="O470" s="617"/>
      <c r="P470" s="617"/>
      <c r="Q470" s="617"/>
      <c r="R470" s="617"/>
      <c r="S470" s="617"/>
      <c r="T470" s="617"/>
      <c r="U470" s="617"/>
      <c r="V470" s="617"/>
      <c r="W470" s="617"/>
      <c r="X470" s="617"/>
    </row>
    <row r="471" ht="18.75" customHeight="1">
      <c r="A471" s="617"/>
      <c r="B471" s="617"/>
      <c r="C471" s="617"/>
      <c r="D471" s="617"/>
      <c r="E471" s="617"/>
      <c r="F471" s="617"/>
      <c r="G471" s="617"/>
      <c r="H471" s="617"/>
      <c r="I471" s="617"/>
      <c r="J471" s="617"/>
      <c r="K471" s="617"/>
      <c r="L471" s="617"/>
      <c r="M471" s="617"/>
      <c r="N471" s="617"/>
      <c r="O471" s="617"/>
      <c r="P471" s="617"/>
      <c r="Q471" s="617"/>
      <c r="R471" s="617"/>
      <c r="S471" s="617"/>
      <c r="T471" s="617"/>
      <c r="U471" s="617"/>
      <c r="V471" s="617"/>
      <c r="W471" s="617"/>
      <c r="X471" s="617"/>
    </row>
    <row r="472" ht="18.75" customHeight="1">
      <c r="A472" s="617"/>
      <c r="B472" s="617"/>
      <c r="C472" s="617"/>
      <c r="D472" s="617"/>
      <c r="E472" s="617"/>
      <c r="F472" s="617"/>
      <c r="G472" s="617"/>
      <c r="H472" s="617"/>
      <c r="I472" s="617"/>
      <c r="J472" s="617"/>
      <c r="K472" s="617"/>
      <c r="L472" s="617"/>
      <c r="M472" s="617"/>
      <c r="N472" s="617"/>
      <c r="O472" s="617"/>
      <c r="P472" s="617"/>
      <c r="Q472" s="617"/>
      <c r="R472" s="617"/>
      <c r="S472" s="617"/>
      <c r="T472" s="617"/>
      <c r="U472" s="617"/>
      <c r="V472" s="617"/>
      <c r="W472" s="617"/>
      <c r="X472" s="617"/>
    </row>
    <row r="473" ht="18.75" customHeight="1">
      <c r="A473" s="617"/>
      <c r="B473" s="617"/>
      <c r="C473" s="617"/>
      <c r="D473" s="617"/>
      <c r="E473" s="617"/>
      <c r="F473" s="617"/>
      <c r="G473" s="617"/>
      <c r="H473" s="617"/>
      <c r="I473" s="617"/>
      <c r="J473" s="617"/>
      <c r="K473" s="617"/>
      <c r="L473" s="617"/>
      <c r="M473" s="617"/>
      <c r="N473" s="617"/>
      <c r="O473" s="617"/>
      <c r="P473" s="617"/>
      <c r="Q473" s="617"/>
      <c r="R473" s="617"/>
      <c r="S473" s="617"/>
      <c r="T473" s="617"/>
      <c r="U473" s="617"/>
      <c r="V473" s="617"/>
      <c r="W473" s="617"/>
      <c r="X473" s="617"/>
    </row>
    <row r="474" ht="18.75" customHeight="1">
      <c r="A474" s="617"/>
      <c r="B474" s="617"/>
      <c r="C474" s="617"/>
      <c r="D474" s="617"/>
      <c r="E474" s="617"/>
      <c r="F474" s="617"/>
      <c r="G474" s="617"/>
      <c r="H474" s="617"/>
      <c r="I474" s="617"/>
      <c r="J474" s="617"/>
      <c r="K474" s="617"/>
      <c r="L474" s="617"/>
      <c r="M474" s="617"/>
      <c r="N474" s="617"/>
      <c r="O474" s="617"/>
      <c r="P474" s="617"/>
      <c r="Q474" s="617"/>
      <c r="R474" s="617"/>
      <c r="S474" s="617"/>
      <c r="T474" s="617"/>
      <c r="U474" s="617"/>
      <c r="V474" s="617"/>
      <c r="W474" s="617"/>
      <c r="X474" s="617"/>
    </row>
    <row r="475" ht="18.75" customHeight="1">
      <c r="A475" s="617"/>
      <c r="B475" s="617"/>
      <c r="C475" s="617"/>
      <c r="D475" s="617"/>
      <c r="E475" s="617"/>
      <c r="F475" s="617"/>
      <c r="G475" s="617"/>
      <c r="H475" s="617"/>
      <c r="I475" s="617"/>
      <c r="J475" s="617"/>
      <c r="K475" s="617"/>
      <c r="L475" s="617"/>
      <c r="M475" s="617"/>
      <c r="N475" s="617"/>
      <c r="O475" s="617"/>
      <c r="P475" s="617"/>
      <c r="Q475" s="617"/>
      <c r="R475" s="617"/>
      <c r="S475" s="617"/>
      <c r="T475" s="617"/>
      <c r="U475" s="617"/>
      <c r="V475" s="617"/>
      <c r="W475" s="617"/>
      <c r="X475" s="617"/>
    </row>
    <row r="476" ht="18.75" customHeight="1">
      <c r="A476" s="617"/>
      <c r="B476" s="617"/>
      <c r="C476" s="617"/>
      <c r="D476" s="617"/>
      <c r="E476" s="617"/>
      <c r="F476" s="617"/>
      <c r="G476" s="617"/>
      <c r="H476" s="617"/>
      <c r="I476" s="617"/>
      <c r="J476" s="617"/>
      <c r="K476" s="617"/>
      <c r="L476" s="617"/>
      <c r="M476" s="617"/>
      <c r="N476" s="617"/>
      <c r="O476" s="617"/>
      <c r="P476" s="617"/>
      <c r="Q476" s="617"/>
      <c r="R476" s="617"/>
      <c r="S476" s="617"/>
      <c r="T476" s="617"/>
      <c r="U476" s="617"/>
      <c r="V476" s="617"/>
      <c r="W476" s="617"/>
      <c r="X476" s="617"/>
    </row>
    <row r="477" ht="18.75" customHeight="1">
      <c r="A477" s="617"/>
      <c r="B477" s="617"/>
      <c r="C477" s="617"/>
      <c r="D477" s="617"/>
      <c r="E477" s="617"/>
      <c r="F477" s="617"/>
      <c r="G477" s="617"/>
      <c r="H477" s="617"/>
      <c r="I477" s="617"/>
      <c r="J477" s="617"/>
      <c r="K477" s="617"/>
      <c r="L477" s="617"/>
      <c r="M477" s="617"/>
      <c r="N477" s="617"/>
      <c r="O477" s="617"/>
      <c r="P477" s="617"/>
      <c r="Q477" s="617"/>
      <c r="R477" s="617"/>
      <c r="S477" s="617"/>
      <c r="T477" s="617"/>
      <c r="U477" s="617"/>
      <c r="V477" s="617"/>
      <c r="W477" s="617"/>
      <c r="X477" s="617"/>
    </row>
    <row r="478" ht="18.75" customHeight="1">
      <c r="A478" s="617"/>
      <c r="B478" s="617"/>
      <c r="C478" s="617"/>
      <c r="D478" s="617"/>
      <c r="E478" s="617"/>
      <c r="F478" s="617"/>
      <c r="G478" s="617"/>
      <c r="H478" s="617"/>
      <c r="I478" s="617"/>
      <c r="J478" s="617"/>
      <c r="K478" s="617"/>
      <c r="L478" s="617"/>
      <c r="M478" s="617"/>
      <c r="N478" s="617"/>
      <c r="O478" s="617"/>
      <c r="P478" s="617"/>
      <c r="Q478" s="617"/>
      <c r="R478" s="617"/>
      <c r="S478" s="617"/>
      <c r="T478" s="617"/>
      <c r="U478" s="617"/>
      <c r="V478" s="617"/>
      <c r="W478" s="617"/>
      <c r="X478" s="617"/>
    </row>
    <row r="479" ht="18.75" customHeight="1">
      <c r="A479" s="617"/>
      <c r="B479" s="617"/>
      <c r="C479" s="617"/>
      <c r="D479" s="617"/>
      <c r="E479" s="617"/>
      <c r="F479" s="617"/>
      <c r="G479" s="617"/>
      <c r="H479" s="617"/>
      <c r="I479" s="617"/>
      <c r="J479" s="617"/>
      <c r="K479" s="617"/>
      <c r="L479" s="617"/>
      <c r="M479" s="617"/>
      <c r="N479" s="617"/>
      <c r="O479" s="617"/>
      <c r="P479" s="617"/>
      <c r="Q479" s="617"/>
      <c r="R479" s="617"/>
      <c r="S479" s="617"/>
      <c r="T479" s="617"/>
      <c r="U479" s="617"/>
      <c r="V479" s="617"/>
      <c r="W479" s="617"/>
      <c r="X479" s="617"/>
    </row>
    <row r="480" ht="18.75" customHeight="1">
      <c r="A480" s="617"/>
      <c r="B480" s="617"/>
      <c r="C480" s="617"/>
      <c r="D480" s="617"/>
      <c r="E480" s="617"/>
      <c r="F480" s="617"/>
      <c r="G480" s="617"/>
      <c r="H480" s="617"/>
      <c r="I480" s="617"/>
      <c r="J480" s="617"/>
      <c r="K480" s="617"/>
      <c r="L480" s="617"/>
      <c r="M480" s="617"/>
      <c r="N480" s="617"/>
      <c r="O480" s="617"/>
      <c r="P480" s="617"/>
      <c r="Q480" s="617"/>
      <c r="R480" s="617"/>
      <c r="S480" s="617"/>
      <c r="T480" s="617"/>
      <c r="U480" s="617"/>
      <c r="V480" s="617"/>
      <c r="W480" s="617"/>
      <c r="X480" s="617"/>
    </row>
    <row r="481" ht="18.75" customHeight="1">
      <c r="A481" s="617"/>
      <c r="B481" s="617"/>
      <c r="C481" s="617"/>
      <c r="D481" s="617"/>
      <c r="E481" s="617"/>
      <c r="F481" s="617"/>
      <c r="G481" s="617"/>
      <c r="H481" s="617"/>
      <c r="I481" s="617"/>
      <c r="J481" s="617"/>
      <c r="K481" s="617"/>
      <c r="L481" s="617"/>
      <c r="M481" s="617"/>
      <c r="N481" s="617"/>
      <c r="O481" s="617"/>
      <c r="P481" s="617"/>
      <c r="Q481" s="617"/>
      <c r="R481" s="617"/>
      <c r="S481" s="617"/>
      <c r="T481" s="617"/>
      <c r="U481" s="617"/>
      <c r="V481" s="617"/>
      <c r="W481" s="617"/>
      <c r="X481" s="617"/>
    </row>
    <row r="482" ht="18.75" customHeight="1">
      <c r="A482" s="617"/>
      <c r="B482" s="617"/>
      <c r="C482" s="617"/>
      <c r="D482" s="617"/>
      <c r="E482" s="617"/>
      <c r="F482" s="617"/>
      <c r="G482" s="617"/>
      <c r="H482" s="617"/>
      <c r="I482" s="617"/>
      <c r="J482" s="617"/>
      <c r="K482" s="617"/>
      <c r="L482" s="617"/>
      <c r="M482" s="617"/>
      <c r="N482" s="617"/>
      <c r="O482" s="617"/>
      <c r="P482" s="617"/>
      <c r="Q482" s="617"/>
      <c r="R482" s="617"/>
      <c r="S482" s="617"/>
      <c r="T482" s="617"/>
      <c r="U482" s="617"/>
      <c r="V482" s="617"/>
      <c r="W482" s="617"/>
      <c r="X482" s="617"/>
    </row>
    <row r="483" ht="18.75" customHeight="1">
      <c r="A483" s="617"/>
      <c r="B483" s="617"/>
      <c r="C483" s="617"/>
      <c r="D483" s="617"/>
      <c r="E483" s="617"/>
      <c r="F483" s="617"/>
      <c r="G483" s="617"/>
      <c r="H483" s="617"/>
      <c r="I483" s="617"/>
      <c r="J483" s="617"/>
      <c r="K483" s="617"/>
      <c r="L483" s="617"/>
      <c r="M483" s="617"/>
      <c r="N483" s="617"/>
      <c r="O483" s="617"/>
      <c r="P483" s="617"/>
      <c r="Q483" s="617"/>
      <c r="R483" s="617"/>
      <c r="S483" s="617"/>
      <c r="T483" s="617"/>
      <c r="U483" s="617"/>
      <c r="V483" s="617"/>
      <c r="W483" s="617"/>
      <c r="X483" s="617"/>
    </row>
    <row r="484" ht="18.75" customHeight="1">
      <c r="A484" s="617"/>
      <c r="B484" s="617"/>
      <c r="C484" s="617"/>
      <c r="D484" s="617"/>
      <c r="E484" s="617"/>
      <c r="F484" s="617"/>
      <c r="G484" s="617"/>
      <c r="H484" s="617"/>
      <c r="I484" s="617"/>
      <c r="J484" s="617"/>
      <c r="K484" s="617"/>
      <c r="L484" s="617"/>
      <c r="M484" s="617"/>
      <c r="N484" s="617"/>
      <c r="O484" s="617"/>
      <c r="P484" s="617"/>
      <c r="Q484" s="617"/>
      <c r="R484" s="617"/>
      <c r="S484" s="617"/>
      <c r="T484" s="617"/>
      <c r="U484" s="617"/>
      <c r="V484" s="617"/>
      <c r="W484" s="617"/>
      <c r="X484" s="617"/>
    </row>
    <row r="485" ht="18.75" customHeight="1">
      <c r="A485" s="617"/>
      <c r="B485" s="617"/>
      <c r="C485" s="617"/>
      <c r="D485" s="617"/>
      <c r="E485" s="617"/>
      <c r="F485" s="617"/>
      <c r="G485" s="617"/>
      <c r="H485" s="617"/>
      <c r="I485" s="617"/>
      <c r="J485" s="617"/>
      <c r="K485" s="617"/>
      <c r="L485" s="617"/>
      <c r="M485" s="617"/>
      <c r="N485" s="617"/>
      <c r="O485" s="617"/>
      <c r="P485" s="617"/>
      <c r="Q485" s="617"/>
      <c r="R485" s="617"/>
      <c r="S485" s="617"/>
      <c r="T485" s="617"/>
      <c r="U485" s="617"/>
      <c r="V485" s="617"/>
      <c r="W485" s="617"/>
      <c r="X485" s="617"/>
    </row>
    <row r="486" ht="18.75" customHeight="1">
      <c r="A486" s="617"/>
      <c r="B486" s="617"/>
      <c r="C486" s="617"/>
      <c r="D486" s="617"/>
      <c r="E486" s="617"/>
      <c r="F486" s="617"/>
      <c r="G486" s="617"/>
      <c r="H486" s="617"/>
      <c r="I486" s="617"/>
      <c r="J486" s="617"/>
      <c r="K486" s="617"/>
      <c r="L486" s="617"/>
      <c r="M486" s="617"/>
      <c r="N486" s="617"/>
      <c r="O486" s="617"/>
      <c r="P486" s="617"/>
      <c r="Q486" s="617"/>
      <c r="R486" s="617"/>
      <c r="S486" s="617"/>
      <c r="T486" s="617"/>
      <c r="U486" s="617"/>
      <c r="V486" s="617"/>
      <c r="W486" s="617"/>
      <c r="X486" s="617"/>
    </row>
    <row r="487" ht="18.75" customHeight="1">
      <c r="A487" s="617"/>
      <c r="B487" s="617"/>
      <c r="C487" s="617"/>
      <c r="D487" s="617"/>
      <c r="E487" s="617"/>
      <c r="F487" s="617"/>
      <c r="G487" s="617"/>
      <c r="H487" s="617"/>
      <c r="I487" s="617"/>
      <c r="J487" s="617"/>
      <c r="K487" s="617"/>
      <c r="L487" s="617"/>
      <c r="M487" s="617"/>
      <c r="N487" s="617"/>
      <c r="O487" s="617"/>
      <c r="P487" s="617"/>
      <c r="Q487" s="617"/>
      <c r="R487" s="617"/>
      <c r="S487" s="617"/>
      <c r="T487" s="617"/>
      <c r="U487" s="617"/>
      <c r="V487" s="617"/>
      <c r="W487" s="617"/>
      <c r="X487" s="617"/>
    </row>
    <row r="488" ht="18.75" customHeight="1">
      <c r="A488" s="617"/>
      <c r="B488" s="617"/>
      <c r="C488" s="617"/>
      <c r="D488" s="617"/>
      <c r="E488" s="617"/>
      <c r="F488" s="617"/>
      <c r="G488" s="617"/>
      <c r="H488" s="617"/>
      <c r="I488" s="617"/>
      <c r="J488" s="617"/>
      <c r="K488" s="617"/>
      <c r="L488" s="617"/>
      <c r="M488" s="617"/>
      <c r="N488" s="617"/>
      <c r="O488" s="617"/>
      <c r="P488" s="617"/>
      <c r="Q488" s="617"/>
      <c r="R488" s="617"/>
      <c r="S488" s="617"/>
      <c r="T488" s="617"/>
      <c r="U488" s="617"/>
      <c r="V488" s="617"/>
      <c r="W488" s="617"/>
      <c r="X488" s="617"/>
    </row>
    <row r="489" ht="18.75" customHeight="1">
      <c r="A489" s="617"/>
      <c r="B489" s="617"/>
      <c r="C489" s="617"/>
      <c r="D489" s="617"/>
      <c r="E489" s="617"/>
      <c r="F489" s="617"/>
      <c r="G489" s="617"/>
      <c r="H489" s="617"/>
      <c r="I489" s="617"/>
      <c r="J489" s="617"/>
      <c r="K489" s="617"/>
      <c r="L489" s="617"/>
      <c r="M489" s="617"/>
      <c r="N489" s="617"/>
      <c r="O489" s="617"/>
      <c r="P489" s="617"/>
      <c r="Q489" s="617"/>
      <c r="R489" s="617"/>
      <c r="S489" s="617"/>
      <c r="T489" s="617"/>
      <c r="U489" s="617"/>
      <c r="V489" s="617"/>
      <c r="W489" s="617"/>
      <c r="X489" s="617"/>
    </row>
    <row r="490" ht="18.75" customHeight="1">
      <c r="A490" s="617"/>
      <c r="B490" s="617"/>
      <c r="C490" s="617"/>
      <c r="D490" s="617"/>
      <c r="E490" s="617"/>
      <c r="F490" s="617"/>
      <c r="G490" s="617"/>
      <c r="H490" s="617"/>
      <c r="I490" s="617"/>
      <c r="J490" s="617"/>
      <c r="K490" s="617"/>
      <c r="L490" s="617"/>
      <c r="M490" s="617"/>
      <c r="N490" s="617"/>
      <c r="O490" s="617"/>
      <c r="P490" s="617"/>
      <c r="Q490" s="617"/>
      <c r="R490" s="617"/>
      <c r="S490" s="617"/>
      <c r="T490" s="617"/>
      <c r="U490" s="617"/>
      <c r="V490" s="617"/>
      <c r="W490" s="617"/>
      <c r="X490" s="617"/>
    </row>
    <row r="491" ht="18.75" customHeight="1">
      <c r="A491" s="617"/>
      <c r="B491" s="617"/>
      <c r="C491" s="617"/>
      <c r="D491" s="617"/>
      <c r="E491" s="617"/>
      <c r="F491" s="617"/>
      <c r="G491" s="617"/>
      <c r="H491" s="617"/>
      <c r="I491" s="617"/>
      <c r="J491" s="617"/>
      <c r="K491" s="617"/>
      <c r="L491" s="617"/>
      <c r="M491" s="617"/>
      <c r="N491" s="617"/>
      <c r="O491" s="617"/>
      <c r="P491" s="617"/>
      <c r="Q491" s="617"/>
      <c r="R491" s="617"/>
      <c r="S491" s="617"/>
      <c r="T491" s="617"/>
      <c r="U491" s="617"/>
      <c r="V491" s="617"/>
      <c r="W491" s="617"/>
      <c r="X491" s="617"/>
    </row>
    <row r="492" ht="18.75" customHeight="1">
      <c r="A492" s="617"/>
      <c r="B492" s="617"/>
      <c r="C492" s="617"/>
      <c r="D492" s="617"/>
      <c r="E492" s="617"/>
      <c r="F492" s="617"/>
      <c r="G492" s="617"/>
      <c r="H492" s="617"/>
      <c r="I492" s="617"/>
      <c r="J492" s="617"/>
      <c r="K492" s="617"/>
      <c r="L492" s="617"/>
      <c r="M492" s="617"/>
      <c r="N492" s="617"/>
      <c r="O492" s="617"/>
      <c r="P492" s="617"/>
      <c r="Q492" s="617"/>
      <c r="R492" s="617"/>
      <c r="S492" s="617"/>
      <c r="T492" s="617"/>
      <c r="U492" s="617"/>
      <c r="V492" s="617"/>
      <c r="W492" s="617"/>
      <c r="X492" s="617"/>
    </row>
    <row r="493" ht="18.75" customHeight="1">
      <c r="A493" s="617"/>
      <c r="B493" s="617"/>
      <c r="C493" s="617"/>
      <c r="D493" s="617"/>
      <c r="E493" s="617"/>
      <c r="F493" s="617"/>
      <c r="G493" s="617"/>
      <c r="H493" s="617"/>
      <c r="I493" s="617"/>
      <c r="J493" s="617"/>
      <c r="K493" s="617"/>
      <c r="L493" s="617"/>
      <c r="M493" s="617"/>
      <c r="N493" s="617"/>
      <c r="O493" s="617"/>
      <c r="P493" s="617"/>
      <c r="Q493" s="617"/>
      <c r="R493" s="617"/>
      <c r="S493" s="617"/>
      <c r="T493" s="617"/>
      <c r="U493" s="617"/>
      <c r="V493" s="617"/>
      <c r="W493" s="617"/>
      <c r="X493" s="617"/>
    </row>
    <row r="494" ht="18.75" customHeight="1">
      <c r="A494" s="617"/>
      <c r="B494" s="617"/>
      <c r="C494" s="617"/>
      <c r="D494" s="617"/>
      <c r="E494" s="617"/>
      <c r="F494" s="617"/>
      <c r="G494" s="617"/>
      <c r="H494" s="617"/>
      <c r="I494" s="617"/>
      <c r="J494" s="617"/>
      <c r="K494" s="617"/>
      <c r="L494" s="617"/>
      <c r="M494" s="617"/>
      <c r="N494" s="617"/>
      <c r="O494" s="617"/>
      <c r="P494" s="617"/>
      <c r="Q494" s="617"/>
      <c r="R494" s="617"/>
      <c r="S494" s="617"/>
      <c r="T494" s="617"/>
      <c r="U494" s="617"/>
      <c r="V494" s="617"/>
      <c r="W494" s="617"/>
      <c r="X494" s="617"/>
    </row>
    <row r="495" ht="18.75" customHeight="1">
      <c r="A495" s="617"/>
      <c r="B495" s="617"/>
      <c r="C495" s="617"/>
      <c r="D495" s="617"/>
      <c r="E495" s="617"/>
      <c r="F495" s="617"/>
      <c r="G495" s="617"/>
      <c r="H495" s="617"/>
      <c r="I495" s="617"/>
      <c r="J495" s="617"/>
      <c r="K495" s="617"/>
      <c r="L495" s="617"/>
      <c r="M495" s="617"/>
      <c r="N495" s="617"/>
      <c r="O495" s="617"/>
      <c r="P495" s="617"/>
      <c r="Q495" s="617"/>
      <c r="R495" s="617"/>
      <c r="S495" s="617"/>
      <c r="T495" s="617"/>
      <c r="U495" s="617"/>
      <c r="V495" s="617"/>
      <c r="W495" s="617"/>
      <c r="X495" s="617"/>
    </row>
    <row r="496" ht="18.75" customHeight="1">
      <c r="A496" s="617"/>
      <c r="B496" s="617"/>
      <c r="C496" s="617"/>
      <c r="D496" s="617"/>
      <c r="E496" s="617"/>
      <c r="F496" s="617"/>
      <c r="G496" s="617"/>
      <c r="H496" s="617"/>
      <c r="I496" s="617"/>
      <c r="J496" s="617"/>
      <c r="K496" s="617"/>
      <c r="L496" s="617"/>
      <c r="M496" s="617"/>
      <c r="N496" s="617"/>
      <c r="O496" s="617"/>
      <c r="P496" s="617"/>
      <c r="Q496" s="617"/>
      <c r="R496" s="617"/>
      <c r="S496" s="617"/>
      <c r="T496" s="617"/>
      <c r="U496" s="617"/>
      <c r="V496" s="617"/>
      <c r="W496" s="617"/>
      <c r="X496" s="617"/>
    </row>
    <row r="497" ht="18.75" customHeight="1">
      <c r="A497" s="617"/>
      <c r="B497" s="617"/>
      <c r="C497" s="617"/>
      <c r="D497" s="617"/>
      <c r="E497" s="617"/>
      <c r="F497" s="617"/>
      <c r="G497" s="617"/>
      <c r="H497" s="617"/>
      <c r="I497" s="617"/>
      <c r="J497" s="617"/>
      <c r="K497" s="617"/>
      <c r="L497" s="617"/>
      <c r="M497" s="617"/>
      <c r="N497" s="617"/>
      <c r="O497" s="617"/>
      <c r="P497" s="617"/>
      <c r="Q497" s="617"/>
      <c r="R497" s="617"/>
      <c r="S497" s="617"/>
      <c r="T497" s="617"/>
      <c r="U497" s="617"/>
      <c r="V497" s="617"/>
      <c r="W497" s="617"/>
      <c r="X497" s="617"/>
    </row>
    <row r="498" ht="18.75" customHeight="1">
      <c r="A498" s="617"/>
      <c r="B498" s="617"/>
      <c r="C498" s="617"/>
      <c r="D498" s="617"/>
      <c r="E498" s="617"/>
      <c r="F498" s="617"/>
      <c r="G498" s="617"/>
      <c r="H498" s="617"/>
      <c r="I498" s="617"/>
      <c r="J498" s="617"/>
      <c r="K498" s="617"/>
      <c r="L498" s="617"/>
      <c r="M498" s="617"/>
      <c r="N498" s="617"/>
      <c r="O498" s="617"/>
      <c r="P498" s="617"/>
      <c r="Q498" s="617"/>
      <c r="R498" s="617"/>
      <c r="S498" s="617"/>
      <c r="T498" s="617"/>
      <c r="U498" s="617"/>
      <c r="V498" s="617"/>
      <c r="W498" s="617"/>
      <c r="X498" s="617"/>
    </row>
    <row r="499" ht="18.75" customHeight="1">
      <c r="A499" s="617"/>
      <c r="B499" s="617"/>
      <c r="C499" s="617"/>
      <c r="D499" s="617"/>
      <c r="E499" s="617"/>
      <c r="F499" s="617"/>
      <c r="G499" s="617"/>
      <c r="H499" s="617"/>
      <c r="I499" s="617"/>
      <c r="J499" s="617"/>
      <c r="K499" s="617"/>
      <c r="L499" s="617"/>
      <c r="M499" s="617"/>
      <c r="N499" s="617"/>
      <c r="O499" s="617"/>
      <c r="P499" s="617"/>
      <c r="Q499" s="617"/>
      <c r="R499" s="617"/>
      <c r="S499" s="617"/>
      <c r="T499" s="617"/>
      <c r="U499" s="617"/>
      <c r="V499" s="617"/>
      <c r="W499" s="617"/>
      <c r="X499" s="617"/>
    </row>
    <row r="500" ht="18.75" customHeight="1">
      <c r="A500" s="617"/>
      <c r="B500" s="617"/>
      <c r="C500" s="617"/>
      <c r="D500" s="617"/>
      <c r="E500" s="617"/>
      <c r="F500" s="617"/>
      <c r="G500" s="617"/>
      <c r="H500" s="617"/>
      <c r="I500" s="617"/>
      <c r="J500" s="617"/>
      <c r="K500" s="617"/>
      <c r="L500" s="617"/>
      <c r="M500" s="617"/>
      <c r="N500" s="617"/>
      <c r="O500" s="617"/>
      <c r="P500" s="617"/>
      <c r="Q500" s="617"/>
      <c r="R500" s="617"/>
      <c r="S500" s="617"/>
      <c r="T500" s="617"/>
      <c r="U500" s="617"/>
      <c r="V500" s="617"/>
      <c r="W500" s="617"/>
      <c r="X500" s="617"/>
    </row>
    <row r="501" ht="18.75" customHeight="1">
      <c r="A501" s="617"/>
      <c r="B501" s="617"/>
      <c r="C501" s="617"/>
      <c r="D501" s="617"/>
      <c r="E501" s="617"/>
      <c r="F501" s="617"/>
      <c r="G501" s="617"/>
      <c r="H501" s="617"/>
      <c r="I501" s="617"/>
      <c r="J501" s="617"/>
      <c r="K501" s="617"/>
      <c r="L501" s="617"/>
      <c r="M501" s="617"/>
      <c r="N501" s="617"/>
      <c r="O501" s="617"/>
      <c r="P501" s="617"/>
      <c r="Q501" s="617"/>
      <c r="R501" s="617"/>
      <c r="S501" s="617"/>
      <c r="T501" s="617"/>
      <c r="U501" s="617"/>
      <c r="V501" s="617"/>
      <c r="W501" s="617"/>
      <c r="X501" s="617"/>
    </row>
    <row r="502" ht="18.75" customHeight="1">
      <c r="A502" s="617"/>
      <c r="B502" s="617"/>
      <c r="C502" s="617"/>
      <c r="D502" s="617"/>
      <c r="E502" s="617"/>
      <c r="F502" s="617"/>
      <c r="G502" s="617"/>
      <c r="H502" s="617"/>
      <c r="I502" s="617"/>
      <c r="J502" s="617"/>
      <c r="K502" s="617"/>
      <c r="L502" s="617"/>
      <c r="M502" s="617"/>
      <c r="N502" s="617"/>
      <c r="O502" s="617"/>
      <c r="P502" s="617"/>
      <c r="Q502" s="617"/>
      <c r="R502" s="617"/>
      <c r="S502" s="617"/>
      <c r="T502" s="617"/>
      <c r="U502" s="617"/>
      <c r="V502" s="617"/>
      <c r="W502" s="617"/>
      <c r="X502" s="617"/>
    </row>
    <row r="503" ht="18.75" customHeight="1">
      <c r="A503" s="617"/>
      <c r="B503" s="617"/>
      <c r="C503" s="617"/>
      <c r="D503" s="617"/>
      <c r="E503" s="617"/>
      <c r="F503" s="617"/>
      <c r="G503" s="617"/>
      <c r="H503" s="617"/>
      <c r="I503" s="617"/>
      <c r="J503" s="617"/>
      <c r="K503" s="617"/>
      <c r="L503" s="617"/>
      <c r="M503" s="617"/>
      <c r="N503" s="617"/>
      <c r="O503" s="617"/>
      <c r="P503" s="617"/>
      <c r="Q503" s="617"/>
      <c r="R503" s="617"/>
      <c r="S503" s="617"/>
      <c r="T503" s="617"/>
      <c r="U503" s="617"/>
      <c r="V503" s="617"/>
      <c r="W503" s="617"/>
      <c r="X503" s="617"/>
    </row>
    <row r="504" ht="18.75" customHeight="1">
      <c r="A504" s="617"/>
      <c r="B504" s="617"/>
      <c r="C504" s="617"/>
      <c r="D504" s="617"/>
      <c r="E504" s="617"/>
      <c r="F504" s="617"/>
      <c r="G504" s="617"/>
      <c r="H504" s="617"/>
      <c r="I504" s="617"/>
      <c r="J504" s="617"/>
      <c r="K504" s="617"/>
      <c r="L504" s="617"/>
      <c r="M504" s="617"/>
      <c r="N504" s="617"/>
      <c r="O504" s="617"/>
      <c r="P504" s="617"/>
      <c r="Q504" s="617"/>
      <c r="R504" s="617"/>
      <c r="S504" s="617"/>
      <c r="T504" s="617"/>
      <c r="U504" s="617"/>
      <c r="V504" s="617"/>
      <c r="W504" s="617"/>
      <c r="X504" s="617"/>
    </row>
    <row r="505" ht="18.75" customHeight="1">
      <c r="A505" s="617"/>
      <c r="B505" s="617"/>
      <c r="C505" s="617"/>
      <c r="D505" s="617"/>
      <c r="E505" s="617"/>
      <c r="F505" s="617"/>
      <c r="G505" s="617"/>
      <c r="H505" s="617"/>
      <c r="I505" s="617"/>
      <c r="J505" s="617"/>
      <c r="K505" s="617"/>
      <c r="L505" s="617"/>
      <c r="M505" s="617"/>
      <c r="N505" s="617"/>
      <c r="O505" s="617"/>
      <c r="P505" s="617"/>
      <c r="Q505" s="617"/>
      <c r="R505" s="617"/>
      <c r="S505" s="617"/>
      <c r="T505" s="617"/>
      <c r="U505" s="617"/>
      <c r="V505" s="617"/>
      <c r="W505" s="617"/>
      <c r="X505" s="617"/>
    </row>
    <row r="506" ht="18.75" customHeight="1">
      <c r="A506" s="617"/>
      <c r="B506" s="617"/>
      <c r="C506" s="617"/>
      <c r="D506" s="617"/>
      <c r="E506" s="617"/>
      <c r="F506" s="617"/>
      <c r="G506" s="617"/>
      <c r="H506" s="617"/>
      <c r="I506" s="617"/>
      <c r="J506" s="617"/>
      <c r="K506" s="617"/>
      <c r="L506" s="617"/>
      <c r="M506" s="617"/>
      <c r="N506" s="617"/>
      <c r="O506" s="617"/>
      <c r="P506" s="617"/>
      <c r="Q506" s="617"/>
      <c r="R506" s="617"/>
      <c r="S506" s="617"/>
      <c r="T506" s="617"/>
      <c r="U506" s="617"/>
      <c r="V506" s="617"/>
      <c r="W506" s="617"/>
      <c r="X506" s="617"/>
    </row>
    <row r="507" ht="18.75" customHeight="1">
      <c r="A507" s="617"/>
      <c r="B507" s="617"/>
      <c r="C507" s="617"/>
      <c r="D507" s="617"/>
      <c r="E507" s="617"/>
      <c r="F507" s="617"/>
      <c r="G507" s="617"/>
      <c r="H507" s="617"/>
      <c r="I507" s="617"/>
      <c r="J507" s="617"/>
      <c r="K507" s="617"/>
      <c r="L507" s="617"/>
      <c r="M507" s="617"/>
      <c r="N507" s="617"/>
      <c r="O507" s="617"/>
      <c r="P507" s="617"/>
      <c r="Q507" s="617"/>
      <c r="R507" s="617"/>
      <c r="S507" s="617"/>
      <c r="T507" s="617"/>
      <c r="U507" s="617"/>
      <c r="V507" s="617"/>
      <c r="W507" s="617"/>
      <c r="X507" s="617"/>
    </row>
    <row r="508" ht="18.75" customHeight="1">
      <c r="A508" s="617"/>
      <c r="B508" s="617"/>
      <c r="C508" s="617"/>
      <c r="D508" s="617"/>
      <c r="E508" s="617"/>
      <c r="F508" s="617"/>
      <c r="G508" s="617"/>
      <c r="H508" s="617"/>
      <c r="I508" s="617"/>
      <c r="J508" s="617"/>
      <c r="K508" s="617"/>
      <c r="L508" s="617"/>
      <c r="M508" s="617"/>
      <c r="N508" s="617"/>
      <c r="O508" s="617"/>
      <c r="P508" s="617"/>
      <c r="Q508" s="617"/>
      <c r="R508" s="617"/>
      <c r="S508" s="617"/>
      <c r="T508" s="617"/>
      <c r="U508" s="617"/>
      <c r="V508" s="617"/>
      <c r="W508" s="617"/>
      <c r="X508" s="617"/>
    </row>
    <row r="509" ht="18.75" customHeight="1">
      <c r="A509" s="617"/>
      <c r="B509" s="617"/>
      <c r="C509" s="617"/>
      <c r="D509" s="617"/>
      <c r="E509" s="617"/>
      <c r="F509" s="617"/>
      <c r="G509" s="617"/>
      <c r="H509" s="617"/>
      <c r="I509" s="617"/>
      <c r="J509" s="617"/>
      <c r="K509" s="617"/>
      <c r="L509" s="617"/>
      <c r="M509" s="617"/>
      <c r="N509" s="617"/>
      <c r="O509" s="617"/>
      <c r="P509" s="617"/>
      <c r="Q509" s="617"/>
      <c r="R509" s="617"/>
      <c r="S509" s="617"/>
      <c r="T509" s="617"/>
      <c r="U509" s="617"/>
      <c r="V509" s="617"/>
      <c r="W509" s="617"/>
      <c r="X509" s="617"/>
    </row>
    <row r="510" ht="18.75" customHeight="1">
      <c r="A510" s="617"/>
      <c r="B510" s="617"/>
      <c r="C510" s="617"/>
      <c r="D510" s="617"/>
      <c r="E510" s="617"/>
      <c r="F510" s="617"/>
      <c r="G510" s="617"/>
      <c r="H510" s="617"/>
      <c r="I510" s="617"/>
      <c r="J510" s="617"/>
      <c r="K510" s="617"/>
      <c r="L510" s="617"/>
      <c r="M510" s="617"/>
      <c r="N510" s="617"/>
      <c r="O510" s="617"/>
      <c r="P510" s="617"/>
      <c r="Q510" s="617"/>
      <c r="R510" s="617"/>
      <c r="S510" s="617"/>
      <c r="T510" s="617"/>
      <c r="U510" s="617"/>
      <c r="V510" s="617"/>
      <c r="W510" s="617"/>
      <c r="X510" s="617"/>
    </row>
    <row r="511" ht="18.75" customHeight="1">
      <c r="A511" s="617"/>
      <c r="B511" s="617"/>
      <c r="C511" s="617"/>
      <c r="D511" s="617"/>
      <c r="E511" s="617"/>
      <c r="F511" s="617"/>
      <c r="G511" s="617"/>
      <c r="H511" s="617"/>
      <c r="I511" s="617"/>
      <c r="J511" s="617"/>
      <c r="K511" s="617"/>
      <c r="L511" s="617"/>
      <c r="M511" s="617"/>
      <c r="N511" s="617"/>
      <c r="O511" s="617"/>
      <c r="P511" s="617"/>
      <c r="Q511" s="617"/>
      <c r="R511" s="617"/>
      <c r="S511" s="617"/>
      <c r="T511" s="617"/>
      <c r="U511" s="617"/>
      <c r="V511" s="617"/>
      <c r="W511" s="617"/>
      <c r="X511" s="617"/>
    </row>
    <row r="512" ht="18.75" customHeight="1">
      <c r="A512" s="617"/>
      <c r="B512" s="617"/>
      <c r="C512" s="617"/>
      <c r="D512" s="617"/>
      <c r="E512" s="617"/>
      <c r="F512" s="617"/>
      <c r="G512" s="617"/>
      <c r="H512" s="617"/>
      <c r="I512" s="617"/>
      <c r="J512" s="617"/>
      <c r="K512" s="617"/>
      <c r="L512" s="617"/>
      <c r="M512" s="617"/>
      <c r="N512" s="617"/>
      <c r="O512" s="617"/>
      <c r="P512" s="617"/>
      <c r="Q512" s="617"/>
      <c r="R512" s="617"/>
      <c r="S512" s="617"/>
      <c r="T512" s="617"/>
      <c r="U512" s="617"/>
      <c r="V512" s="617"/>
      <c r="W512" s="617"/>
      <c r="X512" s="617"/>
    </row>
    <row r="513" ht="18.75" customHeight="1">
      <c r="A513" s="617"/>
      <c r="B513" s="617"/>
      <c r="C513" s="617"/>
      <c r="D513" s="617"/>
      <c r="E513" s="617"/>
      <c r="F513" s="617"/>
      <c r="G513" s="617"/>
      <c r="H513" s="617"/>
      <c r="I513" s="617"/>
      <c r="J513" s="617"/>
      <c r="K513" s="617"/>
      <c r="L513" s="617"/>
      <c r="M513" s="617"/>
      <c r="N513" s="617"/>
      <c r="O513" s="617"/>
      <c r="P513" s="617"/>
      <c r="Q513" s="617"/>
      <c r="R513" s="617"/>
      <c r="S513" s="617"/>
      <c r="T513" s="617"/>
      <c r="U513" s="617"/>
      <c r="V513" s="617"/>
      <c r="W513" s="617"/>
      <c r="X513" s="617"/>
    </row>
    <row r="514" ht="18.75" customHeight="1">
      <c r="A514" s="617"/>
      <c r="B514" s="617"/>
      <c r="C514" s="617"/>
      <c r="D514" s="617"/>
      <c r="E514" s="617"/>
      <c r="F514" s="617"/>
      <c r="G514" s="617"/>
      <c r="H514" s="617"/>
      <c r="I514" s="617"/>
      <c r="J514" s="617"/>
      <c r="K514" s="617"/>
      <c r="L514" s="617"/>
      <c r="M514" s="617"/>
      <c r="N514" s="617"/>
      <c r="O514" s="617"/>
      <c r="P514" s="617"/>
      <c r="Q514" s="617"/>
      <c r="R514" s="617"/>
      <c r="S514" s="617"/>
      <c r="T514" s="617"/>
      <c r="U514" s="617"/>
      <c r="V514" s="617"/>
      <c r="W514" s="617"/>
      <c r="X514" s="617"/>
    </row>
    <row r="515" ht="18.75" customHeight="1">
      <c r="A515" s="617"/>
      <c r="B515" s="617"/>
      <c r="C515" s="617"/>
      <c r="D515" s="617"/>
      <c r="E515" s="617"/>
      <c r="F515" s="617"/>
      <c r="G515" s="617"/>
      <c r="H515" s="617"/>
      <c r="I515" s="617"/>
      <c r="J515" s="617"/>
      <c r="K515" s="617"/>
      <c r="L515" s="617"/>
      <c r="M515" s="617"/>
      <c r="N515" s="617"/>
      <c r="O515" s="617"/>
      <c r="P515" s="617"/>
      <c r="Q515" s="617"/>
      <c r="R515" s="617"/>
      <c r="S515" s="617"/>
      <c r="T515" s="617"/>
      <c r="U515" s="617"/>
      <c r="V515" s="617"/>
      <c r="W515" s="617"/>
      <c r="X515" s="617"/>
    </row>
    <row r="516" ht="18.75" customHeight="1">
      <c r="A516" s="617"/>
      <c r="B516" s="617"/>
      <c r="C516" s="617"/>
      <c r="D516" s="617"/>
      <c r="E516" s="617"/>
      <c r="F516" s="617"/>
      <c r="G516" s="617"/>
      <c r="H516" s="617"/>
      <c r="I516" s="617"/>
      <c r="J516" s="617"/>
      <c r="K516" s="617"/>
      <c r="L516" s="617"/>
      <c r="M516" s="617"/>
      <c r="N516" s="617"/>
      <c r="O516" s="617"/>
      <c r="P516" s="617"/>
      <c r="Q516" s="617"/>
      <c r="R516" s="617"/>
      <c r="S516" s="617"/>
      <c r="T516" s="617"/>
      <c r="U516" s="617"/>
      <c r="V516" s="617"/>
      <c r="W516" s="617"/>
      <c r="X516" s="617"/>
    </row>
    <row r="517" ht="18.75" customHeight="1">
      <c r="A517" s="617"/>
      <c r="B517" s="617"/>
      <c r="C517" s="617"/>
      <c r="D517" s="617"/>
      <c r="E517" s="617"/>
      <c r="F517" s="617"/>
      <c r="G517" s="617"/>
      <c r="H517" s="617"/>
      <c r="I517" s="617"/>
      <c r="J517" s="617"/>
      <c r="K517" s="617"/>
      <c r="L517" s="617"/>
      <c r="M517" s="617"/>
      <c r="N517" s="617"/>
      <c r="O517" s="617"/>
      <c r="P517" s="617"/>
      <c r="Q517" s="617"/>
      <c r="R517" s="617"/>
      <c r="S517" s="617"/>
      <c r="T517" s="617"/>
      <c r="U517" s="617"/>
      <c r="V517" s="617"/>
      <c r="W517" s="617"/>
      <c r="X517" s="617"/>
    </row>
    <row r="518" ht="18.75" customHeight="1">
      <c r="A518" s="617"/>
      <c r="B518" s="617"/>
      <c r="C518" s="617"/>
      <c r="D518" s="617"/>
      <c r="E518" s="617"/>
      <c r="F518" s="617"/>
      <c r="G518" s="617"/>
      <c r="H518" s="617"/>
      <c r="I518" s="617"/>
      <c r="J518" s="617"/>
      <c r="K518" s="617"/>
      <c r="L518" s="617"/>
      <c r="M518" s="617"/>
      <c r="N518" s="617"/>
      <c r="O518" s="617"/>
      <c r="P518" s="617"/>
      <c r="Q518" s="617"/>
      <c r="R518" s="617"/>
      <c r="S518" s="617"/>
      <c r="T518" s="617"/>
      <c r="U518" s="617"/>
      <c r="V518" s="617"/>
      <c r="W518" s="617"/>
      <c r="X518" s="617"/>
    </row>
    <row r="519" ht="18.75" customHeight="1">
      <c r="A519" s="617"/>
      <c r="B519" s="617"/>
      <c r="C519" s="617"/>
      <c r="D519" s="617"/>
      <c r="E519" s="617"/>
      <c r="F519" s="617"/>
      <c r="G519" s="617"/>
      <c r="H519" s="617"/>
      <c r="I519" s="617"/>
      <c r="J519" s="617"/>
      <c r="K519" s="617"/>
      <c r="L519" s="617"/>
      <c r="M519" s="617"/>
      <c r="N519" s="617"/>
      <c r="O519" s="617"/>
      <c r="P519" s="617"/>
      <c r="Q519" s="617"/>
      <c r="R519" s="617"/>
      <c r="S519" s="617"/>
      <c r="T519" s="617"/>
      <c r="U519" s="617"/>
      <c r="V519" s="617"/>
      <c r="W519" s="617"/>
      <c r="X519" s="617"/>
    </row>
    <row r="520" ht="18.75" customHeight="1">
      <c r="A520" s="617"/>
      <c r="B520" s="617"/>
      <c r="C520" s="617"/>
      <c r="D520" s="617"/>
      <c r="E520" s="617"/>
      <c r="F520" s="617"/>
      <c r="G520" s="617"/>
      <c r="H520" s="617"/>
      <c r="I520" s="617"/>
      <c r="J520" s="617"/>
      <c r="K520" s="617"/>
      <c r="L520" s="617"/>
      <c r="M520" s="617"/>
      <c r="N520" s="617"/>
      <c r="O520" s="617"/>
      <c r="P520" s="617"/>
      <c r="Q520" s="617"/>
      <c r="R520" s="617"/>
      <c r="S520" s="617"/>
      <c r="T520" s="617"/>
      <c r="U520" s="617"/>
      <c r="V520" s="617"/>
      <c r="W520" s="617"/>
      <c r="X520" s="617"/>
    </row>
    <row r="521" ht="18.75" customHeight="1">
      <c r="A521" s="617"/>
      <c r="B521" s="617"/>
      <c r="C521" s="617"/>
      <c r="D521" s="617"/>
      <c r="E521" s="617"/>
      <c r="F521" s="617"/>
      <c r="G521" s="617"/>
      <c r="H521" s="617"/>
      <c r="I521" s="617"/>
      <c r="J521" s="617"/>
      <c r="K521" s="617"/>
      <c r="L521" s="617"/>
      <c r="M521" s="617"/>
      <c r="N521" s="617"/>
      <c r="O521" s="617"/>
      <c r="P521" s="617"/>
      <c r="Q521" s="617"/>
      <c r="R521" s="617"/>
      <c r="S521" s="617"/>
      <c r="T521" s="617"/>
      <c r="U521" s="617"/>
      <c r="V521" s="617"/>
      <c r="W521" s="617"/>
      <c r="X521" s="617"/>
    </row>
    <row r="522" ht="18.75" customHeight="1">
      <c r="A522" s="617"/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17"/>
      <c r="P522" s="617"/>
      <c r="Q522" s="617"/>
      <c r="R522" s="617"/>
      <c r="S522" s="617"/>
      <c r="T522" s="617"/>
      <c r="U522" s="617"/>
      <c r="V522" s="617"/>
      <c r="W522" s="617"/>
      <c r="X522" s="617"/>
    </row>
    <row r="523" ht="18.75" customHeight="1">
      <c r="A523" s="617"/>
      <c r="B523" s="617"/>
      <c r="C523" s="617"/>
      <c r="D523" s="617"/>
      <c r="E523" s="617"/>
      <c r="F523" s="617"/>
      <c r="G523" s="617"/>
      <c r="H523" s="617"/>
      <c r="I523" s="617"/>
      <c r="J523" s="617"/>
      <c r="K523" s="617"/>
      <c r="L523" s="617"/>
      <c r="M523" s="617"/>
      <c r="N523" s="617"/>
      <c r="O523" s="617"/>
      <c r="P523" s="617"/>
      <c r="Q523" s="617"/>
      <c r="R523" s="617"/>
      <c r="S523" s="617"/>
      <c r="T523" s="617"/>
      <c r="U523" s="617"/>
      <c r="V523" s="617"/>
      <c r="W523" s="617"/>
      <c r="X523" s="617"/>
    </row>
    <row r="524" ht="18.75" customHeight="1">
      <c r="A524" s="617"/>
      <c r="B524" s="617"/>
      <c r="C524" s="617"/>
      <c r="D524" s="617"/>
      <c r="E524" s="617"/>
      <c r="F524" s="617"/>
      <c r="G524" s="617"/>
      <c r="H524" s="617"/>
      <c r="I524" s="617"/>
      <c r="J524" s="617"/>
      <c r="K524" s="617"/>
      <c r="L524" s="617"/>
      <c r="M524" s="617"/>
      <c r="N524" s="617"/>
      <c r="O524" s="617"/>
      <c r="P524" s="617"/>
      <c r="Q524" s="617"/>
      <c r="R524" s="617"/>
      <c r="S524" s="617"/>
      <c r="T524" s="617"/>
      <c r="U524" s="617"/>
      <c r="V524" s="617"/>
      <c r="W524" s="617"/>
      <c r="X524" s="617"/>
    </row>
    <row r="525" ht="18.75" customHeight="1">
      <c r="A525" s="617"/>
      <c r="B525" s="617"/>
      <c r="C525" s="617"/>
      <c r="D525" s="617"/>
      <c r="E525" s="617"/>
      <c r="F525" s="617"/>
      <c r="G525" s="617"/>
      <c r="H525" s="617"/>
      <c r="I525" s="617"/>
      <c r="J525" s="617"/>
      <c r="K525" s="617"/>
      <c r="L525" s="617"/>
      <c r="M525" s="617"/>
      <c r="N525" s="617"/>
      <c r="O525" s="617"/>
      <c r="P525" s="617"/>
      <c r="Q525" s="617"/>
      <c r="R525" s="617"/>
      <c r="S525" s="617"/>
      <c r="T525" s="617"/>
      <c r="U525" s="617"/>
      <c r="V525" s="617"/>
      <c r="W525" s="617"/>
      <c r="X525" s="617"/>
    </row>
    <row r="526" ht="18.75" customHeight="1">
      <c r="A526" s="617"/>
      <c r="B526" s="617"/>
      <c r="C526" s="617"/>
      <c r="D526" s="617"/>
      <c r="E526" s="617"/>
      <c r="F526" s="617"/>
      <c r="G526" s="617"/>
      <c r="H526" s="617"/>
      <c r="I526" s="617"/>
      <c r="J526" s="617"/>
      <c r="K526" s="617"/>
      <c r="L526" s="617"/>
      <c r="M526" s="617"/>
      <c r="N526" s="617"/>
      <c r="O526" s="617"/>
      <c r="P526" s="617"/>
      <c r="Q526" s="617"/>
      <c r="R526" s="617"/>
      <c r="S526" s="617"/>
      <c r="T526" s="617"/>
      <c r="U526" s="617"/>
      <c r="V526" s="617"/>
      <c r="W526" s="617"/>
      <c r="X526" s="617"/>
    </row>
    <row r="527" ht="18.75" customHeight="1">
      <c r="A527" s="617"/>
      <c r="B527" s="617"/>
      <c r="C527" s="617"/>
      <c r="D527" s="617"/>
      <c r="E527" s="617"/>
      <c r="F527" s="617"/>
      <c r="G527" s="617"/>
      <c r="H527" s="617"/>
      <c r="I527" s="617"/>
      <c r="J527" s="617"/>
      <c r="K527" s="617"/>
      <c r="L527" s="617"/>
      <c r="M527" s="617"/>
      <c r="N527" s="617"/>
      <c r="O527" s="617"/>
      <c r="P527" s="617"/>
      <c r="Q527" s="617"/>
      <c r="R527" s="617"/>
      <c r="S527" s="617"/>
      <c r="T527" s="617"/>
      <c r="U527" s="617"/>
      <c r="V527" s="617"/>
      <c r="W527" s="617"/>
      <c r="X527" s="617"/>
    </row>
    <row r="528" ht="18.75" customHeight="1">
      <c r="A528" s="617"/>
      <c r="B528" s="617"/>
      <c r="C528" s="617"/>
      <c r="D528" s="617"/>
      <c r="E528" s="617"/>
      <c r="F528" s="617"/>
      <c r="G528" s="617"/>
      <c r="H528" s="617"/>
      <c r="I528" s="617"/>
      <c r="J528" s="617"/>
      <c r="K528" s="617"/>
      <c r="L528" s="617"/>
      <c r="M528" s="617"/>
      <c r="N528" s="617"/>
      <c r="O528" s="617"/>
      <c r="P528" s="617"/>
      <c r="Q528" s="617"/>
      <c r="R528" s="617"/>
      <c r="S528" s="617"/>
      <c r="T528" s="617"/>
      <c r="U528" s="617"/>
      <c r="V528" s="617"/>
      <c r="W528" s="617"/>
      <c r="X528" s="617"/>
    </row>
    <row r="529" ht="18.75" customHeight="1">
      <c r="A529" s="617"/>
      <c r="B529" s="617"/>
      <c r="C529" s="617"/>
      <c r="D529" s="617"/>
      <c r="E529" s="617"/>
      <c r="F529" s="617"/>
      <c r="G529" s="617"/>
      <c r="H529" s="617"/>
      <c r="I529" s="617"/>
      <c r="J529" s="617"/>
      <c r="K529" s="617"/>
      <c r="L529" s="617"/>
      <c r="M529" s="617"/>
      <c r="N529" s="617"/>
      <c r="O529" s="617"/>
      <c r="P529" s="617"/>
      <c r="Q529" s="617"/>
      <c r="R529" s="617"/>
      <c r="S529" s="617"/>
      <c r="T529" s="617"/>
      <c r="U529" s="617"/>
      <c r="V529" s="617"/>
      <c r="W529" s="617"/>
      <c r="X529" s="617"/>
    </row>
    <row r="530" ht="18.75" customHeight="1">
      <c r="A530" s="617"/>
      <c r="B530" s="617"/>
      <c r="C530" s="617"/>
      <c r="D530" s="617"/>
      <c r="E530" s="617"/>
      <c r="F530" s="617"/>
      <c r="G530" s="617"/>
      <c r="H530" s="617"/>
      <c r="I530" s="617"/>
      <c r="J530" s="617"/>
      <c r="K530" s="617"/>
      <c r="L530" s="617"/>
      <c r="M530" s="617"/>
      <c r="N530" s="617"/>
      <c r="O530" s="617"/>
      <c r="P530" s="617"/>
      <c r="Q530" s="617"/>
      <c r="R530" s="617"/>
      <c r="S530" s="617"/>
      <c r="T530" s="617"/>
      <c r="U530" s="617"/>
      <c r="V530" s="617"/>
      <c r="W530" s="617"/>
      <c r="X530" s="617"/>
    </row>
    <row r="531" ht="18.75" customHeight="1">
      <c r="A531" s="617"/>
      <c r="B531" s="617"/>
      <c r="C531" s="617"/>
      <c r="D531" s="617"/>
      <c r="E531" s="617"/>
      <c r="F531" s="617"/>
      <c r="G531" s="617"/>
      <c r="H531" s="617"/>
      <c r="I531" s="617"/>
      <c r="J531" s="617"/>
      <c r="K531" s="617"/>
      <c r="L531" s="617"/>
      <c r="M531" s="617"/>
      <c r="N531" s="617"/>
      <c r="O531" s="617"/>
      <c r="P531" s="617"/>
      <c r="Q531" s="617"/>
      <c r="R531" s="617"/>
      <c r="S531" s="617"/>
      <c r="T531" s="617"/>
      <c r="U531" s="617"/>
      <c r="V531" s="617"/>
      <c r="W531" s="617"/>
      <c r="X531" s="617"/>
    </row>
    <row r="532" ht="18.75" customHeight="1">
      <c r="A532" s="617"/>
      <c r="B532" s="617"/>
      <c r="C532" s="617"/>
      <c r="D532" s="617"/>
      <c r="E532" s="617"/>
      <c r="F532" s="617"/>
      <c r="G532" s="617"/>
      <c r="H532" s="617"/>
      <c r="I532" s="617"/>
      <c r="J532" s="617"/>
      <c r="K532" s="617"/>
      <c r="L532" s="617"/>
      <c r="M532" s="617"/>
      <c r="N532" s="617"/>
      <c r="O532" s="617"/>
      <c r="P532" s="617"/>
      <c r="Q532" s="617"/>
      <c r="R532" s="617"/>
      <c r="S532" s="617"/>
      <c r="T532" s="617"/>
      <c r="U532" s="617"/>
      <c r="V532" s="617"/>
      <c r="W532" s="617"/>
      <c r="X532" s="617"/>
    </row>
    <row r="533" ht="18.75" customHeight="1">
      <c r="A533" s="617"/>
      <c r="B533" s="617"/>
      <c r="C533" s="617"/>
      <c r="D533" s="617"/>
      <c r="E533" s="617"/>
      <c r="F533" s="617"/>
      <c r="G533" s="617"/>
      <c r="H533" s="617"/>
      <c r="I533" s="617"/>
      <c r="J533" s="617"/>
      <c r="K533" s="617"/>
      <c r="L533" s="617"/>
      <c r="M533" s="617"/>
      <c r="N533" s="617"/>
      <c r="O533" s="617"/>
      <c r="P533" s="617"/>
      <c r="Q533" s="617"/>
      <c r="R533" s="617"/>
      <c r="S533" s="617"/>
      <c r="T533" s="617"/>
      <c r="U533" s="617"/>
      <c r="V533" s="617"/>
      <c r="W533" s="617"/>
      <c r="X533" s="617"/>
    </row>
    <row r="534" ht="18.75" customHeight="1">
      <c r="A534" s="617"/>
      <c r="B534" s="617"/>
      <c r="C534" s="617"/>
      <c r="D534" s="617"/>
      <c r="E534" s="617"/>
      <c r="F534" s="617"/>
      <c r="G534" s="617"/>
      <c r="H534" s="617"/>
      <c r="I534" s="617"/>
      <c r="J534" s="617"/>
      <c r="K534" s="617"/>
      <c r="L534" s="617"/>
      <c r="M534" s="617"/>
      <c r="N534" s="617"/>
      <c r="O534" s="617"/>
      <c r="P534" s="617"/>
      <c r="Q534" s="617"/>
      <c r="R534" s="617"/>
      <c r="S534" s="617"/>
      <c r="T534" s="617"/>
      <c r="U534" s="617"/>
      <c r="V534" s="617"/>
      <c r="W534" s="617"/>
      <c r="X534" s="617"/>
    </row>
    <row r="535" ht="18.75" customHeight="1">
      <c r="A535" s="617"/>
      <c r="B535" s="617"/>
      <c r="C535" s="617"/>
      <c r="D535" s="617"/>
      <c r="E535" s="617"/>
      <c r="F535" s="617"/>
      <c r="G535" s="617"/>
      <c r="H535" s="617"/>
      <c r="I535" s="617"/>
      <c r="J535" s="617"/>
      <c r="K535" s="617"/>
      <c r="L535" s="617"/>
      <c r="M535" s="617"/>
      <c r="N535" s="617"/>
      <c r="O535" s="617"/>
      <c r="P535" s="617"/>
      <c r="Q535" s="617"/>
      <c r="R535" s="617"/>
      <c r="S535" s="617"/>
      <c r="T535" s="617"/>
      <c r="U535" s="617"/>
      <c r="V535" s="617"/>
      <c r="W535" s="617"/>
      <c r="X535" s="617"/>
    </row>
    <row r="536" ht="18.75" customHeight="1">
      <c r="A536" s="617"/>
      <c r="B536" s="617"/>
      <c r="C536" s="617"/>
      <c r="D536" s="617"/>
      <c r="E536" s="617"/>
      <c r="F536" s="617"/>
      <c r="G536" s="617"/>
      <c r="H536" s="617"/>
      <c r="I536" s="617"/>
      <c r="J536" s="617"/>
      <c r="K536" s="617"/>
      <c r="L536" s="617"/>
      <c r="M536" s="617"/>
      <c r="N536" s="617"/>
      <c r="O536" s="617"/>
      <c r="P536" s="617"/>
      <c r="Q536" s="617"/>
      <c r="R536" s="617"/>
      <c r="S536" s="617"/>
      <c r="T536" s="617"/>
      <c r="U536" s="617"/>
      <c r="V536" s="617"/>
      <c r="W536" s="617"/>
      <c r="X536" s="617"/>
    </row>
    <row r="537" ht="18.75" customHeight="1">
      <c r="A537" s="617"/>
      <c r="B537" s="617"/>
      <c r="C537" s="617"/>
      <c r="D537" s="617"/>
      <c r="E537" s="617"/>
      <c r="F537" s="617"/>
      <c r="G537" s="617"/>
      <c r="H537" s="617"/>
      <c r="I537" s="617"/>
      <c r="J537" s="617"/>
      <c r="K537" s="617"/>
      <c r="L537" s="617"/>
      <c r="M537" s="617"/>
      <c r="N537" s="617"/>
      <c r="O537" s="617"/>
      <c r="P537" s="617"/>
      <c r="Q537" s="617"/>
      <c r="R537" s="617"/>
      <c r="S537" s="617"/>
      <c r="T537" s="617"/>
      <c r="U537" s="617"/>
      <c r="V537" s="617"/>
      <c r="W537" s="617"/>
      <c r="X537" s="617"/>
    </row>
    <row r="538" ht="18.75" customHeight="1">
      <c r="A538" s="617"/>
      <c r="B538" s="617"/>
      <c r="C538" s="617"/>
      <c r="D538" s="617"/>
      <c r="E538" s="617"/>
      <c r="F538" s="617"/>
      <c r="G538" s="617"/>
      <c r="H538" s="617"/>
      <c r="I538" s="617"/>
      <c r="J538" s="617"/>
      <c r="K538" s="617"/>
      <c r="L538" s="617"/>
      <c r="M538" s="617"/>
      <c r="N538" s="617"/>
      <c r="O538" s="617"/>
      <c r="P538" s="617"/>
      <c r="Q538" s="617"/>
      <c r="R538" s="617"/>
      <c r="S538" s="617"/>
      <c r="T538" s="617"/>
      <c r="U538" s="617"/>
      <c r="V538" s="617"/>
      <c r="W538" s="617"/>
      <c r="X538" s="617"/>
    </row>
    <row r="539" ht="18.75" customHeight="1">
      <c r="A539" s="617"/>
      <c r="B539" s="617"/>
      <c r="C539" s="617"/>
      <c r="D539" s="617"/>
      <c r="E539" s="617"/>
      <c r="F539" s="617"/>
      <c r="G539" s="617"/>
      <c r="H539" s="617"/>
      <c r="I539" s="617"/>
      <c r="J539" s="617"/>
      <c r="K539" s="617"/>
      <c r="L539" s="617"/>
      <c r="M539" s="617"/>
      <c r="N539" s="617"/>
      <c r="O539" s="617"/>
      <c r="P539" s="617"/>
      <c r="Q539" s="617"/>
      <c r="R539" s="617"/>
      <c r="S539" s="617"/>
      <c r="T539" s="617"/>
      <c r="U539" s="617"/>
      <c r="V539" s="617"/>
      <c r="W539" s="617"/>
      <c r="X539" s="617"/>
    </row>
    <row r="540" ht="18.75" customHeight="1">
      <c r="A540" s="617"/>
      <c r="B540" s="617"/>
      <c r="C540" s="617"/>
      <c r="D540" s="617"/>
      <c r="E540" s="617"/>
      <c r="F540" s="617"/>
      <c r="G540" s="617"/>
      <c r="H540" s="617"/>
      <c r="I540" s="617"/>
      <c r="J540" s="617"/>
      <c r="K540" s="617"/>
      <c r="L540" s="617"/>
      <c r="M540" s="617"/>
      <c r="N540" s="617"/>
      <c r="O540" s="617"/>
      <c r="P540" s="617"/>
      <c r="Q540" s="617"/>
      <c r="R540" s="617"/>
      <c r="S540" s="617"/>
      <c r="T540" s="617"/>
      <c r="U540" s="617"/>
      <c r="V540" s="617"/>
      <c r="W540" s="617"/>
      <c r="X540" s="617"/>
    </row>
    <row r="541" ht="18.75" customHeight="1">
      <c r="A541" s="617"/>
      <c r="B541" s="617"/>
      <c r="C541" s="617"/>
      <c r="D541" s="617"/>
      <c r="E541" s="617"/>
      <c r="F541" s="617"/>
      <c r="G541" s="617"/>
      <c r="H541" s="617"/>
      <c r="I541" s="617"/>
      <c r="J541" s="617"/>
      <c r="K541" s="617"/>
      <c r="L541" s="617"/>
      <c r="M541" s="617"/>
      <c r="N541" s="617"/>
      <c r="O541" s="617"/>
      <c r="P541" s="617"/>
      <c r="Q541" s="617"/>
      <c r="R541" s="617"/>
      <c r="S541" s="617"/>
      <c r="T541" s="617"/>
      <c r="U541" s="617"/>
      <c r="V541" s="617"/>
      <c r="W541" s="617"/>
      <c r="X541" s="617"/>
    </row>
    <row r="542" ht="18.75" customHeight="1">
      <c r="A542" s="617"/>
      <c r="B542" s="617"/>
      <c r="C542" s="617"/>
      <c r="D542" s="617"/>
      <c r="E542" s="617"/>
      <c r="F542" s="617"/>
      <c r="G542" s="617"/>
      <c r="H542" s="617"/>
      <c r="I542" s="617"/>
      <c r="J542" s="617"/>
      <c r="K542" s="617"/>
      <c r="L542" s="617"/>
      <c r="M542" s="617"/>
      <c r="N542" s="617"/>
      <c r="O542" s="617"/>
      <c r="P542" s="617"/>
      <c r="Q542" s="617"/>
      <c r="R542" s="617"/>
      <c r="S542" s="617"/>
      <c r="T542" s="617"/>
      <c r="U542" s="617"/>
      <c r="V542" s="617"/>
      <c r="W542" s="617"/>
      <c r="X542" s="617"/>
    </row>
    <row r="543" ht="18.75" customHeight="1">
      <c r="A543" s="617"/>
      <c r="B543" s="617"/>
      <c r="C543" s="617"/>
      <c r="D543" s="617"/>
      <c r="E543" s="617"/>
      <c r="F543" s="617"/>
      <c r="G543" s="617"/>
      <c r="H543" s="617"/>
      <c r="I543" s="617"/>
      <c r="J543" s="617"/>
      <c r="K543" s="617"/>
      <c r="L543" s="617"/>
      <c r="M543" s="617"/>
      <c r="N543" s="617"/>
      <c r="O543" s="617"/>
      <c r="P543" s="617"/>
      <c r="Q543" s="617"/>
      <c r="R543" s="617"/>
      <c r="S543" s="617"/>
      <c r="T543" s="617"/>
      <c r="U543" s="617"/>
      <c r="V543" s="617"/>
      <c r="W543" s="617"/>
      <c r="X543" s="617"/>
    </row>
    <row r="544" ht="18.75" customHeight="1">
      <c r="A544" s="617"/>
      <c r="B544" s="617"/>
      <c r="C544" s="617"/>
      <c r="D544" s="617"/>
      <c r="E544" s="617"/>
      <c r="F544" s="617"/>
      <c r="G544" s="617"/>
      <c r="H544" s="617"/>
      <c r="I544" s="617"/>
      <c r="J544" s="617"/>
      <c r="K544" s="617"/>
      <c r="L544" s="617"/>
      <c r="M544" s="617"/>
      <c r="N544" s="617"/>
      <c r="O544" s="617"/>
      <c r="P544" s="617"/>
      <c r="Q544" s="617"/>
      <c r="R544" s="617"/>
      <c r="S544" s="617"/>
      <c r="T544" s="617"/>
      <c r="U544" s="617"/>
      <c r="V544" s="617"/>
      <c r="W544" s="617"/>
      <c r="X544" s="617"/>
    </row>
    <row r="545" ht="18.75" customHeight="1">
      <c r="A545" s="617"/>
      <c r="B545" s="617"/>
      <c r="C545" s="617"/>
      <c r="D545" s="617"/>
      <c r="E545" s="617"/>
      <c r="F545" s="617"/>
      <c r="G545" s="617"/>
      <c r="H545" s="617"/>
      <c r="I545" s="617"/>
      <c r="J545" s="617"/>
      <c r="K545" s="617"/>
      <c r="L545" s="617"/>
      <c r="M545" s="617"/>
      <c r="N545" s="617"/>
      <c r="O545" s="617"/>
      <c r="P545" s="617"/>
      <c r="Q545" s="617"/>
      <c r="R545" s="617"/>
      <c r="S545" s="617"/>
      <c r="T545" s="617"/>
      <c r="U545" s="617"/>
      <c r="V545" s="617"/>
      <c r="W545" s="617"/>
      <c r="X545" s="617"/>
    </row>
    <row r="546" ht="18.75" customHeight="1">
      <c r="A546" s="617"/>
      <c r="B546" s="617"/>
      <c r="C546" s="617"/>
      <c r="D546" s="617"/>
      <c r="E546" s="617"/>
      <c r="F546" s="617"/>
      <c r="G546" s="617"/>
      <c r="H546" s="617"/>
      <c r="I546" s="617"/>
      <c r="J546" s="617"/>
      <c r="K546" s="617"/>
      <c r="L546" s="617"/>
      <c r="M546" s="617"/>
      <c r="N546" s="617"/>
      <c r="O546" s="617"/>
      <c r="P546" s="617"/>
      <c r="Q546" s="617"/>
      <c r="R546" s="617"/>
      <c r="S546" s="617"/>
      <c r="T546" s="617"/>
      <c r="U546" s="617"/>
      <c r="V546" s="617"/>
      <c r="W546" s="617"/>
      <c r="X546" s="617"/>
    </row>
    <row r="547" ht="18.75" customHeight="1">
      <c r="A547" s="617"/>
      <c r="B547" s="617"/>
      <c r="C547" s="617"/>
      <c r="D547" s="617"/>
      <c r="E547" s="617"/>
      <c r="F547" s="617"/>
      <c r="G547" s="617"/>
      <c r="H547" s="617"/>
      <c r="I547" s="617"/>
      <c r="J547" s="617"/>
      <c r="K547" s="617"/>
      <c r="L547" s="617"/>
      <c r="M547" s="617"/>
      <c r="N547" s="617"/>
      <c r="O547" s="617"/>
      <c r="P547" s="617"/>
      <c r="Q547" s="617"/>
      <c r="R547" s="617"/>
      <c r="S547" s="617"/>
      <c r="T547" s="617"/>
      <c r="U547" s="617"/>
      <c r="V547" s="617"/>
      <c r="W547" s="617"/>
      <c r="X547" s="617"/>
    </row>
    <row r="548" ht="18.75" customHeight="1">
      <c r="A548" s="617"/>
      <c r="B548" s="617"/>
      <c r="C548" s="617"/>
      <c r="D548" s="617"/>
      <c r="E548" s="617"/>
      <c r="F548" s="617"/>
      <c r="G548" s="617"/>
      <c r="H548" s="617"/>
      <c r="I548" s="617"/>
      <c r="J548" s="617"/>
      <c r="K548" s="617"/>
      <c r="L548" s="617"/>
      <c r="M548" s="617"/>
      <c r="N548" s="617"/>
      <c r="O548" s="617"/>
      <c r="P548" s="617"/>
      <c r="Q548" s="617"/>
      <c r="R548" s="617"/>
      <c r="S548" s="617"/>
      <c r="T548" s="617"/>
      <c r="U548" s="617"/>
      <c r="V548" s="617"/>
      <c r="W548" s="617"/>
      <c r="X548" s="617"/>
    </row>
    <row r="549" ht="18.75" customHeight="1">
      <c r="A549" s="617"/>
      <c r="B549" s="617"/>
      <c r="C549" s="617"/>
      <c r="D549" s="617"/>
      <c r="E549" s="617"/>
      <c r="F549" s="617"/>
      <c r="G549" s="617"/>
      <c r="H549" s="617"/>
      <c r="I549" s="617"/>
      <c r="J549" s="617"/>
      <c r="K549" s="617"/>
      <c r="L549" s="617"/>
      <c r="M549" s="617"/>
      <c r="N549" s="617"/>
      <c r="O549" s="617"/>
      <c r="P549" s="617"/>
      <c r="Q549" s="617"/>
      <c r="R549" s="617"/>
      <c r="S549" s="617"/>
      <c r="T549" s="617"/>
      <c r="U549" s="617"/>
      <c r="V549" s="617"/>
      <c r="W549" s="617"/>
      <c r="X549" s="617"/>
    </row>
    <row r="550" ht="18.75" customHeight="1">
      <c r="A550" s="617"/>
      <c r="B550" s="617"/>
      <c r="C550" s="617"/>
      <c r="D550" s="617"/>
      <c r="E550" s="617"/>
      <c r="F550" s="617"/>
      <c r="G550" s="617"/>
      <c r="H550" s="617"/>
      <c r="I550" s="617"/>
      <c r="J550" s="617"/>
      <c r="K550" s="617"/>
      <c r="L550" s="617"/>
      <c r="M550" s="617"/>
      <c r="N550" s="617"/>
      <c r="O550" s="617"/>
      <c r="P550" s="617"/>
      <c r="Q550" s="617"/>
      <c r="R550" s="617"/>
      <c r="S550" s="617"/>
      <c r="T550" s="617"/>
      <c r="U550" s="617"/>
      <c r="V550" s="617"/>
      <c r="W550" s="617"/>
      <c r="X550" s="617"/>
    </row>
    <row r="551" ht="18.75" customHeight="1">
      <c r="A551" s="617"/>
      <c r="B551" s="617"/>
      <c r="C551" s="617"/>
      <c r="D551" s="617"/>
      <c r="E551" s="617"/>
      <c r="F551" s="617"/>
      <c r="G551" s="617"/>
      <c r="H551" s="617"/>
      <c r="I551" s="617"/>
      <c r="J551" s="617"/>
      <c r="K551" s="617"/>
      <c r="L551" s="617"/>
      <c r="M551" s="617"/>
      <c r="N551" s="617"/>
      <c r="O551" s="617"/>
      <c r="P551" s="617"/>
      <c r="Q551" s="617"/>
      <c r="R551" s="617"/>
      <c r="S551" s="617"/>
      <c r="T551" s="617"/>
      <c r="U551" s="617"/>
      <c r="V551" s="617"/>
      <c r="W551" s="617"/>
      <c r="X551" s="617"/>
    </row>
    <row r="552" ht="18.75" customHeight="1">
      <c r="A552" s="617"/>
      <c r="B552" s="617"/>
      <c r="C552" s="617"/>
      <c r="D552" s="617"/>
      <c r="E552" s="617"/>
      <c r="F552" s="617"/>
      <c r="G552" s="617"/>
      <c r="H552" s="617"/>
      <c r="I552" s="617"/>
      <c r="J552" s="617"/>
      <c r="K552" s="617"/>
      <c r="L552" s="617"/>
      <c r="M552" s="617"/>
      <c r="N552" s="617"/>
      <c r="O552" s="617"/>
      <c r="P552" s="617"/>
      <c r="Q552" s="617"/>
      <c r="R552" s="617"/>
      <c r="S552" s="617"/>
      <c r="T552" s="617"/>
      <c r="U552" s="617"/>
      <c r="V552" s="617"/>
      <c r="W552" s="617"/>
      <c r="X552" s="617"/>
    </row>
    <row r="553" ht="18.75" customHeight="1">
      <c r="A553" s="617"/>
      <c r="B553" s="617"/>
      <c r="C553" s="617"/>
      <c r="D553" s="617"/>
      <c r="E553" s="617"/>
      <c r="F553" s="617"/>
      <c r="G553" s="617"/>
      <c r="H553" s="617"/>
      <c r="I553" s="617"/>
      <c r="J553" s="617"/>
      <c r="K553" s="617"/>
      <c r="L553" s="617"/>
      <c r="M553" s="617"/>
      <c r="N553" s="617"/>
      <c r="O553" s="617"/>
      <c r="P553" s="617"/>
      <c r="Q553" s="617"/>
      <c r="R553" s="617"/>
      <c r="S553" s="617"/>
      <c r="T553" s="617"/>
      <c r="U553" s="617"/>
      <c r="V553" s="617"/>
      <c r="W553" s="617"/>
      <c r="X553" s="617"/>
    </row>
    <row r="554" ht="18.75" customHeight="1">
      <c r="A554" s="617"/>
      <c r="B554" s="617"/>
      <c r="C554" s="617"/>
      <c r="D554" s="617"/>
      <c r="E554" s="617"/>
      <c r="F554" s="617"/>
      <c r="G554" s="617"/>
      <c r="H554" s="617"/>
      <c r="I554" s="617"/>
      <c r="J554" s="617"/>
      <c r="K554" s="617"/>
      <c r="L554" s="617"/>
      <c r="M554" s="617"/>
      <c r="N554" s="617"/>
      <c r="O554" s="617"/>
      <c r="P554" s="617"/>
      <c r="Q554" s="617"/>
      <c r="R554" s="617"/>
      <c r="S554" s="617"/>
      <c r="T554" s="617"/>
      <c r="U554" s="617"/>
      <c r="V554" s="617"/>
      <c r="W554" s="617"/>
      <c r="X554" s="617"/>
    </row>
    <row r="555" ht="18.75" customHeight="1">
      <c r="A555" s="617"/>
      <c r="B555" s="617"/>
      <c r="C555" s="617"/>
      <c r="D555" s="617"/>
      <c r="E555" s="617"/>
      <c r="F555" s="617"/>
      <c r="G555" s="617"/>
      <c r="H555" s="617"/>
      <c r="I555" s="617"/>
      <c r="J555" s="617"/>
      <c r="K555" s="617"/>
      <c r="L555" s="617"/>
      <c r="M555" s="617"/>
      <c r="N555" s="617"/>
      <c r="O555" s="617"/>
      <c r="P555" s="617"/>
      <c r="Q555" s="617"/>
      <c r="R555" s="617"/>
      <c r="S555" s="617"/>
      <c r="T555" s="617"/>
      <c r="U555" s="617"/>
      <c r="V555" s="617"/>
      <c r="W555" s="617"/>
      <c r="X555" s="617"/>
    </row>
    <row r="556" ht="18.75" customHeight="1">
      <c r="A556" s="617"/>
      <c r="B556" s="617"/>
      <c r="C556" s="617"/>
      <c r="D556" s="617"/>
      <c r="E556" s="617"/>
      <c r="F556" s="617"/>
      <c r="G556" s="617"/>
      <c r="H556" s="617"/>
      <c r="I556" s="617"/>
      <c r="J556" s="617"/>
      <c r="K556" s="617"/>
      <c r="L556" s="617"/>
      <c r="M556" s="617"/>
      <c r="N556" s="617"/>
      <c r="O556" s="617"/>
      <c r="P556" s="617"/>
      <c r="Q556" s="617"/>
      <c r="R556" s="617"/>
      <c r="S556" s="617"/>
      <c r="T556" s="617"/>
      <c r="U556" s="617"/>
      <c r="V556" s="617"/>
      <c r="W556" s="617"/>
      <c r="X556" s="617"/>
    </row>
    <row r="557" ht="18.75" customHeight="1">
      <c r="A557" s="617"/>
      <c r="B557" s="617"/>
      <c r="C557" s="617"/>
      <c r="D557" s="617"/>
      <c r="E557" s="617"/>
      <c r="F557" s="617"/>
      <c r="G557" s="617"/>
      <c r="H557" s="617"/>
      <c r="I557" s="617"/>
      <c r="J557" s="617"/>
      <c r="K557" s="617"/>
      <c r="L557" s="617"/>
      <c r="M557" s="617"/>
      <c r="N557" s="617"/>
      <c r="O557" s="617"/>
      <c r="P557" s="617"/>
      <c r="Q557" s="617"/>
      <c r="R557" s="617"/>
      <c r="S557" s="617"/>
      <c r="T557" s="617"/>
      <c r="U557" s="617"/>
      <c r="V557" s="617"/>
      <c r="W557" s="617"/>
      <c r="X557" s="617"/>
    </row>
    <row r="558" ht="18.75" customHeight="1">
      <c r="A558" s="617"/>
      <c r="B558" s="617"/>
      <c r="C558" s="617"/>
      <c r="D558" s="617"/>
      <c r="E558" s="617"/>
      <c r="F558" s="617"/>
      <c r="G558" s="617"/>
      <c r="H558" s="617"/>
      <c r="I558" s="617"/>
      <c r="J558" s="617"/>
      <c r="K558" s="617"/>
      <c r="L558" s="617"/>
      <c r="M558" s="617"/>
      <c r="N558" s="617"/>
      <c r="O558" s="617"/>
      <c r="P558" s="617"/>
      <c r="Q558" s="617"/>
      <c r="R558" s="617"/>
      <c r="S558" s="617"/>
      <c r="T558" s="617"/>
      <c r="U558" s="617"/>
      <c r="V558" s="617"/>
      <c r="W558" s="617"/>
      <c r="X558" s="617"/>
    </row>
    <row r="559" ht="18.75" customHeight="1">
      <c r="A559" s="617"/>
      <c r="B559" s="617"/>
      <c r="C559" s="617"/>
      <c r="D559" s="617"/>
      <c r="E559" s="617"/>
      <c r="F559" s="617"/>
      <c r="G559" s="617"/>
      <c r="H559" s="617"/>
      <c r="I559" s="617"/>
      <c r="J559" s="617"/>
      <c r="K559" s="617"/>
      <c r="L559" s="617"/>
      <c r="M559" s="617"/>
      <c r="N559" s="617"/>
      <c r="O559" s="617"/>
      <c r="P559" s="617"/>
      <c r="Q559" s="617"/>
      <c r="R559" s="617"/>
      <c r="S559" s="617"/>
      <c r="T559" s="617"/>
      <c r="U559" s="617"/>
      <c r="V559" s="617"/>
      <c r="W559" s="617"/>
      <c r="X559" s="617"/>
    </row>
    <row r="560" ht="18.75" customHeight="1">
      <c r="A560" s="617"/>
      <c r="B560" s="617"/>
      <c r="C560" s="617"/>
      <c r="D560" s="617"/>
      <c r="E560" s="617"/>
      <c r="F560" s="617"/>
      <c r="G560" s="617"/>
      <c r="H560" s="617"/>
      <c r="I560" s="617"/>
      <c r="J560" s="617"/>
      <c r="K560" s="617"/>
      <c r="L560" s="617"/>
      <c r="M560" s="617"/>
      <c r="N560" s="617"/>
      <c r="O560" s="617"/>
      <c r="P560" s="617"/>
      <c r="Q560" s="617"/>
      <c r="R560" s="617"/>
      <c r="S560" s="617"/>
      <c r="T560" s="617"/>
      <c r="U560" s="617"/>
      <c r="V560" s="617"/>
      <c r="W560" s="617"/>
      <c r="X560" s="617"/>
    </row>
    <row r="561" ht="18.75" customHeight="1">
      <c r="A561" s="617"/>
      <c r="B561" s="617"/>
      <c r="C561" s="617"/>
      <c r="D561" s="617"/>
      <c r="E561" s="617"/>
      <c r="F561" s="617"/>
      <c r="G561" s="617"/>
      <c r="H561" s="617"/>
      <c r="I561" s="617"/>
      <c r="J561" s="617"/>
      <c r="K561" s="617"/>
      <c r="L561" s="617"/>
      <c r="M561" s="617"/>
      <c r="N561" s="617"/>
      <c r="O561" s="617"/>
      <c r="P561" s="617"/>
      <c r="Q561" s="617"/>
      <c r="R561" s="617"/>
      <c r="S561" s="617"/>
      <c r="T561" s="617"/>
      <c r="U561" s="617"/>
      <c r="V561" s="617"/>
      <c r="W561" s="617"/>
      <c r="X561" s="617"/>
    </row>
    <row r="562" ht="18.75" customHeight="1">
      <c r="A562" s="617"/>
      <c r="B562" s="617"/>
      <c r="C562" s="617"/>
      <c r="D562" s="617"/>
      <c r="E562" s="617"/>
      <c r="F562" s="617"/>
      <c r="G562" s="617"/>
      <c r="H562" s="617"/>
      <c r="I562" s="617"/>
      <c r="J562" s="617"/>
      <c r="K562" s="617"/>
      <c r="L562" s="617"/>
      <c r="M562" s="617"/>
      <c r="N562" s="617"/>
      <c r="O562" s="617"/>
      <c r="P562" s="617"/>
      <c r="Q562" s="617"/>
      <c r="R562" s="617"/>
      <c r="S562" s="617"/>
      <c r="T562" s="617"/>
      <c r="U562" s="617"/>
      <c r="V562" s="617"/>
      <c r="W562" s="617"/>
      <c r="X562" s="617"/>
    </row>
    <row r="563" ht="18.75" customHeight="1">
      <c r="A563" s="617"/>
      <c r="B563" s="617"/>
      <c r="C563" s="617"/>
      <c r="D563" s="617"/>
      <c r="E563" s="617"/>
      <c r="F563" s="617"/>
      <c r="G563" s="617"/>
      <c r="H563" s="617"/>
      <c r="I563" s="617"/>
      <c r="J563" s="617"/>
      <c r="K563" s="617"/>
      <c r="L563" s="617"/>
      <c r="M563" s="617"/>
      <c r="N563" s="617"/>
      <c r="O563" s="617"/>
      <c r="P563" s="617"/>
      <c r="Q563" s="617"/>
      <c r="R563" s="617"/>
      <c r="S563" s="617"/>
      <c r="T563" s="617"/>
      <c r="U563" s="617"/>
      <c r="V563" s="617"/>
      <c r="W563" s="617"/>
      <c r="X563" s="617"/>
    </row>
    <row r="564" ht="18.75" customHeight="1">
      <c r="A564" s="617"/>
      <c r="B564" s="617"/>
      <c r="C564" s="617"/>
      <c r="D564" s="617"/>
      <c r="E564" s="617"/>
      <c r="F564" s="617"/>
      <c r="G564" s="617"/>
      <c r="H564" s="617"/>
      <c r="I564" s="617"/>
      <c r="J564" s="617"/>
      <c r="K564" s="617"/>
      <c r="L564" s="617"/>
      <c r="M564" s="617"/>
      <c r="N564" s="617"/>
      <c r="O564" s="617"/>
      <c r="P564" s="617"/>
      <c r="Q564" s="617"/>
      <c r="R564" s="617"/>
      <c r="S564" s="617"/>
      <c r="T564" s="617"/>
      <c r="U564" s="617"/>
      <c r="V564" s="617"/>
      <c r="W564" s="617"/>
      <c r="X564" s="617"/>
    </row>
    <row r="565" ht="18.75" customHeight="1">
      <c r="A565" s="617"/>
      <c r="B565" s="617"/>
      <c r="C565" s="617"/>
      <c r="D565" s="617"/>
      <c r="E565" s="617"/>
      <c r="F565" s="617"/>
      <c r="G565" s="617"/>
      <c r="H565" s="617"/>
      <c r="I565" s="617"/>
      <c r="J565" s="617"/>
      <c r="K565" s="617"/>
      <c r="L565" s="617"/>
      <c r="M565" s="617"/>
      <c r="N565" s="617"/>
      <c r="O565" s="617"/>
      <c r="P565" s="617"/>
      <c r="Q565" s="617"/>
      <c r="R565" s="617"/>
      <c r="S565" s="617"/>
      <c r="T565" s="617"/>
      <c r="U565" s="617"/>
      <c r="V565" s="617"/>
      <c r="W565" s="617"/>
      <c r="X565" s="617"/>
    </row>
    <row r="566" ht="18.75" customHeight="1">
      <c r="A566" s="617"/>
      <c r="B566" s="617"/>
      <c r="C566" s="617"/>
      <c r="D566" s="617"/>
      <c r="E566" s="617"/>
      <c r="F566" s="617"/>
      <c r="G566" s="617"/>
      <c r="H566" s="617"/>
      <c r="I566" s="617"/>
      <c r="J566" s="617"/>
      <c r="K566" s="617"/>
      <c r="L566" s="617"/>
      <c r="M566" s="617"/>
      <c r="N566" s="617"/>
      <c r="O566" s="617"/>
      <c r="P566" s="617"/>
      <c r="Q566" s="617"/>
      <c r="R566" s="617"/>
      <c r="S566" s="617"/>
      <c r="T566" s="617"/>
      <c r="U566" s="617"/>
      <c r="V566" s="617"/>
      <c r="W566" s="617"/>
      <c r="X566" s="617"/>
    </row>
    <row r="567" ht="18.75" customHeight="1">
      <c r="A567" s="617"/>
      <c r="B567" s="617"/>
      <c r="C567" s="617"/>
      <c r="D567" s="617"/>
      <c r="E567" s="617"/>
      <c r="F567" s="617"/>
      <c r="G567" s="617"/>
      <c r="H567" s="617"/>
      <c r="I567" s="617"/>
      <c r="J567" s="617"/>
      <c r="K567" s="617"/>
      <c r="L567" s="617"/>
      <c r="M567" s="617"/>
      <c r="N567" s="617"/>
      <c r="O567" s="617"/>
      <c r="P567" s="617"/>
      <c r="Q567" s="617"/>
      <c r="R567" s="617"/>
      <c r="S567" s="617"/>
      <c r="T567" s="617"/>
      <c r="U567" s="617"/>
      <c r="V567" s="617"/>
      <c r="W567" s="617"/>
      <c r="X567" s="617"/>
    </row>
    <row r="568" ht="18.75" customHeight="1">
      <c r="A568" s="617"/>
      <c r="B568" s="617"/>
      <c r="C568" s="617"/>
      <c r="D568" s="617"/>
      <c r="E568" s="617"/>
      <c r="F568" s="617"/>
      <c r="G568" s="617"/>
      <c r="H568" s="617"/>
      <c r="I568" s="617"/>
      <c r="J568" s="617"/>
      <c r="K568" s="617"/>
      <c r="L568" s="617"/>
      <c r="M568" s="617"/>
      <c r="N568" s="617"/>
      <c r="O568" s="617"/>
      <c r="P568" s="617"/>
      <c r="Q568" s="617"/>
      <c r="R568" s="617"/>
      <c r="S568" s="617"/>
      <c r="T568" s="617"/>
      <c r="U568" s="617"/>
      <c r="V568" s="617"/>
      <c r="W568" s="617"/>
      <c r="X568" s="617"/>
    </row>
    <row r="569" ht="18.75" customHeight="1">
      <c r="A569" s="617"/>
      <c r="B569" s="617"/>
      <c r="C569" s="617"/>
      <c r="D569" s="617"/>
      <c r="E569" s="617"/>
      <c r="F569" s="617"/>
      <c r="G569" s="617"/>
      <c r="H569" s="617"/>
      <c r="I569" s="617"/>
      <c r="J569" s="617"/>
      <c r="K569" s="617"/>
      <c r="L569" s="617"/>
      <c r="M569" s="617"/>
      <c r="N569" s="617"/>
      <c r="O569" s="617"/>
      <c r="P569" s="617"/>
      <c r="Q569" s="617"/>
      <c r="R569" s="617"/>
      <c r="S569" s="617"/>
      <c r="T569" s="617"/>
      <c r="U569" s="617"/>
      <c r="V569" s="617"/>
      <c r="W569" s="617"/>
      <c r="X569" s="617"/>
    </row>
    <row r="570" ht="18.75" customHeight="1">
      <c r="A570" s="617"/>
      <c r="B570" s="617"/>
      <c r="C570" s="617"/>
      <c r="D570" s="617"/>
      <c r="E570" s="617"/>
      <c r="F570" s="617"/>
      <c r="G570" s="617"/>
      <c r="H570" s="617"/>
      <c r="I570" s="617"/>
      <c r="J570" s="617"/>
      <c r="K570" s="617"/>
      <c r="L570" s="617"/>
      <c r="M570" s="617"/>
      <c r="N570" s="617"/>
      <c r="O570" s="617"/>
      <c r="P570" s="617"/>
      <c r="Q570" s="617"/>
      <c r="R570" s="617"/>
      <c r="S570" s="617"/>
      <c r="T570" s="617"/>
      <c r="U570" s="617"/>
      <c r="V570" s="617"/>
      <c r="W570" s="617"/>
      <c r="X570" s="617"/>
    </row>
    <row r="571" ht="18.75" customHeight="1">
      <c r="A571" s="617"/>
      <c r="B571" s="617"/>
      <c r="C571" s="617"/>
      <c r="D571" s="617"/>
      <c r="E571" s="617"/>
      <c r="F571" s="617"/>
      <c r="G571" s="617"/>
      <c r="H571" s="617"/>
      <c r="I571" s="617"/>
      <c r="J571" s="617"/>
      <c r="K571" s="617"/>
      <c r="L571" s="617"/>
      <c r="M571" s="617"/>
      <c r="N571" s="617"/>
      <c r="O571" s="617"/>
      <c r="P571" s="617"/>
      <c r="Q571" s="617"/>
      <c r="R571" s="617"/>
      <c r="S571" s="617"/>
      <c r="T571" s="617"/>
      <c r="U571" s="617"/>
      <c r="V571" s="617"/>
      <c r="W571" s="617"/>
      <c r="X571" s="617"/>
    </row>
    <row r="572" ht="18.75" customHeight="1">
      <c r="A572" s="617"/>
      <c r="B572" s="617"/>
      <c r="C572" s="617"/>
      <c r="D572" s="617"/>
      <c r="E572" s="617"/>
      <c r="F572" s="617"/>
      <c r="G572" s="617"/>
      <c r="H572" s="617"/>
      <c r="I572" s="617"/>
      <c r="J572" s="617"/>
      <c r="K572" s="617"/>
      <c r="L572" s="617"/>
      <c r="M572" s="617"/>
      <c r="N572" s="617"/>
      <c r="O572" s="617"/>
      <c r="P572" s="617"/>
      <c r="Q572" s="617"/>
      <c r="R572" s="617"/>
      <c r="S572" s="617"/>
      <c r="T572" s="617"/>
      <c r="U572" s="617"/>
      <c r="V572" s="617"/>
      <c r="W572" s="617"/>
      <c r="X572" s="617"/>
    </row>
    <row r="573" ht="18.75" customHeight="1">
      <c r="A573" s="617"/>
      <c r="B573" s="617"/>
      <c r="C573" s="617"/>
      <c r="D573" s="617"/>
      <c r="E573" s="617"/>
      <c r="F573" s="617"/>
      <c r="G573" s="617"/>
      <c r="H573" s="617"/>
      <c r="I573" s="617"/>
      <c r="J573" s="617"/>
      <c r="K573" s="617"/>
      <c r="L573" s="617"/>
      <c r="M573" s="617"/>
      <c r="N573" s="617"/>
      <c r="O573" s="617"/>
      <c r="P573" s="617"/>
      <c r="Q573" s="617"/>
      <c r="R573" s="617"/>
      <c r="S573" s="617"/>
      <c r="T573" s="617"/>
      <c r="U573" s="617"/>
      <c r="V573" s="617"/>
      <c r="W573" s="617"/>
      <c r="X573" s="617"/>
    </row>
    <row r="574" ht="18.75" customHeight="1">
      <c r="A574" s="617"/>
      <c r="B574" s="617"/>
      <c r="C574" s="617"/>
      <c r="D574" s="617"/>
      <c r="E574" s="617"/>
      <c r="F574" s="617"/>
      <c r="G574" s="617"/>
      <c r="H574" s="617"/>
      <c r="I574" s="617"/>
      <c r="J574" s="617"/>
      <c r="K574" s="617"/>
      <c r="L574" s="617"/>
      <c r="M574" s="617"/>
      <c r="N574" s="617"/>
      <c r="O574" s="617"/>
      <c r="P574" s="617"/>
      <c r="Q574" s="617"/>
      <c r="R574" s="617"/>
      <c r="S574" s="617"/>
      <c r="T574" s="617"/>
      <c r="U574" s="617"/>
      <c r="V574" s="617"/>
      <c r="W574" s="617"/>
      <c r="X574" s="617"/>
    </row>
    <row r="575" ht="18.75" customHeight="1">
      <c r="A575" s="617"/>
      <c r="B575" s="617"/>
      <c r="C575" s="617"/>
      <c r="D575" s="617"/>
      <c r="E575" s="617"/>
      <c r="F575" s="617"/>
      <c r="G575" s="617"/>
      <c r="H575" s="617"/>
      <c r="I575" s="617"/>
      <c r="J575" s="617"/>
      <c r="K575" s="617"/>
      <c r="L575" s="617"/>
      <c r="M575" s="617"/>
      <c r="N575" s="617"/>
      <c r="O575" s="617"/>
      <c r="P575" s="617"/>
      <c r="Q575" s="617"/>
      <c r="R575" s="617"/>
      <c r="S575" s="617"/>
      <c r="T575" s="617"/>
      <c r="U575" s="617"/>
      <c r="V575" s="617"/>
      <c r="W575" s="617"/>
      <c r="X575" s="617"/>
    </row>
    <row r="576" ht="18.75" customHeight="1">
      <c r="A576" s="617"/>
      <c r="B576" s="617"/>
      <c r="C576" s="617"/>
      <c r="D576" s="617"/>
      <c r="E576" s="617"/>
      <c r="F576" s="617"/>
      <c r="G576" s="617"/>
      <c r="H576" s="617"/>
      <c r="I576" s="617"/>
      <c r="J576" s="617"/>
      <c r="K576" s="617"/>
      <c r="L576" s="617"/>
      <c r="M576" s="617"/>
      <c r="N576" s="617"/>
      <c r="O576" s="617"/>
      <c r="P576" s="617"/>
      <c r="Q576" s="617"/>
      <c r="R576" s="617"/>
      <c r="S576" s="617"/>
      <c r="T576" s="617"/>
      <c r="U576" s="617"/>
      <c r="V576" s="617"/>
      <c r="W576" s="617"/>
      <c r="X576" s="617"/>
    </row>
    <row r="577" ht="18.75" customHeight="1">
      <c r="A577" s="617"/>
      <c r="B577" s="617"/>
      <c r="C577" s="617"/>
      <c r="D577" s="617"/>
      <c r="E577" s="617"/>
      <c r="F577" s="617"/>
      <c r="G577" s="617"/>
      <c r="H577" s="617"/>
      <c r="I577" s="617"/>
      <c r="J577" s="617"/>
      <c r="K577" s="617"/>
      <c r="L577" s="617"/>
      <c r="M577" s="617"/>
      <c r="N577" s="617"/>
      <c r="O577" s="617"/>
      <c r="P577" s="617"/>
      <c r="Q577" s="617"/>
      <c r="R577" s="617"/>
      <c r="S577" s="617"/>
      <c r="T577" s="617"/>
      <c r="U577" s="617"/>
      <c r="V577" s="617"/>
      <c r="W577" s="617"/>
      <c r="X577" s="617"/>
    </row>
    <row r="578" ht="18.75" customHeight="1">
      <c r="A578" s="617"/>
      <c r="B578" s="617"/>
      <c r="C578" s="617"/>
      <c r="D578" s="617"/>
      <c r="E578" s="617"/>
      <c r="F578" s="617"/>
      <c r="G578" s="617"/>
      <c r="H578" s="617"/>
      <c r="I578" s="617"/>
      <c r="J578" s="617"/>
      <c r="K578" s="617"/>
      <c r="L578" s="617"/>
      <c r="M578" s="617"/>
      <c r="N578" s="617"/>
      <c r="O578" s="617"/>
      <c r="P578" s="617"/>
      <c r="Q578" s="617"/>
      <c r="R578" s="617"/>
      <c r="S578" s="617"/>
      <c r="T578" s="617"/>
      <c r="U578" s="617"/>
      <c r="V578" s="617"/>
      <c r="W578" s="617"/>
      <c r="X578" s="617"/>
    </row>
    <row r="579" ht="18.75" customHeight="1">
      <c r="A579" s="617"/>
      <c r="B579" s="617"/>
      <c r="C579" s="617"/>
      <c r="D579" s="617"/>
      <c r="E579" s="617"/>
      <c r="F579" s="617"/>
      <c r="G579" s="617"/>
      <c r="H579" s="617"/>
      <c r="I579" s="617"/>
      <c r="J579" s="617"/>
      <c r="K579" s="617"/>
      <c r="L579" s="617"/>
      <c r="M579" s="617"/>
      <c r="N579" s="617"/>
      <c r="O579" s="617"/>
      <c r="P579" s="617"/>
      <c r="Q579" s="617"/>
      <c r="R579" s="617"/>
      <c r="S579" s="617"/>
      <c r="T579" s="617"/>
      <c r="U579" s="617"/>
      <c r="V579" s="617"/>
      <c r="W579" s="617"/>
      <c r="X579" s="617"/>
    </row>
    <row r="580" ht="18.75" customHeight="1">
      <c r="A580" s="617"/>
      <c r="B580" s="617"/>
      <c r="C580" s="617"/>
      <c r="D580" s="617"/>
      <c r="E580" s="617"/>
      <c r="F580" s="617"/>
      <c r="G580" s="617"/>
      <c r="H580" s="617"/>
      <c r="I580" s="617"/>
      <c r="J580" s="617"/>
      <c r="K580" s="617"/>
      <c r="L580" s="617"/>
      <c r="M580" s="617"/>
      <c r="N580" s="617"/>
      <c r="O580" s="617"/>
      <c r="P580" s="617"/>
      <c r="Q580" s="617"/>
      <c r="R580" s="617"/>
      <c r="S580" s="617"/>
      <c r="T580" s="617"/>
      <c r="U580" s="617"/>
      <c r="V580" s="617"/>
      <c r="W580" s="617"/>
      <c r="X580" s="617"/>
    </row>
    <row r="581" ht="18.75" customHeight="1">
      <c r="A581" s="617"/>
      <c r="B581" s="617"/>
      <c r="C581" s="617"/>
      <c r="D581" s="617"/>
      <c r="E581" s="617"/>
      <c r="F581" s="617"/>
      <c r="G581" s="617"/>
      <c r="H581" s="617"/>
      <c r="I581" s="617"/>
      <c r="J581" s="617"/>
      <c r="K581" s="617"/>
      <c r="L581" s="617"/>
      <c r="M581" s="617"/>
      <c r="N581" s="617"/>
      <c r="O581" s="617"/>
      <c r="P581" s="617"/>
      <c r="Q581" s="617"/>
      <c r="R581" s="617"/>
      <c r="S581" s="617"/>
      <c r="T581" s="617"/>
      <c r="U581" s="617"/>
      <c r="V581" s="617"/>
      <c r="W581" s="617"/>
      <c r="X581" s="617"/>
    </row>
    <row r="582" ht="18.75" customHeight="1">
      <c r="A582" s="617"/>
      <c r="B582" s="617"/>
      <c r="C582" s="617"/>
      <c r="D582" s="617"/>
      <c r="E582" s="617"/>
      <c r="F582" s="617"/>
      <c r="G582" s="617"/>
      <c r="H582" s="617"/>
      <c r="I582" s="617"/>
      <c r="J582" s="617"/>
      <c r="K582" s="617"/>
      <c r="L582" s="617"/>
      <c r="M582" s="617"/>
      <c r="N582" s="617"/>
      <c r="O582" s="617"/>
      <c r="P582" s="617"/>
      <c r="Q582" s="617"/>
      <c r="R582" s="617"/>
      <c r="S582" s="617"/>
      <c r="T582" s="617"/>
      <c r="U582" s="617"/>
      <c r="V582" s="617"/>
      <c r="W582" s="617"/>
      <c r="X582" s="617"/>
    </row>
    <row r="583" ht="18.75" customHeight="1">
      <c r="A583" s="617"/>
      <c r="B583" s="617"/>
      <c r="C583" s="617"/>
      <c r="D583" s="617"/>
      <c r="E583" s="617"/>
      <c r="F583" s="617"/>
      <c r="G583" s="617"/>
      <c r="H583" s="617"/>
      <c r="I583" s="617"/>
      <c r="J583" s="617"/>
      <c r="K583" s="617"/>
      <c r="L583" s="617"/>
      <c r="M583" s="617"/>
      <c r="N583" s="617"/>
      <c r="O583" s="617"/>
      <c r="P583" s="617"/>
      <c r="Q583" s="617"/>
      <c r="R583" s="617"/>
      <c r="S583" s="617"/>
      <c r="T583" s="617"/>
      <c r="U583" s="617"/>
      <c r="V583" s="617"/>
      <c r="W583" s="617"/>
      <c r="X583" s="617"/>
    </row>
    <row r="584" ht="18.75" customHeight="1">
      <c r="A584" s="617"/>
      <c r="B584" s="617"/>
      <c r="C584" s="617"/>
      <c r="D584" s="617"/>
      <c r="E584" s="617"/>
      <c r="F584" s="617"/>
      <c r="G584" s="617"/>
      <c r="H584" s="617"/>
      <c r="I584" s="617"/>
      <c r="J584" s="617"/>
      <c r="K584" s="617"/>
      <c r="L584" s="617"/>
      <c r="M584" s="617"/>
      <c r="N584" s="617"/>
      <c r="O584" s="617"/>
      <c r="P584" s="617"/>
      <c r="Q584" s="617"/>
      <c r="R584" s="617"/>
      <c r="S584" s="617"/>
      <c r="T584" s="617"/>
      <c r="U584" s="617"/>
      <c r="V584" s="617"/>
      <c r="W584" s="617"/>
      <c r="X584" s="617"/>
    </row>
    <row r="585" ht="18.75" customHeight="1">
      <c r="A585" s="617"/>
      <c r="B585" s="617"/>
      <c r="C585" s="617"/>
      <c r="D585" s="617"/>
      <c r="E585" s="617"/>
      <c r="F585" s="617"/>
      <c r="G585" s="617"/>
      <c r="H585" s="617"/>
      <c r="I585" s="617"/>
      <c r="J585" s="617"/>
      <c r="K585" s="617"/>
      <c r="L585" s="617"/>
      <c r="M585" s="617"/>
      <c r="N585" s="617"/>
      <c r="O585" s="617"/>
      <c r="P585" s="617"/>
      <c r="Q585" s="617"/>
      <c r="R585" s="617"/>
      <c r="S585" s="617"/>
      <c r="T585" s="617"/>
      <c r="U585" s="617"/>
      <c r="V585" s="617"/>
      <c r="W585" s="617"/>
      <c r="X585" s="617"/>
    </row>
    <row r="586" ht="18.75" customHeight="1">
      <c r="A586" s="617"/>
      <c r="B586" s="617"/>
      <c r="C586" s="617"/>
      <c r="D586" s="617"/>
      <c r="E586" s="617"/>
      <c r="F586" s="617"/>
      <c r="G586" s="617"/>
      <c r="H586" s="617"/>
      <c r="I586" s="617"/>
      <c r="J586" s="617"/>
      <c r="K586" s="617"/>
      <c r="L586" s="617"/>
      <c r="M586" s="617"/>
      <c r="N586" s="617"/>
      <c r="O586" s="617"/>
      <c r="P586" s="617"/>
      <c r="Q586" s="617"/>
      <c r="R586" s="617"/>
      <c r="S586" s="617"/>
      <c r="T586" s="617"/>
      <c r="U586" s="617"/>
      <c r="V586" s="617"/>
      <c r="W586" s="617"/>
      <c r="X586" s="617"/>
    </row>
    <row r="587" ht="18.75" customHeight="1">
      <c r="A587" s="617"/>
      <c r="B587" s="617"/>
      <c r="C587" s="617"/>
      <c r="D587" s="617"/>
      <c r="E587" s="617"/>
      <c r="F587" s="617"/>
      <c r="G587" s="617"/>
      <c r="H587" s="617"/>
      <c r="I587" s="617"/>
      <c r="J587" s="617"/>
      <c r="K587" s="617"/>
      <c r="L587" s="617"/>
      <c r="M587" s="617"/>
      <c r="N587" s="617"/>
      <c r="O587" s="617"/>
      <c r="P587" s="617"/>
      <c r="Q587" s="617"/>
      <c r="R587" s="617"/>
      <c r="S587" s="617"/>
      <c r="T587" s="617"/>
      <c r="U587" s="617"/>
      <c r="V587" s="617"/>
      <c r="W587" s="617"/>
      <c r="X587" s="617"/>
    </row>
    <row r="588" ht="18.75" customHeight="1">
      <c r="A588" s="617"/>
      <c r="B588" s="617"/>
      <c r="C588" s="617"/>
      <c r="D588" s="617"/>
      <c r="E588" s="617"/>
      <c r="F588" s="617"/>
      <c r="G588" s="617"/>
      <c r="H588" s="617"/>
      <c r="I588" s="617"/>
      <c r="J588" s="617"/>
      <c r="K588" s="617"/>
      <c r="L588" s="617"/>
      <c r="M588" s="617"/>
      <c r="N588" s="617"/>
      <c r="O588" s="617"/>
      <c r="P588" s="617"/>
      <c r="Q588" s="617"/>
      <c r="R588" s="617"/>
      <c r="S588" s="617"/>
      <c r="T588" s="617"/>
      <c r="U588" s="617"/>
      <c r="V588" s="617"/>
      <c r="W588" s="617"/>
      <c r="X588" s="617"/>
    </row>
    <row r="589" ht="18.75" customHeight="1">
      <c r="A589" s="617"/>
      <c r="B589" s="617"/>
      <c r="C589" s="617"/>
      <c r="D589" s="617"/>
      <c r="E589" s="617"/>
      <c r="F589" s="617"/>
      <c r="G589" s="617"/>
      <c r="H589" s="617"/>
      <c r="I589" s="617"/>
      <c r="J589" s="617"/>
      <c r="K589" s="617"/>
      <c r="L589" s="617"/>
      <c r="M589" s="617"/>
      <c r="N589" s="617"/>
      <c r="O589" s="617"/>
      <c r="P589" s="617"/>
      <c r="Q589" s="617"/>
      <c r="R589" s="617"/>
      <c r="S589" s="617"/>
      <c r="T589" s="617"/>
      <c r="U589" s="617"/>
      <c r="V589" s="617"/>
      <c r="W589" s="617"/>
      <c r="X589" s="617"/>
    </row>
    <row r="590" ht="18.75" customHeight="1">
      <c r="A590" s="617"/>
      <c r="B590" s="617"/>
      <c r="C590" s="617"/>
      <c r="D590" s="617"/>
      <c r="E590" s="617"/>
      <c r="F590" s="617"/>
      <c r="G590" s="617"/>
      <c r="H590" s="617"/>
      <c r="I590" s="617"/>
      <c r="J590" s="617"/>
      <c r="K590" s="617"/>
      <c r="L590" s="617"/>
      <c r="M590" s="617"/>
      <c r="N590" s="617"/>
      <c r="O590" s="617"/>
      <c r="P590" s="617"/>
      <c r="Q590" s="617"/>
      <c r="R590" s="617"/>
      <c r="S590" s="617"/>
      <c r="T590" s="617"/>
      <c r="U590" s="617"/>
      <c r="V590" s="617"/>
      <c r="W590" s="617"/>
      <c r="X590" s="617"/>
    </row>
    <row r="591" ht="18.75" customHeight="1">
      <c r="A591" s="617"/>
      <c r="B591" s="617"/>
      <c r="C591" s="617"/>
      <c r="D591" s="617"/>
      <c r="E591" s="617"/>
      <c r="F591" s="617"/>
      <c r="G591" s="617"/>
      <c r="H591" s="617"/>
      <c r="I591" s="617"/>
      <c r="J591" s="617"/>
      <c r="K591" s="617"/>
      <c r="L591" s="617"/>
      <c r="M591" s="617"/>
      <c r="N591" s="617"/>
      <c r="O591" s="617"/>
      <c r="P591" s="617"/>
      <c r="Q591" s="617"/>
      <c r="R591" s="617"/>
      <c r="S591" s="617"/>
      <c r="T591" s="617"/>
      <c r="U591" s="617"/>
      <c r="V591" s="617"/>
      <c r="W591" s="617"/>
      <c r="X591" s="617"/>
    </row>
    <row r="592" ht="18.75" customHeight="1">
      <c r="A592" s="617"/>
      <c r="B592" s="617"/>
      <c r="C592" s="617"/>
      <c r="D592" s="617"/>
      <c r="E592" s="617"/>
      <c r="F592" s="617"/>
      <c r="G592" s="617"/>
      <c r="H592" s="617"/>
      <c r="I592" s="617"/>
      <c r="J592" s="617"/>
      <c r="K592" s="617"/>
      <c r="L592" s="617"/>
      <c r="M592" s="617"/>
      <c r="N592" s="617"/>
      <c r="O592" s="617"/>
      <c r="P592" s="617"/>
      <c r="Q592" s="617"/>
      <c r="R592" s="617"/>
      <c r="S592" s="617"/>
      <c r="T592" s="617"/>
      <c r="U592" s="617"/>
      <c r="V592" s="617"/>
      <c r="W592" s="617"/>
      <c r="X592" s="617"/>
    </row>
    <row r="593" ht="18.75" customHeight="1">
      <c r="A593" s="617"/>
      <c r="B593" s="617"/>
      <c r="C593" s="617"/>
      <c r="D593" s="617"/>
      <c r="E593" s="617"/>
      <c r="F593" s="617"/>
      <c r="G593" s="617"/>
      <c r="H593" s="617"/>
      <c r="I593" s="617"/>
      <c r="J593" s="617"/>
      <c r="K593" s="617"/>
      <c r="L593" s="617"/>
      <c r="M593" s="617"/>
      <c r="N593" s="617"/>
      <c r="O593" s="617"/>
      <c r="P593" s="617"/>
      <c r="Q593" s="617"/>
      <c r="R593" s="617"/>
      <c r="S593" s="617"/>
      <c r="T593" s="617"/>
      <c r="U593" s="617"/>
      <c r="V593" s="617"/>
      <c r="W593" s="617"/>
      <c r="X593" s="617"/>
    </row>
    <row r="594" ht="18.75" customHeight="1">
      <c r="A594" s="617"/>
      <c r="B594" s="617"/>
      <c r="C594" s="617"/>
      <c r="D594" s="617"/>
      <c r="E594" s="617"/>
      <c r="F594" s="617"/>
      <c r="G594" s="617"/>
      <c r="H594" s="617"/>
      <c r="I594" s="617"/>
      <c r="J594" s="617"/>
      <c r="K594" s="617"/>
      <c r="L594" s="617"/>
      <c r="M594" s="617"/>
      <c r="N594" s="617"/>
      <c r="O594" s="617"/>
      <c r="P594" s="617"/>
      <c r="Q594" s="617"/>
      <c r="R594" s="617"/>
      <c r="S594" s="617"/>
      <c r="T594" s="617"/>
      <c r="U594" s="617"/>
      <c r="V594" s="617"/>
      <c r="W594" s="617"/>
      <c r="X594" s="617"/>
    </row>
    <row r="595" ht="18.75" customHeight="1">
      <c r="A595" s="617"/>
      <c r="B595" s="617"/>
      <c r="C595" s="617"/>
      <c r="D595" s="617"/>
      <c r="E595" s="617"/>
      <c r="F595" s="617"/>
      <c r="G595" s="617"/>
      <c r="H595" s="617"/>
      <c r="I595" s="617"/>
      <c r="J595" s="617"/>
      <c r="K595" s="617"/>
      <c r="L595" s="617"/>
      <c r="M595" s="617"/>
      <c r="N595" s="617"/>
      <c r="O595" s="617"/>
      <c r="P595" s="617"/>
      <c r="Q595" s="617"/>
      <c r="R595" s="617"/>
      <c r="S595" s="617"/>
      <c r="T595" s="617"/>
      <c r="U595" s="617"/>
      <c r="V595" s="617"/>
      <c r="W595" s="617"/>
      <c r="X595" s="617"/>
    </row>
    <row r="596" ht="18.75" customHeight="1">
      <c r="A596" s="617"/>
      <c r="B596" s="617"/>
      <c r="C596" s="617"/>
      <c r="D596" s="617"/>
      <c r="E596" s="617"/>
      <c r="F596" s="617"/>
      <c r="G596" s="617"/>
      <c r="H596" s="617"/>
      <c r="I596" s="617"/>
      <c r="J596" s="617"/>
      <c r="K596" s="617"/>
      <c r="L596" s="617"/>
      <c r="M596" s="617"/>
      <c r="N596" s="617"/>
      <c r="O596" s="617"/>
      <c r="P596" s="617"/>
      <c r="Q596" s="617"/>
      <c r="R596" s="617"/>
      <c r="S596" s="617"/>
      <c r="T596" s="617"/>
      <c r="U596" s="617"/>
      <c r="V596" s="617"/>
      <c r="W596" s="617"/>
      <c r="X596" s="617"/>
    </row>
    <row r="597" ht="18.75" customHeight="1">
      <c r="A597" s="617"/>
      <c r="B597" s="617"/>
      <c r="C597" s="617"/>
      <c r="D597" s="617"/>
      <c r="E597" s="617"/>
      <c r="F597" s="617"/>
      <c r="G597" s="617"/>
      <c r="H597" s="617"/>
      <c r="I597" s="617"/>
      <c r="J597" s="617"/>
      <c r="K597" s="617"/>
      <c r="L597" s="617"/>
      <c r="M597" s="617"/>
      <c r="N597" s="617"/>
      <c r="O597" s="617"/>
      <c r="P597" s="617"/>
      <c r="Q597" s="617"/>
      <c r="R597" s="617"/>
      <c r="S597" s="617"/>
      <c r="T597" s="617"/>
      <c r="U597" s="617"/>
      <c r="V597" s="617"/>
      <c r="W597" s="617"/>
      <c r="X597" s="617"/>
    </row>
    <row r="598" ht="18.75" customHeight="1">
      <c r="A598" s="617"/>
      <c r="B598" s="617"/>
      <c r="C598" s="617"/>
      <c r="D598" s="617"/>
      <c r="E598" s="617"/>
      <c r="F598" s="617"/>
      <c r="G598" s="617"/>
      <c r="H598" s="617"/>
      <c r="I598" s="617"/>
      <c r="J598" s="617"/>
      <c r="K598" s="617"/>
      <c r="L598" s="617"/>
      <c r="M598" s="617"/>
      <c r="N598" s="617"/>
      <c r="O598" s="617"/>
      <c r="P598" s="617"/>
      <c r="Q598" s="617"/>
      <c r="R598" s="617"/>
      <c r="S598" s="617"/>
      <c r="T598" s="617"/>
      <c r="U598" s="617"/>
      <c r="V598" s="617"/>
      <c r="W598" s="617"/>
      <c r="X598" s="617"/>
    </row>
    <row r="599" ht="18.75" customHeight="1">
      <c r="A599" s="617"/>
      <c r="B599" s="617"/>
      <c r="C599" s="617"/>
      <c r="D599" s="617"/>
      <c r="E599" s="617"/>
      <c r="F599" s="617"/>
      <c r="G599" s="617"/>
      <c r="H599" s="617"/>
      <c r="I599" s="617"/>
      <c r="J599" s="617"/>
      <c r="K599" s="617"/>
      <c r="L599" s="617"/>
      <c r="M599" s="617"/>
      <c r="N599" s="617"/>
      <c r="O599" s="617"/>
      <c r="P599" s="617"/>
      <c r="Q599" s="617"/>
      <c r="R599" s="617"/>
      <c r="S599" s="617"/>
      <c r="T599" s="617"/>
      <c r="U599" s="617"/>
      <c r="V599" s="617"/>
      <c r="W599" s="617"/>
      <c r="X599" s="617"/>
    </row>
    <row r="600" ht="18.75" customHeight="1">
      <c r="A600" s="617"/>
      <c r="B600" s="617"/>
      <c r="C600" s="617"/>
      <c r="D600" s="617"/>
      <c r="E600" s="617"/>
      <c r="F600" s="617"/>
      <c r="G600" s="617"/>
      <c r="H600" s="617"/>
      <c r="I600" s="617"/>
      <c r="J600" s="617"/>
      <c r="K600" s="617"/>
      <c r="L600" s="617"/>
      <c r="M600" s="617"/>
      <c r="N600" s="617"/>
      <c r="O600" s="617"/>
      <c r="P600" s="617"/>
      <c r="Q600" s="617"/>
      <c r="R600" s="617"/>
      <c r="S600" s="617"/>
      <c r="T600" s="617"/>
      <c r="U600" s="617"/>
      <c r="V600" s="617"/>
      <c r="W600" s="617"/>
      <c r="X600" s="617"/>
    </row>
    <row r="601" ht="18.75" customHeight="1">
      <c r="A601" s="617"/>
      <c r="B601" s="617"/>
      <c r="C601" s="617"/>
      <c r="D601" s="617"/>
      <c r="E601" s="617"/>
      <c r="F601" s="617"/>
      <c r="G601" s="617"/>
      <c r="H601" s="617"/>
      <c r="I601" s="617"/>
      <c r="J601" s="617"/>
      <c r="K601" s="617"/>
      <c r="L601" s="617"/>
      <c r="M601" s="617"/>
      <c r="N601" s="617"/>
      <c r="O601" s="617"/>
      <c r="P601" s="617"/>
      <c r="Q601" s="617"/>
      <c r="R601" s="617"/>
      <c r="S601" s="617"/>
      <c r="T601" s="617"/>
      <c r="U601" s="617"/>
      <c r="V601" s="617"/>
      <c r="W601" s="617"/>
      <c r="X601" s="617"/>
    </row>
    <row r="602" ht="18.75" customHeight="1">
      <c r="A602" s="617"/>
      <c r="B602" s="617"/>
      <c r="C602" s="617"/>
      <c r="D602" s="617"/>
      <c r="E602" s="617"/>
      <c r="F602" s="617"/>
      <c r="G602" s="617"/>
      <c r="H602" s="617"/>
      <c r="I602" s="617"/>
      <c r="J602" s="617"/>
      <c r="K602" s="617"/>
      <c r="L602" s="617"/>
      <c r="M602" s="617"/>
      <c r="N602" s="617"/>
      <c r="O602" s="617"/>
      <c r="P602" s="617"/>
      <c r="Q602" s="617"/>
      <c r="R602" s="617"/>
      <c r="S602" s="617"/>
      <c r="T602" s="617"/>
      <c r="U602" s="617"/>
      <c r="V602" s="617"/>
      <c r="W602" s="617"/>
      <c r="X602" s="617"/>
    </row>
    <row r="603" ht="18.75" customHeight="1">
      <c r="A603" s="617"/>
      <c r="B603" s="617"/>
      <c r="C603" s="617"/>
      <c r="D603" s="617"/>
      <c r="E603" s="617"/>
      <c r="F603" s="617"/>
      <c r="G603" s="617"/>
      <c r="H603" s="617"/>
      <c r="I603" s="617"/>
      <c r="J603" s="617"/>
      <c r="K603" s="617"/>
      <c r="L603" s="617"/>
      <c r="M603" s="617"/>
      <c r="N603" s="617"/>
      <c r="O603" s="617"/>
      <c r="P603" s="617"/>
      <c r="Q603" s="617"/>
      <c r="R603" s="617"/>
      <c r="S603" s="617"/>
      <c r="T603" s="617"/>
      <c r="U603" s="617"/>
      <c r="V603" s="617"/>
      <c r="W603" s="617"/>
      <c r="X603" s="617"/>
    </row>
    <row r="604" ht="18.75" customHeight="1">
      <c r="A604" s="617"/>
      <c r="B604" s="617"/>
      <c r="C604" s="617"/>
      <c r="D604" s="617"/>
      <c r="E604" s="617"/>
      <c r="F604" s="617"/>
      <c r="G604" s="617"/>
      <c r="H604" s="617"/>
      <c r="I604" s="617"/>
      <c r="J604" s="617"/>
      <c r="K604" s="617"/>
      <c r="L604" s="617"/>
      <c r="M604" s="617"/>
      <c r="N604" s="617"/>
      <c r="O604" s="617"/>
      <c r="P604" s="617"/>
      <c r="Q604" s="617"/>
      <c r="R604" s="617"/>
      <c r="S604" s="617"/>
      <c r="T604" s="617"/>
      <c r="U604" s="617"/>
      <c r="V604" s="617"/>
      <c r="W604" s="617"/>
      <c r="X604" s="617"/>
    </row>
    <row r="605" ht="18.75" customHeight="1">
      <c r="A605" s="617"/>
      <c r="B605" s="617"/>
      <c r="C605" s="617"/>
      <c r="D605" s="617"/>
      <c r="E605" s="617"/>
      <c r="F605" s="617"/>
      <c r="G605" s="617"/>
      <c r="H605" s="617"/>
      <c r="I605" s="617"/>
      <c r="J605" s="617"/>
      <c r="K605" s="617"/>
      <c r="L605" s="617"/>
      <c r="M605" s="617"/>
      <c r="N605" s="617"/>
      <c r="O605" s="617"/>
      <c r="P605" s="617"/>
      <c r="Q605" s="617"/>
      <c r="R605" s="617"/>
      <c r="S605" s="617"/>
      <c r="T605" s="617"/>
      <c r="U605" s="617"/>
      <c r="V605" s="617"/>
      <c r="W605" s="617"/>
      <c r="X605" s="617"/>
    </row>
    <row r="606" ht="18.75" customHeight="1">
      <c r="A606" s="617"/>
      <c r="B606" s="617"/>
      <c r="C606" s="617"/>
      <c r="D606" s="617"/>
      <c r="E606" s="617"/>
      <c r="F606" s="617"/>
      <c r="G606" s="617"/>
      <c r="H606" s="617"/>
      <c r="I606" s="617"/>
      <c r="J606" s="617"/>
      <c r="K606" s="617"/>
      <c r="L606" s="617"/>
      <c r="M606" s="617"/>
      <c r="N606" s="617"/>
      <c r="O606" s="617"/>
      <c r="P606" s="617"/>
      <c r="Q606" s="617"/>
      <c r="R606" s="617"/>
      <c r="S606" s="617"/>
      <c r="T606" s="617"/>
      <c r="U606" s="617"/>
      <c r="V606" s="617"/>
      <c r="W606" s="617"/>
      <c r="X606" s="617"/>
    </row>
    <row r="607" ht="18.75" customHeight="1">
      <c r="A607" s="617"/>
      <c r="B607" s="617"/>
      <c r="C607" s="617"/>
      <c r="D607" s="617"/>
      <c r="E607" s="617"/>
      <c r="F607" s="617"/>
      <c r="G607" s="617"/>
      <c r="H607" s="617"/>
      <c r="I607" s="617"/>
      <c r="J607" s="617"/>
      <c r="K607" s="617"/>
      <c r="L607" s="617"/>
      <c r="M607" s="617"/>
      <c r="N607" s="617"/>
      <c r="O607" s="617"/>
      <c r="P607" s="617"/>
      <c r="Q607" s="617"/>
      <c r="R607" s="617"/>
      <c r="S607" s="617"/>
      <c r="T607" s="617"/>
      <c r="U607" s="617"/>
      <c r="V607" s="617"/>
      <c r="W607" s="617"/>
      <c r="X607" s="617"/>
    </row>
    <row r="608" ht="18.75" customHeight="1">
      <c r="A608" s="617"/>
      <c r="B608" s="617"/>
      <c r="C608" s="617"/>
      <c r="D608" s="617"/>
      <c r="E608" s="617"/>
      <c r="F608" s="617"/>
      <c r="G608" s="617"/>
      <c r="H608" s="617"/>
      <c r="I608" s="617"/>
      <c r="J608" s="617"/>
      <c r="K608" s="617"/>
      <c r="L608" s="617"/>
      <c r="M608" s="617"/>
      <c r="N608" s="617"/>
      <c r="O608" s="617"/>
      <c r="P608" s="617"/>
      <c r="Q608" s="617"/>
      <c r="R608" s="617"/>
      <c r="S608" s="617"/>
      <c r="T608" s="617"/>
      <c r="U608" s="617"/>
      <c r="V608" s="617"/>
      <c r="W608" s="617"/>
      <c r="X608" s="617"/>
    </row>
    <row r="609" ht="18.75" customHeight="1">
      <c r="A609" s="617"/>
      <c r="B609" s="617"/>
      <c r="C609" s="617"/>
      <c r="D609" s="617"/>
      <c r="E609" s="617"/>
      <c r="F609" s="617"/>
      <c r="G609" s="617"/>
      <c r="H609" s="617"/>
      <c r="I609" s="617"/>
      <c r="J609" s="617"/>
      <c r="K609" s="617"/>
      <c r="L609" s="617"/>
      <c r="M609" s="617"/>
      <c r="N609" s="617"/>
      <c r="O609" s="617"/>
      <c r="P609" s="617"/>
      <c r="Q609" s="617"/>
      <c r="R609" s="617"/>
      <c r="S609" s="617"/>
      <c r="T609" s="617"/>
      <c r="U609" s="617"/>
      <c r="V609" s="617"/>
      <c r="W609" s="617"/>
      <c r="X609" s="617"/>
    </row>
    <row r="610" ht="18.75" customHeight="1">
      <c r="A610" s="617"/>
      <c r="B610" s="617"/>
      <c r="C610" s="617"/>
      <c r="D610" s="617"/>
      <c r="E610" s="617"/>
      <c r="F610" s="617"/>
      <c r="G610" s="617"/>
      <c r="H610" s="617"/>
      <c r="I610" s="617"/>
      <c r="J610" s="617"/>
      <c r="K610" s="617"/>
      <c r="L610" s="617"/>
      <c r="M610" s="617"/>
      <c r="N610" s="617"/>
      <c r="O610" s="617"/>
      <c r="P610" s="617"/>
      <c r="Q610" s="617"/>
      <c r="R610" s="617"/>
      <c r="S610" s="617"/>
      <c r="T610" s="617"/>
      <c r="U610" s="617"/>
      <c r="V610" s="617"/>
      <c r="W610" s="617"/>
      <c r="X610" s="617"/>
    </row>
    <row r="611" ht="18.75" customHeight="1">
      <c r="A611" s="617"/>
      <c r="B611" s="617"/>
      <c r="C611" s="617"/>
      <c r="D611" s="617"/>
      <c r="E611" s="617"/>
      <c r="F611" s="617"/>
      <c r="G611" s="617"/>
      <c r="H611" s="617"/>
      <c r="I611" s="617"/>
      <c r="J611" s="617"/>
      <c r="K611" s="617"/>
      <c r="L611" s="617"/>
      <c r="M611" s="617"/>
      <c r="N611" s="617"/>
      <c r="O611" s="617"/>
      <c r="P611" s="617"/>
      <c r="Q611" s="617"/>
      <c r="R611" s="617"/>
      <c r="S611" s="617"/>
      <c r="T611" s="617"/>
      <c r="U611" s="617"/>
      <c r="V611" s="617"/>
      <c r="W611" s="617"/>
      <c r="X611" s="617"/>
    </row>
    <row r="612" ht="18.75" customHeight="1">
      <c r="A612" s="617"/>
      <c r="B612" s="617"/>
      <c r="C612" s="617"/>
      <c r="D612" s="617"/>
      <c r="E612" s="617"/>
      <c r="F612" s="617"/>
      <c r="G612" s="617"/>
      <c r="H612" s="617"/>
      <c r="I612" s="617"/>
      <c r="J612" s="617"/>
      <c r="K612" s="617"/>
      <c r="L612" s="617"/>
      <c r="M612" s="617"/>
      <c r="N612" s="617"/>
      <c r="O612" s="617"/>
      <c r="P612" s="617"/>
      <c r="Q612" s="617"/>
      <c r="R612" s="617"/>
      <c r="S612" s="617"/>
      <c r="T612" s="617"/>
      <c r="U612" s="617"/>
      <c r="V612" s="617"/>
      <c r="W612" s="617"/>
      <c r="X612" s="617"/>
    </row>
    <row r="613" ht="18.75" customHeight="1">
      <c r="A613" s="617"/>
      <c r="B613" s="617"/>
      <c r="C613" s="617"/>
      <c r="D613" s="617"/>
      <c r="E613" s="617"/>
      <c r="F613" s="617"/>
      <c r="G613" s="617"/>
      <c r="H613" s="617"/>
      <c r="I613" s="617"/>
      <c r="J613" s="617"/>
      <c r="K613" s="617"/>
      <c r="L613" s="617"/>
      <c r="M613" s="617"/>
      <c r="N613" s="617"/>
      <c r="O613" s="617"/>
      <c r="P613" s="617"/>
      <c r="Q613" s="617"/>
      <c r="R613" s="617"/>
      <c r="S613" s="617"/>
      <c r="T613" s="617"/>
      <c r="U613" s="617"/>
      <c r="V613" s="617"/>
      <c r="W613" s="617"/>
      <c r="X613" s="617"/>
    </row>
    <row r="614" ht="18.75" customHeight="1">
      <c r="A614" s="617"/>
      <c r="B614" s="617"/>
      <c r="C614" s="617"/>
      <c r="D614" s="617"/>
      <c r="E614" s="617"/>
      <c r="F614" s="617"/>
      <c r="G614" s="617"/>
      <c r="H614" s="617"/>
      <c r="I614" s="617"/>
      <c r="J614" s="617"/>
      <c r="K614" s="617"/>
      <c r="L614" s="617"/>
      <c r="M614" s="617"/>
      <c r="N614" s="617"/>
      <c r="O614" s="617"/>
      <c r="P614" s="617"/>
      <c r="Q614" s="617"/>
      <c r="R614" s="617"/>
      <c r="S614" s="617"/>
      <c r="T614" s="617"/>
      <c r="U614" s="617"/>
      <c r="V614" s="617"/>
      <c r="W614" s="617"/>
      <c r="X614" s="617"/>
    </row>
    <row r="615" ht="18.75" customHeight="1">
      <c r="A615" s="617"/>
      <c r="B615" s="617"/>
      <c r="C615" s="617"/>
      <c r="D615" s="617"/>
      <c r="E615" s="617"/>
      <c r="F615" s="617"/>
      <c r="G615" s="617"/>
      <c r="H615" s="617"/>
      <c r="I615" s="617"/>
      <c r="J615" s="617"/>
      <c r="K615" s="617"/>
      <c r="L615" s="617"/>
      <c r="M615" s="617"/>
      <c r="N615" s="617"/>
      <c r="O615" s="617"/>
      <c r="P615" s="617"/>
      <c r="Q615" s="617"/>
      <c r="R615" s="617"/>
      <c r="S615" s="617"/>
      <c r="T615" s="617"/>
      <c r="U615" s="617"/>
      <c r="V615" s="617"/>
      <c r="W615" s="617"/>
      <c r="X615" s="617"/>
    </row>
    <row r="616" ht="18.75" customHeight="1">
      <c r="A616" s="617"/>
      <c r="B616" s="617"/>
      <c r="C616" s="617"/>
      <c r="D616" s="617"/>
      <c r="E616" s="617"/>
      <c r="F616" s="617"/>
      <c r="G616" s="617"/>
      <c r="H616" s="617"/>
      <c r="I616" s="617"/>
      <c r="J616" s="617"/>
      <c r="K616" s="617"/>
      <c r="L616" s="617"/>
      <c r="M616" s="617"/>
      <c r="N616" s="617"/>
      <c r="O616" s="617"/>
      <c r="P616" s="617"/>
      <c r="Q616" s="617"/>
      <c r="R616" s="617"/>
      <c r="S616" s="617"/>
      <c r="T616" s="617"/>
      <c r="U616" s="617"/>
      <c r="V616" s="617"/>
      <c r="W616" s="617"/>
      <c r="X616" s="617"/>
    </row>
    <row r="617" ht="18.75" customHeight="1">
      <c r="A617" s="617"/>
      <c r="B617" s="617"/>
      <c r="C617" s="617"/>
      <c r="D617" s="617"/>
      <c r="E617" s="617"/>
      <c r="F617" s="617"/>
      <c r="G617" s="617"/>
      <c r="H617" s="617"/>
      <c r="I617" s="617"/>
      <c r="J617" s="617"/>
      <c r="K617" s="617"/>
      <c r="L617" s="617"/>
      <c r="M617" s="617"/>
      <c r="N617" s="617"/>
      <c r="O617" s="617"/>
      <c r="P617" s="617"/>
      <c r="Q617" s="617"/>
      <c r="R617" s="617"/>
      <c r="S617" s="617"/>
      <c r="T617" s="617"/>
      <c r="U617" s="617"/>
      <c r="V617" s="617"/>
      <c r="W617" s="617"/>
      <c r="X617" s="617"/>
    </row>
    <row r="618" ht="18.75" customHeight="1">
      <c r="A618" s="617"/>
      <c r="B618" s="617"/>
      <c r="C618" s="617"/>
      <c r="D618" s="617"/>
      <c r="E618" s="617"/>
      <c r="F618" s="617"/>
      <c r="G618" s="617"/>
      <c r="H618" s="617"/>
      <c r="I618" s="617"/>
      <c r="J618" s="617"/>
      <c r="K618" s="617"/>
      <c r="L618" s="617"/>
      <c r="M618" s="617"/>
      <c r="N618" s="617"/>
      <c r="O618" s="617"/>
      <c r="P618" s="617"/>
      <c r="Q618" s="617"/>
      <c r="R618" s="617"/>
      <c r="S618" s="617"/>
      <c r="T618" s="617"/>
      <c r="U618" s="617"/>
      <c r="V618" s="617"/>
      <c r="W618" s="617"/>
      <c r="X618" s="617"/>
    </row>
    <row r="619" ht="18.75" customHeight="1">
      <c r="A619" s="617"/>
      <c r="B619" s="617"/>
      <c r="C619" s="617"/>
      <c r="D619" s="617"/>
      <c r="E619" s="617"/>
      <c r="F619" s="617"/>
      <c r="G619" s="617"/>
      <c r="H619" s="617"/>
      <c r="I619" s="617"/>
      <c r="J619" s="617"/>
      <c r="K619" s="617"/>
      <c r="L619" s="617"/>
      <c r="M619" s="617"/>
      <c r="N619" s="617"/>
      <c r="O619" s="617"/>
      <c r="P619" s="617"/>
      <c r="Q619" s="617"/>
      <c r="R619" s="617"/>
      <c r="S619" s="617"/>
      <c r="T619" s="617"/>
      <c r="U619" s="617"/>
      <c r="V619" s="617"/>
      <c r="W619" s="617"/>
      <c r="X619" s="617"/>
    </row>
    <row r="620" ht="18.75" customHeight="1">
      <c r="A620" s="617"/>
      <c r="B620" s="617"/>
      <c r="C620" s="617"/>
      <c r="D620" s="617"/>
      <c r="E620" s="617"/>
      <c r="F620" s="617"/>
      <c r="G620" s="617"/>
      <c r="H620" s="617"/>
      <c r="I620" s="617"/>
      <c r="J620" s="617"/>
      <c r="K620" s="617"/>
      <c r="L620" s="617"/>
      <c r="M620" s="617"/>
      <c r="N620" s="617"/>
      <c r="O620" s="617"/>
      <c r="P620" s="617"/>
      <c r="Q620" s="617"/>
      <c r="R620" s="617"/>
      <c r="S620" s="617"/>
      <c r="T620" s="617"/>
      <c r="U620" s="617"/>
      <c r="V620" s="617"/>
      <c r="W620" s="617"/>
      <c r="X620" s="617"/>
    </row>
    <row r="621" ht="18.75" customHeight="1">
      <c r="A621" s="617"/>
      <c r="B621" s="617"/>
      <c r="C621" s="617"/>
      <c r="D621" s="617"/>
      <c r="E621" s="617"/>
      <c r="F621" s="617"/>
      <c r="G621" s="617"/>
      <c r="H621" s="617"/>
      <c r="I621" s="617"/>
      <c r="J621" s="617"/>
      <c r="K621" s="617"/>
      <c r="L621" s="617"/>
      <c r="M621" s="617"/>
      <c r="N621" s="617"/>
      <c r="O621" s="617"/>
      <c r="P621" s="617"/>
      <c r="Q621" s="617"/>
      <c r="R621" s="617"/>
      <c r="S621" s="617"/>
      <c r="T621" s="617"/>
      <c r="U621" s="617"/>
      <c r="V621" s="617"/>
      <c r="W621" s="617"/>
      <c r="X621" s="617"/>
    </row>
    <row r="622" ht="18.75" customHeight="1">
      <c r="A622" s="617"/>
      <c r="B622" s="617"/>
      <c r="C622" s="617"/>
      <c r="D622" s="617"/>
      <c r="E622" s="617"/>
      <c r="F622" s="617"/>
      <c r="G622" s="617"/>
      <c r="H622" s="617"/>
      <c r="I622" s="617"/>
      <c r="J622" s="617"/>
      <c r="K622" s="617"/>
      <c r="L622" s="617"/>
      <c r="M622" s="617"/>
      <c r="N622" s="617"/>
      <c r="O622" s="617"/>
      <c r="P622" s="617"/>
      <c r="Q622" s="617"/>
      <c r="R622" s="617"/>
      <c r="S622" s="617"/>
      <c r="T622" s="617"/>
      <c r="U622" s="617"/>
      <c r="V622" s="617"/>
      <c r="W622" s="617"/>
      <c r="X622" s="617"/>
    </row>
    <row r="623" ht="18.75" customHeight="1">
      <c r="A623" s="617"/>
      <c r="B623" s="617"/>
      <c r="C623" s="617"/>
      <c r="D623" s="617"/>
      <c r="E623" s="617"/>
      <c r="F623" s="617"/>
      <c r="G623" s="617"/>
      <c r="H623" s="617"/>
      <c r="I623" s="617"/>
      <c r="J623" s="617"/>
      <c r="K623" s="617"/>
      <c r="L623" s="617"/>
      <c r="M623" s="617"/>
      <c r="N623" s="617"/>
      <c r="O623" s="617"/>
      <c r="P623" s="617"/>
      <c r="Q623" s="617"/>
      <c r="R623" s="617"/>
      <c r="S623" s="617"/>
      <c r="T623" s="617"/>
      <c r="U623" s="617"/>
      <c r="V623" s="617"/>
      <c r="W623" s="617"/>
      <c r="X623" s="617"/>
    </row>
    <row r="624" ht="18.75" customHeight="1">
      <c r="A624" s="617"/>
      <c r="B624" s="617"/>
      <c r="C624" s="617"/>
      <c r="D624" s="617"/>
      <c r="E624" s="617"/>
      <c r="F624" s="617"/>
      <c r="G624" s="617"/>
      <c r="H624" s="617"/>
      <c r="I624" s="617"/>
      <c r="J624" s="617"/>
      <c r="K624" s="617"/>
      <c r="L624" s="617"/>
      <c r="M624" s="617"/>
      <c r="N624" s="617"/>
      <c r="O624" s="617"/>
      <c r="P624" s="617"/>
      <c r="Q624" s="617"/>
      <c r="R624" s="617"/>
      <c r="S624" s="617"/>
      <c r="T624" s="617"/>
      <c r="U624" s="617"/>
      <c r="V624" s="617"/>
      <c r="W624" s="617"/>
      <c r="X624" s="617"/>
    </row>
    <row r="625" ht="18.75" customHeight="1">
      <c r="A625" s="617"/>
      <c r="B625" s="617"/>
      <c r="C625" s="617"/>
      <c r="D625" s="617"/>
      <c r="E625" s="617"/>
      <c r="F625" s="617"/>
      <c r="G625" s="617"/>
      <c r="H625" s="617"/>
      <c r="I625" s="617"/>
      <c r="J625" s="617"/>
      <c r="K625" s="617"/>
      <c r="L625" s="617"/>
      <c r="M625" s="617"/>
      <c r="N625" s="617"/>
      <c r="O625" s="617"/>
      <c r="P625" s="617"/>
      <c r="Q625" s="617"/>
      <c r="R625" s="617"/>
      <c r="S625" s="617"/>
      <c r="T625" s="617"/>
      <c r="U625" s="617"/>
      <c r="V625" s="617"/>
      <c r="W625" s="617"/>
      <c r="X625" s="617"/>
    </row>
    <row r="626" ht="18.75" customHeight="1">
      <c r="A626" s="617"/>
      <c r="B626" s="617"/>
      <c r="C626" s="617"/>
      <c r="D626" s="617"/>
      <c r="E626" s="617"/>
      <c r="F626" s="617"/>
      <c r="G626" s="617"/>
      <c r="H626" s="617"/>
      <c r="I626" s="617"/>
      <c r="J626" s="617"/>
      <c r="K626" s="617"/>
      <c r="L626" s="617"/>
      <c r="M626" s="617"/>
      <c r="N626" s="617"/>
      <c r="O626" s="617"/>
      <c r="P626" s="617"/>
      <c r="Q626" s="617"/>
      <c r="R626" s="617"/>
      <c r="S626" s="617"/>
      <c r="T626" s="617"/>
      <c r="U626" s="617"/>
      <c r="V626" s="617"/>
      <c r="W626" s="617"/>
      <c r="X626" s="617"/>
    </row>
    <row r="627" ht="18.75" customHeight="1">
      <c r="A627" s="617"/>
      <c r="B627" s="617"/>
      <c r="C627" s="617"/>
      <c r="D627" s="617"/>
      <c r="E627" s="617"/>
      <c r="F627" s="617"/>
      <c r="G627" s="617"/>
      <c r="H627" s="617"/>
      <c r="I627" s="617"/>
      <c r="J627" s="617"/>
      <c r="K627" s="617"/>
      <c r="L627" s="617"/>
      <c r="M627" s="617"/>
      <c r="N627" s="617"/>
      <c r="O627" s="617"/>
      <c r="P627" s="617"/>
      <c r="Q627" s="617"/>
      <c r="R627" s="617"/>
      <c r="S627" s="617"/>
      <c r="T627" s="617"/>
      <c r="U627" s="617"/>
      <c r="V627" s="617"/>
      <c r="W627" s="617"/>
      <c r="X627" s="617"/>
    </row>
    <row r="628" ht="18.75" customHeight="1">
      <c r="A628" s="617"/>
      <c r="B628" s="617"/>
      <c r="C628" s="617"/>
      <c r="D628" s="617"/>
      <c r="E628" s="617"/>
      <c r="F628" s="617"/>
      <c r="G628" s="617"/>
      <c r="H628" s="617"/>
      <c r="I628" s="617"/>
      <c r="J628" s="617"/>
      <c r="K628" s="617"/>
      <c r="L628" s="617"/>
      <c r="M628" s="617"/>
      <c r="N628" s="617"/>
      <c r="O628" s="617"/>
      <c r="P628" s="617"/>
      <c r="Q628" s="617"/>
      <c r="R628" s="617"/>
      <c r="S628" s="617"/>
      <c r="T628" s="617"/>
      <c r="U628" s="617"/>
      <c r="V628" s="617"/>
      <c r="W628" s="617"/>
      <c r="X628" s="617"/>
    </row>
    <row r="629" ht="18.75" customHeight="1">
      <c r="A629" s="617"/>
      <c r="B629" s="617"/>
      <c r="C629" s="617"/>
      <c r="D629" s="617"/>
      <c r="E629" s="617"/>
      <c r="F629" s="617"/>
      <c r="G629" s="617"/>
      <c r="H629" s="617"/>
      <c r="I629" s="617"/>
      <c r="J629" s="617"/>
      <c r="K629" s="617"/>
      <c r="L629" s="617"/>
      <c r="M629" s="617"/>
      <c r="N629" s="617"/>
      <c r="O629" s="617"/>
      <c r="P629" s="617"/>
      <c r="Q629" s="617"/>
      <c r="R629" s="617"/>
      <c r="S629" s="617"/>
      <c r="T629" s="617"/>
      <c r="U629" s="617"/>
      <c r="V629" s="617"/>
      <c r="W629" s="617"/>
      <c r="X629" s="617"/>
    </row>
    <row r="630" ht="18.75" customHeight="1">
      <c r="A630" s="617"/>
      <c r="B630" s="617"/>
      <c r="C630" s="617"/>
      <c r="D630" s="617"/>
      <c r="E630" s="617"/>
      <c r="F630" s="617"/>
      <c r="G630" s="617"/>
      <c r="H630" s="617"/>
      <c r="I630" s="617"/>
      <c r="J630" s="617"/>
      <c r="K630" s="617"/>
      <c r="L630" s="617"/>
      <c r="M630" s="617"/>
      <c r="N630" s="617"/>
      <c r="O630" s="617"/>
      <c r="P630" s="617"/>
      <c r="Q630" s="617"/>
      <c r="R630" s="617"/>
      <c r="S630" s="617"/>
      <c r="T630" s="617"/>
      <c r="U630" s="617"/>
      <c r="V630" s="617"/>
      <c r="W630" s="617"/>
      <c r="X630" s="617"/>
    </row>
    <row r="631" ht="18.75" customHeight="1">
      <c r="A631" s="617"/>
      <c r="B631" s="617"/>
      <c r="C631" s="617"/>
      <c r="D631" s="617"/>
      <c r="E631" s="617"/>
      <c r="F631" s="617"/>
      <c r="G631" s="617"/>
      <c r="H631" s="617"/>
      <c r="I631" s="617"/>
      <c r="J631" s="617"/>
      <c r="K631" s="617"/>
      <c r="L631" s="617"/>
      <c r="M631" s="617"/>
      <c r="N631" s="617"/>
      <c r="O631" s="617"/>
      <c r="P631" s="617"/>
      <c r="Q631" s="617"/>
      <c r="R631" s="617"/>
      <c r="S631" s="617"/>
      <c r="T631" s="617"/>
      <c r="U631" s="617"/>
      <c r="V631" s="617"/>
      <c r="W631" s="617"/>
      <c r="X631" s="617"/>
    </row>
    <row r="632" ht="18.75" customHeight="1">
      <c r="A632" s="617"/>
      <c r="B632" s="617"/>
      <c r="C632" s="617"/>
      <c r="D632" s="617"/>
      <c r="E632" s="617"/>
      <c r="F632" s="617"/>
      <c r="G632" s="617"/>
      <c r="H632" s="617"/>
      <c r="I632" s="617"/>
      <c r="J632" s="617"/>
      <c r="K632" s="617"/>
      <c r="L632" s="617"/>
      <c r="M632" s="617"/>
      <c r="N632" s="617"/>
      <c r="O632" s="617"/>
      <c r="P632" s="617"/>
      <c r="Q632" s="617"/>
      <c r="R632" s="617"/>
      <c r="S632" s="617"/>
      <c r="T632" s="617"/>
      <c r="U632" s="617"/>
      <c r="V632" s="617"/>
      <c r="W632" s="617"/>
      <c r="X632" s="617"/>
    </row>
    <row r="633" ht="18.75" customHeight="1">
      <c r="A633" s="617"/>
      <c r="B633" s="617"/>
      <c r="C633" s="617"/>
      <c r="D633" s="617"/>
      <c r="E633" s="617"/>
      <c r="F633" s="617"/>
      <c r="G633" s="617"/>
      <c r="H633" s="617"/>
      <c r="I633" s="617"/>
      <c r="J633" s="617"/>
      <c r="K633" s="617"/>
      <c r="L633" s="617"/>
      <c r="M633" s="617"/>
      <c r="N633" s="617"/>
      <c r="O633" s="617"/>
      <c r="P633" s="617"/>
      <c r="Q633" s="617"/>
      <c r="R633" s="617"/>
      <c r="S633" s="617"/>
      <c r="T633" s="617"/>
      <c r="U633" s="617"/>
      <c r="V633" s="617"/>
      <c r="W633" s="617"/>
      <c r="X633" s="617"/>
    </row>
    <row r="634" ht="18.75" customHeight="1">
      <c r="A634" s="617"/>
      <c r="B634" s="617"/>
      <c r="C634" s="617"/>
      <c r="D634" s="617"/>
      <c r="E634" s="617"/>
      <c r="F634" s="617"/>
      <c r="G634" s="617"/>
      <c r="H634" s="617"/>
      <c r="I634" s="617"/>
      <c r="J634" s="617"/>
      <c r="K634" s="617"/>
      <c r="L634" s="617"/>
      <c r="M634" s="617"/>
      <c r="N634" s="617"/>
      <c r="O634" s="617"/>
      <c r="P634" s="617"/>
      <c r="Q634" s="617"/>
      <c r="R634" s="617"/>
      <c r="S634" s="617"/>
      <c r="T634" s="617"/>
      <c r="U634" s="617"/>
      <c r="V634" s="617"/>
      <c r="W634" s="617"/>
      <c r="X634" s="617"/>
    </row>
    <row r="635" ht="18.75" customHeight="1">
      <c r="A635" s="617"/>
      <c r="B635" s="617"/>
      <c r="C635" s="617"/>
      <c r="D635" s="617"/>
      <c r="E635" s="617"/>
      <c r="F635" s="617"/>
      <c r="G635" s="617"/>
      <c r="H635" s="617"/>
      <c r="I635" s="617"/>
      <c r="J635" s="617"/>
      <c r="K635" s="617"/>
      <c r="L635" s="617"/>
      <c r="M635" s="617"/>
      <c r="N635" s="617"/>
      <c r="O635" s="617"/>
      <c r="P635" s="617"/>
      <c r="Q635" s="617"/>
      <c r="R635" s="617"/>
      <c r="S635" s="617"/>
      <c r="T635" s="617"/>
      <c r="U635" s="617"/>
      <c r="V635" s="617"/>
      <c r="W635" s="617"/>
      <c r="X635" s="617"/>
    </row>
    <row r="636" ht="18.75" customHeight="1">
      <c r="A636" s="617"/>
      <c r="B636" s="617"/>
      <c r="C636" s="617"/>
      <c r="D636" s="617"/>
      <c r="E636" s="617"/>
      <c r="F636" s="617"/>
      <c r="G636" s="617"/>
      <c r="H636" s="617"/>
      <c r="I636" s="617"/>
      <c r="J636" s="617"/>
      <c r="K636" s="617"/>
      <c r="L636" s="617"/>
      <c r="M636" s="617"/>
      <c r="N636" s="617"/>
      <c r="O636" s="617"/>
      <c r="P636" s="617"/>
      <c r="Q636" s="617"/>
      <c r="R636" s="617"/>
      <c r="S636" s="617"/>
      <c r="T636" s="617"/>
      <c r="U636" s="617"/>
      <c r="V636" s="617"/>
      <c r="W636" s="617"/>
      <c r="X636" s="617"/>
    </row>
    <row r="637" ht="18.75" customHeight="1">
      <c r="A637" s="617"/>
      <c r="B637" s="617"/>
      <c r="C637" s="617"/>
      <c r="D637" s="617"/>
      <c r="E637" s="617"/>
      <c r="F637" s="617"/>
      <c r="G637" s="617"/>
      <c r="H637" s="617"/>
      <c r="I637" s="617"/>
      <c r="J637" s="617"/>
      <c r="K637" s="617"/>
      <c r="L637" s="617"/>
      <c r="M637" s="617"/>
      <c r="N637" s="617"/>
      <c r="O637" s="617"/>
      <c r="P637" s="617"/>
      <c r="Q637" s="617"/>
      <c r="R637" s="617"/>
      <c r="S637" s="617"/>
      <c r="T637" s="617"/>
      <c r="U637" s="617"/>
      <c r="V637" s="617"/>
      <c r="W637" s="617"/>
      <c r="X637" s="617"/>
    </row>
    <row r="638" ht="18.75" customHeight="1">
      <c r="A638" s="617"/>
      <c r="B638" s="617"/>
      <c r="C638" s="617"/>
      <c r="D638" s="617"/>
      <c r="E638" s="617"/>
      <c r="F638" s="617"/>
      <c r="G638" s="617"/>
      <c r="H638" s="617"/>
      <c r="I638" s="617"/>
      <c r="J638" s="617"/>
      <c r="K638" s="617"/>
      <c r="L638" s="617"/>
      <c r="M638" s="617"/>
      <c r="N638" s="617"/>
      <c r="O638" s="617"/>
      <c r="P638" s="617"/>
      <c r="Q638" s="617"/>
      <c r="R638" s="617"/>
      <c r="S638" s="617"/>
      <c r="T638" s="617"/>
      <c r="U638" s="617"/>
      <c r="V638" s="617"/>
      <c r="W638" s="617"/>
      <c r="X638" s="617"/>
    </row>
    <row r="639" ht="18.75" customHeight="1">
      <c r="A639" s="617"/>
      <c r="B639" s="617"/>
      <c r="C639" s="617"/>
      <c r="D639" s="617"/>
      <c r="E639" s="617"/>
      <c r="F639" s="617"/>
      <c r="G639" s="617"/>
      <c r="H639" s="617"/>
      <c r="I639" s="617"/>
      <c r="J639" s="617"/>
      <c r="K639" s="617"/>
      <c r="L639" s="617"/>
      <c r="M639" s="617"/>
      <c r="N639" s="617"/>
      <c r="O639" s="617"/>
      <c r="P639" s="617"/>
      <c r="Q639" s="617"/>
      <c r="R639" s="617"/>
      <c r="S639" s="617"/>
      <c r="T639" s="617"/>
      <c r="U639" s="617"/>
      <c r="V639" s="617"/>
      <c r="W639" s="617"/>
      <c r="X639" s="617"/>
    </row>
    <row r="640" ht="18.75" customHeight="1">
      <c r="A640" s="617"/>
      <c r="B640" s="617"/>
      <c r="C640" s="617"/>
      <c r="D640" s="617"/>
      <c r="E640" s="617"/>
      <c r="F640" s="617"/>
      <c r="G640" s="617"/>
      <c r="H640" s="617"/>
      <c r="I640" s="617"/>
      <c r="J640" s="617"/>
      <c r="K640" s="617"/>
      <c r="L640" s="617"/>
      <c r="M640" s="617"/>
      <c r="N640" s="617"/>
      <c r="O640" s="617"/>
      <c r="P640" s="617"/>
      <c r="Q640" s="617"/>
      <c r="R640" s="617"/>
      <c r="S640" s="617"/>
      <c r="T640" s="617"/>
      <c r="U640" s="617"/>
      <c r="V640" s="617"/>
      <c r="W640" s="617"/>
      <c r="X640" s="617"/>
    </row>
    <row r="641" ht="18.75" customHeight="1">
      <c r="A641" s="617"/>
      <c r="B641" s="617"/>
      <c r="C641" s="617"/>
      <c r="D641" s="617"/>
      <c r="E641" s="617"/>
      <c r="F641" s="617"/>
      <c r="G641" s="617"/>
      <c r="H641" s="617"/>
      <c r="I641" s="617"/>
      <c r="J641" s="617"/>
      <c r="K641" s="617"/>
      <c r="L641" s="617"/>
      <c r="M641" s="617"/>
      <c r="N641" s="617"/>
      <c r="O641" s="617"/>
      <c r="P641" s="617"/>
      <c r="Q641" s="617"/>
      <c r="R641" s="617"/>
      <c r="S641" s="617"/>
      <c r="T641" s="617"/>
      <c r="U641" s="617"/>
      <c r="V641" s="617"/>
      <c r="W641" s="617"/>
      <c r="X641" s="617"/>
    </row>
    <row r="642" ht="18.75" customHeight="1">
      <c r="A642" s="617"/>
      <c r="B642" s="617"/>
      <c r="C642" s="617"/>
      <c r="D642" s="617"/>
      <c r="E642" s="617"/>
      <c r="F642" s="617"/>
      <c r="G642" s="617"/>
      <c r="H642" s="617"/>
      <c r="I642" s="617"/>
      <c r="J642" s="617"/>
      <c r="K642" s="617"/>
      <c r="L642" s="617"/>
      <c r="M642" s="617"/>
      <c r="N642" s="617"/>
      <c r="O642" s="617"/>
      <c r="P642" s="617"/>
      <c r="Q642" s="617"/>
      <c r="R642" s="617"/>
      <c r="S642" s="617"/>
      <c r="T642" s="617"/>
      <c r="U642" s="617"/>
      <c r="V642" s="617"/>
      <c r="W642" s="617"/>
      <c r="X642" s="617"/>
    </row>
    <row r="643" ht="18.75" customHeight="1">
      <c r="A643" s="617"/>
      <c r="B643" s="617"/>
      <c r="C643" s="617"/>
      <c r="D643" s="617"/>
      <c r="E643" s="617"/>
      <c r="F643" s="617"/>
      <c r="G643" s="617"/>
      <c r="H643" s="617"/>
      <c r="I643" s="617"/>
      <c r="J643" s="617"/>
      <c r="K643" s="617"/>
      <c r="L643" s="617"/>
      <c r="M643" s="617"/>
      <c r="N643" s="617"/>
      <c r="O643" s="617"/>
      <c r="P643" s="617"/>
      <c r="Q643" s="617"/>
      <c r="R643" s="617"/>
      <c r="S643" s="617"/>
      <c r="T643" s="617"/>
      <c r="U643" s="617"/>
      <c r="V643" s="617"/>
      <c r="W643" s="617"/>
      <c r="X643" s="617"/>
    </row>
    <row r="644" ht="18.75" customHeight="1">
      <c r="A644" s="617"/>
      <c r="B644" s="617"/>
      <c r="C644" s="617"/>
      <c r="D644" s="617"/>
      <c r="E644" s="617"/>
      <c r="F644" s="617"/>
      <c r="G644" s="617"/>
      <c r="H644" s="617"/>
      <c r="I644" s="617"/>
      <c r="J644" s="617"/>
      <c r="K644" s="617"/>
      <c r="L644" s="617"/>
      <c r="M644" s="617"/>
      <c r="N644" s="617"/>
      <c r="O644" s="617"/>
      <c r="P644" s="617"/>
      <c r="Q644" s="617"/>
      <c r="R644" s="617"/>
      <c r="S644" s="617"/>
      <c r="T644" s="617"/>
      <c r="U644" s="617"/>
      <c r="V644" s="617"/>
      <c r="W644" s="617"/>
      <c r="X644" s="617"/>
    </row>
    <row r="645" ht="18.75" customHeight="1">
      <c r="A645" s="617"/>
      <c r="B645" s="617"/>
      <c r="C645" s="617"/>
      <c r="D645" s="617"/>
      <c r="E645" s="617"/>
      <c r="F645" s="617"/>
      <c r="G645" s="617"/>
      <c r="H645" s="617"/>
      <c r="I645" s="617"/>
      <c r="J645" s="617"/>
      <c r="K645" s="617"/>
      <c r="L645" s="617"/>
      <c r="M645" s="617"/>
      <c r="N645" s="617"/>
      <c r="O645" s="617"/>
      <c r="P645" s="617"/>
      <c r="Q645" s="617"/>
      <c r="R645" s="617"/>
      <c r="S645" s="617"/>
      <c r="T645" s="617"/>
      <c r="U645" s="617"/>
      <c r="V645" s="617"/>
      <c r="W645" s="617"/>
      <c r="X645" s="617"/>
    </row>
    <row r="646" ht="18.75" customHeight="1">
      <c r="A646" s="617"/>
      <c r="B646" s="617"/>
      <c r="C646" s="617"/>
      <c r="D646" s="617"/>
      <c r="E646" s="617"/>
      <c r="F646" s="617"/>
      <c r="G646" s="617"/>
      <c r="H646" s="617"/>
      <c r="I646" s="617"/>
      <c r="J646" s="617"/>
      <c r="K646" s="617"/>
      <c r="L646" s="617"/>
      <c r="M646" s="617"/>
      <c r="N646" s="617"/>
      <c r="O646" s="617"/>
      <c r="P646" s="617"/>
      <c r="Q646" s="617"/>
      <c r="R646" s="617"/>
      <c r="S646" s="617"/>
      <c r="T646" s="617"/>
      <c r="U646" s="617"/>
      <c r="V646" s="617"/>
      <c r="W646" s="617"/>
      <c r="X646" s="617"/>
    </row>
    <row r="647" ht="18.75" customHeight="1">
      <c r="A647" s="617"/>
      <c r="B647" s="617"/>
      <c r="C647" s="617"/>
      <c r="D647" s="617"/>
      <c r="E647" s="617"/>
      <c r="F647" s="617"/>
      <c r="G647" s="617"/>
      <c r="H647" s="617"/>
      <c r="I647" s="617"/>
      <c r="J647" s="617"/>
      <c r="K647" s="617"/>
      <c r="L647" s="617"/>
      <c r="M647" s="617"/>
      <c r="N647" s="617"/>
      <c r="O647" s="617"/>
      <c r="P647" s="617"/>
      <c r="Q647" s="617"/>
      <c r="R647" s="617"/>
      <c r="S647" s="617"/>
      <c r="T647" s="617"/>
      <c r="U647" s="617"/>
      <c r="V647" s="617"/>
      <c r="W647" s="617"/>
      <c r="X647" s="617"/>
    </row>
    <row r="648" ht="18.75" customHeight="1">
      <c r="A648" s="617"/>
      <c r="B648" s="617"/>
      <c r="C648" s="617"/>
      <c r="D648" s="617"/>
      <c r="E648" s="617"/>
      <c r="F648" s="617"/>
      <c r="G648" s="617"/>
      <c r="H648" s="617"/>
      <c r="I648" s="617"/>
      <c r="J648" s="617"/>
      <c r="K648" s="617"/>
      <c r="L648" s="617"/>
      <c r="M648" s="617"/>
      <c r="N648" s="617"/>
      <c r="O648" s="617"/>
      <c r="P648" s="617"/>
      <c r="Q648" s="617"/>
      <c r="R648" s="617"/>
      <c r="S648" s="617"/>
      <c r="T648" s="617"/>
      <c r="U648" s="617"/>
      <c r="V648" s="617"/>
      <c r="W648" s="617"/>
      <c r="X648" s="617"/>
    </row>
    <row r="649" ht="18.75" customHeight="1">
      <c r="A649" s="617"/>
      <c r="B649" s="617"/>
      <c r="C649" s="617"/>
      <c r="D649" s="617"/>
      <c r="E649" s="617"/>
      <c r="F649" s="617"/>
      <c r="G649" s="617"/>
      <c r="H649" s="617"/>
      <c r="I649" s="617"/>
      <c r="J649" s="617"/>
      <c r="K649" s="617"/>
      <c r="L649" s="617"/>
      <c r="M649" s="617"/>
      <c r="N649" s="617"/>
      <c r="O649" s="617"/>
      <c r="P649" s="617"/>
      <c r="Q649" s="617"/>
      <c r="R649" s="617"/>
      <c r="S649" s="617"/>
      <c r="T649" s="617"/>
      <c r="U649" s="617"/>
      <c r="V649" s="617"/>
      <c r="W649" s="617"/>
      <c r="X649" s="617"/>
    </row>
    <row r="650" ht="18.75" customHeight="1">
      <c r="A650" s="617"/>
      <c r="B650" s="617"/>
      <c r="C650" s="617"/>
      <c r="D650" s="617"/>
      <c r="E650" s="617"/>
      <c r="F650" s="617"/>
      <c r="G650" s="617"/>
      <c r="H650" s="617"/>
      <c r="I650" s="617"/>
      <c r="J650" s="617"/>
      <c r="K650" s="617"/>
      <c r="L650" s="617"/>
      <c r="M650" s="617"/>
      <c r="N650" s="617"/>
      <c r="O650" s="617"/>
      <c r="P650" s="617"/>
      <c r="Q650" s="617"/>
      <c r="R650" s="617"/>
      <c r="S650" s="617"/>
      <c r="T650" s="617"/>
      <c r="U650" s="617"/>
      <c r="V650" s="617"/>
      <c r="W650" s="617"/>
      <c r="X650" s="617"/>
    </row>
    <row r="651" ht="18.75" customHeight="1">
      <c r="A651" s="617"/>
      <c r="B651" s="617"/>
      <c r="C651" s="617"/>
      <c r="D651" s="617"/>
      <c r="E651" s="617"/>
      <c r="F651" s="617"/>
      <c r="G651" s="617"/>
      <c r="H651" s="617"/>
      <c r="I651" s="617"/>
      <c r="J651" s="617"/>
      <c r="K651" s="617"/>
      <c r="L651" s="617"/>
      <c r="M651" s="617"/>
      <c r="N651" s="617"/>
      <c r="O651" s="617"/>
      <c r="P651" s="617"/>
      <c r="Q651" s="617"/>
      <c r="R651" s="617"/>
      <c r="S651" s="617"/>
      <c r="T651" s="617"/>
      <c r="U651" s="617"/>
      <c r="V651" s="617"/>
      <c r="W651" s="617"/>
      <c r="X651" s="617"/>
    </row>
    <row r="652" ht="18.75" customHeight="1">
      <c r="A652" s="617"/>
      <c r="B652" s="617"/>
      <c r="C652" s="617"/>
      <c r="D652" s="617"/>
      <c r="E652" s="617"/>
      <c r="F652" s="617"/>
      <c r="G652" s="617"/>
      <c r="H652" s="617"/>
      <c r="I652" s="617"/>
      <c r="J652" s="617"/>
      <c r="K652" s="617"/>
      <c r="L652" s="617"/>
      <c r="M652" s="617"/>
      <c r="N652" s="617"/>
      <c r="O652" s="617"/>
      <c r="P652" s="617"/>
      <c r="Q652" s="617"/>
      <c r="R652" s="617"/>
      <c r="S652" s="617"/>
      <c r="T652" s="617"/>
      <c r="U652" s="617"/>
      <c r="V652" s="617"/>
      <c r="W652" s="617"/>
      <c r="X652" s="617"/>
    </row>
    <row r="653" ht="18.75" customHeight="1">
      <c r="A653" s="617"/>
      <c r="B653" s="617"/>
      <c r="C653" s="617"/>
      <c r="D653" s="617"/>
      <c r="E653" s="617"/>
      <c r="F653" s="617"/>
      <c r="G653" s="617"/>
      <c r="H653" s="617"/>
      <c r="I653" s="617"/>
      <c r="J653" s="617"/>
      <c r="K653" s="617"/>
      <c r="L653" s="617"/>
      <c r="M653" s="617"/>
      <c r="N653" s="617"/>
      <c r="O653" s="617"/>
      <c r="P653" s="617"/>
      <c r="Q653" s="617"/>
      <c r="R653" s="617"/>
      <c r="S653" s="617"/>
      <c r="T653" s="617"/>
      <c r="U653" s="617"/>
      <c r="V653" s="617"/>
      <c r="W653" s="617"/>
      <c r="X653" s="617"/>
    </row>
    <row r="654" ht="18.75" customHeight="1">
      <c r="A654" s="617"/>
      <c r="B654" s="617"/>
      <c r="C654" s="617"/>
      <c r="D654" s="617"/>
      <c r="E654" s="617"/>
      <c r="F654" s="617"/>
      <c r="G654" s="617"/>
      <c r="H654" s="617"/>
      <c r="I654" s="617"/>
      <c r="J654" s="617"/>
      <c r="K654" s="617"/>
      <c r="L654" s="617"/>
      <c r="M654" s="617"/>
      <c r="N654" s="617"/>
      <c r="O654" s="617"/>
      <c r="P654" s="617"/>
      <c r="Q654" s="617"/>
      <c r="R654" s="617"/>
      <c r="S654" s="617"/>
      <c r="T654" s="617"/>
      <c r="U654" s="617"/>
      <c r="V654" s="617"/>
      <c r="W654" s="617"/>
      <c r="X654" s="617"/>
    </row>
    <row r="655" ht="18.75" customHeight="1">
      <c r="A655" s="617"/>
      <c r="B655" s="617"/>
      <c r="C655" s="617"/>
      <c r="D655" s="617"/>
      <c r="E655" s="617"/>
      <c r="F655" s="617"/>
      <c r="G655" s="617"/>
      <c r="H655" s="617"/>
      <c r="I655" s="617"/>
      <c r="J655" s="617"/>
      <c r="K655" s="617"/>
      <c r="L655" s="617"/>
      <c r="M655" s="617"/>
      <c r="N655" s="617"/>
      <c r="O655" s="617"/>
      <c r="P655" s="617"/>
      <c r="Q655" s="617"/>
      <c r="R655" s="617"/>
      <c r="S655" s="617"/>
      <c r="T655" s="617"/>
      <c r="U655" s="617"/>
      <c r="V655" s="617"/>
      <c r="W655" s="617"/>
      <c r="X655" s="617"/>
    </row>
    <row r="656" ht="18.75" customHeight="1">
      <c r="A656" s="617"/>
      <c r="B656" s="617"/>
      <c r="C656" s="617"/>
      <c r="D656" s="617"/>
      <c r="E656" s="617"/>
      <c r="F656" s="617"/>
      <c r="G656" s="617"/>
      <c r="H656" s="617"/>
      <c r="I656" s="617"/>
      <c r="J656" s="617"/>
      <c r="K656" s="617"/>
      <c r="L656" s="617"/>
      <c r="M656" s="617"/>
      <c r="N656" s="617"/>
      <c r="O656" s="617"/>
      <c r="P656" s="617"/>
      <c r="Q656" s="617"/>
      <c r="R656" s="617"/>
      <c r="S656" s="617"/>
      <c r="T656" s="617"/>
      <c r="U656" s="617"/>
      <c r="V656" s="617"/>
      <c r="W656" s="617"/>
      <c r="X656" s="617"/>
    </row>
    <row r="657" ht="18.75" customHeight="1">
      <c r="A657" s="617"/>
      <c r="B657" s="617"/>
      <c r="C657" s="617"/>
      <c r="D657" s="617"/>
      <c r="E657" s="617"/>
      <c r="F657" s="617"/>
      <c r="G657" s="617"/>
      <c r="H657" s="617"/>
      <c r="I657" s="617"/>
      <c r="J657" s="617"/>
      <c r="K657" s="617"/>
      <c r="L657" s="617"/>
      <c r="M657" s="617"/>
      <c r="N657" s="617"/>
      <c r="O657" s="617"/>
      <c r="P657" s="617"/>
      <c r="Q657" s="617"/>
      <c r="R657" s="617"/>
      <c r="S657" s="617"/>
      <c r="T657" s="617"/>
      <c r="U657" s="617"/>
      <c r="V657" s="617"/>
      <c r="W657" s="617"/>
      <c r="X657" s="617"/>
    </row>
    <row r="658" ht="18.75" customHeight="1">
      <c r="A658" s="617"/>
      <c r="B658" s="617"/>
      <c r="C658" s="617"/>
      <c r="D658" s="617"/>
      <c r="E658" s="617"/>
      <c r="F658" s="617"/>
      <c r="G658" s="617"/>
      <c r="H658" s="617"/>
      <c r="I658" s="617"/>
      <c r="J658" s="617"/>
      <c r="K658" s="617"/>
      <c r="L658" s="617"/>
      <c r="M658" s="617"/>
      <c r="N658" s="617"/>
      <c r="O658" s="617"/>
      <c r="P658" s="617"/>
      <c r="Q658" s="617"/>
      <c r="R658" s="617"/>
      <c r="S658" s="617"/>
      <c r="T658" s="617"/>
      <c r="U658" s="617"/>
      <c r="V658" s="617"/>
      <c r="W658" s="617"/>
      <c r="X658" s="617"/>
    </row>
    <row r="659" ht="18.75" customHeight="1">
      <c r="A659" s="617"/>
      <c r="B659" s="617"/>
      <c r="C659" s="617"/>
      <c r="D659" s="617"/>
      <c r="E659" s="617"/>
      <c r="F659" s="617"/>
      <c r="G659" s="617"/>
      <c r="H659" s="617"/>
      <c r="I659" s="617"/>
      <c r="J659" s="617"/>
      <c r="K659" s="617"/>
      <c r="L659" s="617"/>
      <c r="M659" s="617"/>
      <c r="N659" s="617"/>
      <c r="O659" s="617"/>
      <c r="P659" s="617"/>
      <c r="Q659" s="617"/>
      <c r="R659" s="617"/>
      <c r="S659" s="617"/>
      <c r="T659" s="617"/>
      <c r="U659" s="617"/>
      <c r="V659" s="617"/>
      <c r="W659" s="617"/>
      <c r="X659" s="617"/>
    </row>
    <row r="660" ht="18.75" customHeight="1">
      <c r="A660" s="617"/>
      <c r="B660" s="617"/>
      <c r="C660" s="617"/>
      <c r="D660" s="617"/>
      <c r="E660" s="617"/>
      <c r="F660" s="617"/>
      <c r="G660" s="617"/>
      <c r="H660" s="617"/>
      <c r="I660" s="617"/>
      <c r="J660" s="617"/>
      <c r="K660" s="617"/>
      <c r="L660" s="617"/>
      <c r="M660" s="617"/>
      <c r="N660" s="617"/>
      <c r="O660" s="617"/>
      <c r="P660" s="617"/>
      <c r="Q660" s="617"/>
      <c r="R660" s="617"/>
      <c r="S660" s="617"/>
      <c r="T660" s="617"/>
      <c r="U660" s="617"/>
      <c r="V660" s="617"/>
      <c r="W660" s="617"/>
      <c r="X660" s="617"/>
    </row>
    <row r="661" ht="18.75" customHeight="1">
      <c r="A661" s="617"/>
      <c r="B661" s="617"/>
      <c r="C661" s="617"/>
      <c r="D661" s="617"/>
      <c r="E661" s="617"/>
      <c r="F661" s="617"/>
      <c r="G661" s="617"/>
      <c r="H661" s="617"/>
      <c r="I661" s="617"/>
      <c r="J661" s="617"/>
      <c r="K661" s="617"/>
      <c r="L661" s="617"/>
      <c r="M661" s="617"/>
      <c r="N661" s="617"/>
      <c r="O661" s="617"/>
      <c r="P661" s="617"/>
      <c r="Q661" s="617"/>
      <c r="R661" s="617"/>
      <c r="S661" s="617"/>
      <c r="T661" s="617"/>
      <c r="U661" s="617"/>
      <c r="V661" s="617"/>
      <c r="W661" s="617"/>
      <c r="X661" s="617"/>
    </row>
    <row r="662" ht="18.75" customHeight="1">
      <c r="A662" s="617"/>
      <c r="B662" s="617"/>
      <c r="C662" s="617"/>
      <c r="D662" s="617"/>
      <c r="E662" s="617"/>
      <c r="F662" s="617"/>
      <c r="G662" s="617"/>
      <c r="H662" s="617"/>
      <c r="I662" s="617"/>
      <c r="J662" s="617"/>
      <c r="K662" s="617"/>
      <c r="L662" s="617"/>
      <c r="M662" s="617"/>
      <c r="N662" s="617"/>
      <c r="O662" s="617"/>
      <c r="P662" s="617"/>
      <c r="Q662" s="617"/>
      <c r="R662" s="617"/>
      <c r="S662" s="617"/>
      <c r="T662" s="617"/>
      <c r="U662" s="617"/>
      <c r="V662" s="617"/>
      <c r="W662" s="617"/>
      <c r="X662" s="617"/>
    </row>
    <row r="663" ht="18.75" customHeight="1">
      <c r="A663" s="617"/>
      <c r="B663" s="617"/>
      <c r="C663" s="617"/>
      <c r="D663" s="617"/>
      <c r="E663" s="617"/>
      <c r="F663" s="617"/>
      <c r="G663" s="617"/>
      <c r="H663" s="617"/>
      <c r="I663" s="617"/>
      <c r="J663" s="617"/>
      <c r="K663" s="617"/>
      <c r="L663" s="617"/>
      <c r="M663" s="617"/>
      <c r="N663" s="617"/>
      <c r="O663" s="617"/>
      <c r="P663" s="617"/>
      <c r="Q663" s="617"/>
      <c r="R663" s="617"/>
      <c r="S663" s="617"/>
      <c r="T663" s="617"/>
      <c r="U663" s="617"/>
      <c r="V663" s="617"/>
      <c r="W663" s="617"/>
      <c r="X663" s="617"/>
    </row>
    <row r="664" ht="18.75" customHeight="1">
      <c r="A664" s="617"/>
      <c r="B664" s="617"/>
      <c r="C664" s="617"/>
      <c r="D664" s="617"/>
      <c r="E664" s="617"/>
      <c r="F664" s="617"/>
      <c r="G664" s="617"/>
      <c r="H664" s="617"/>
      <c r="I664" s="617"/>
      <c r="J664" s="617"/>
      <c r="K664" s="617"/>
      <c r="L664" s="617"/>
      <c r="M664" s="617"/>
      <c r="N664" s="617"/>
      <c r="O664" s="617"/>
      <c r="P664" s="617"/>
      <c r="Q664" s="617"/>
      <c r="R664" s="617"/>
      <c r="S664" s="617"/>
      <c r="T664" s="617"/>
      <c r="U664" s="617"/>
      <c r="V664" s="617"/>
      <c r="W664" s="617"/>
      <c r="X664" s="617"/>
    </row>
    <row r="665" ht="18.75" customHeight="1">
      <c r="A665" s="617"/>
      <c r="B665" s="617"/>
      <c r="C665" s="617"/>
      <c r="D665" s="617"/>
      <c r="E665" s="617"/>
      <c r="F665" s="617"/>
      <c r="G665" s="617"/>
      <c r="H665" s="617"/>
      <c r="I665" s="617"/>
      <c r="J665" s="617"/>
      <c r="K665" s="617"/>
      <c r="L665" s="617"/>
      <c r="M665" s="617"/>
      <c r="N665" s="617"/>
      <c r="O665" s="617"/>
      <c r="P665" s="617"/>
      <c r="Q665" s="617"/>
      <c r="R665" s="617"/>
      <c r="S665" s="617"/>
      <c r="T665" s="617"/>
      <c r="U665" s="617"/>
      <c r="V665" s="617"/>
      <c r="W665" s="617"/>
      <c r="X665" s="617"/>
    </row>
    <row r="666" ht="18.75" customHeight="1">
      <c r="A666" s="617"/>
      <c r="B666" s="617"/>
      <c r="C666" s="617"/>
      <c r="D666" s="617"/>
      <c r="E666" s="617"/>
      <c r="F666" s="617"/>
      <c r="G666" s="617"/>
      <c r="H666" s="617"/>
      <c r="I666" s="617"/>
      <c r="J666" s="617"/>
      <c r="K666" s="617"/>
      <c r="L666" s="617"/>
      <c r="M666" s="617"/>
      <c r="N666" s="617"/>
      <c r="O666" s="617"/>
      <c r="P666" s="617"/>
      <c r="Q666" s="617"/>
      <c r="R666" s="617"/>
      <c r="S666" s="617"/>
      <c r="T666" s="617"/>
      <c r="U666" s="617"/>
      <c r="V666" s="617"/>
      <c r="W666" s="617"/>
      <c r="X666" s="617"/>
    </row>
    <row r="667" ht="18.75" customHeight="1">
      <c r="A667" s="617"/>
      <c r="B667" s="617"/>
      <c r="C667" s="617"/>
      <c r="D667" s="617"/>
      <c r="E667" s="617"/>
      <c r="F667" s="617"/>
      <c r="G667" s="617"/>
      <c r="H667" s="617"/>
      <c r="I667" s="617"/>
      <c r="J667" s="617"/>
      <c r="K667" s="617"/>
      <c r="L667" s="617"/>
      <c r="M667" s="617"/>
      <c r="N667" s="617"/>
      <c r="O667" s="617"/>
      <c r="P667" s="617"/>
      <c r="Q667" s="617"/>
      <c r="R667" s="617"/>
      <c r="S667" s="617"/>
      <c r="T667" s="617"/>
      <c r="U667" s="617"/>
      <c r="V667" s="617"/>
      <c r="W667" s="617"/>
      <c r="X667" s="617"/>
    </row>
    <row r="668" ht="18.75" customHeight="1">
      <c r="A668" s="617"/>
      <c r="B668" s="617"/>
      <c r="C668" s="617"/>
      <c r="D668" s="617"/>
      <c r="E668" s="617"/>
      <c r="F668" s="617"/>
      <c r="G668" s="617"/>
      <c r="H668" s="617"/>
      <c r="I668" s="617"/>
      <c r="J668" s="617"/>
      <c r="K668" s="617"/>
      <c r="L668" s="617"/>
      <c r="M668" s="617"/>
      <c r="N668" s="617"/>
      <c r="O668" s="617"/>
      <c r="P668" s="617"/>
      <c r="Q668" s="617"/>
      <c r="R668" s="617"/>
      <c r="S668" s="617"/>
      <c r="T668" s="617"/>
      <c r="U668" s="617"/>
      <c r="V668" s="617"/>
      <c r="W668" s="617"/>
      <c r="X668" s="617"/>
    </row>
    <row r="669" ht="18.75" customHeight="1">
      <c r="A669" s="617"/>
      <c r="B669" s="617"/>
      <c r="C669" s="617"/>
      <c r="D669" s="617"/>
      <c r="E669" s="617"/>
      <c r="F669" s="617"/>
      <c r="G669" s="617"/>
      <c r="H669" s="617"/>
      <c r="I669" s="617"/>
      <c r="J669" s="617"/>
      <c r="K669" s="617"/>
      <c r="L669" s="617"/>
      <c r="M669" s="617"/>
      <c r="N669" s="617"/>
      <c r="O669" s="617"/>
      <c r="P669" s="617"/>
      <c r="Q669" s="617"/>
      <c r="R669" s="617"/>
      <c r="S669" s="617"/>
      <c r="T669" s="617"/>
      <c r="U669" s="617"/>
      <c r="V669" s="617"/>
      <c r="W669" s="617"/>
      <c r="X669" s="617"/>
    </row>
    <row r="670" ht="18.75" customHeight="1">
      <c r="A670" s="617"/>
      <c r="B670" s="617"/>
      <c r="C670" s="617"/>
      <c r="D670" s="617"/>
      <c r="E670" s="617"/>
      <c r="F670" s="617"/>
      <c r="G670" s="617"/>
      <c r="H670" s="617"/>
      <c r="I670" s="617"/>
      <c r="J670" s="617"/>
      <c r="K670" s="617"/>
      <c r="L670" s="617"/>
      <c r="M670" s="617"/>
      <c r="N670" s="617"/>
      <c r="O670" s="617"/>
      <c r="P670" s="617"/>
      <c r="Q670" s="617"/>
      <c r="R670" s="617"/>
      <c r="S670" s="617"/>
      <c r="T670" s="617"/>
      <c r="U670" s="617"/>
      <c r="V670" s="617"/>
      <c r="W670" s="617"/>
      <c r="X670" s="617"/>
    </row>
    <row r="671" ht="18.75" customHeight="1">
      <c r="A671" s="617"/>
      <c r="B671" s="617"/>
      <c r="C671" s="617"/>
      <c r="D671" s="617"/>
      <c r="E671" s="617"/>
      <c r="F671" s="617"/>
      <c r="G671" s="617"/>
      <c r="H671" s="617"/>
      <c r="I671" s="617"/>
      <c r="J671" s="617"/>
      <c r="K671" s="617"/>
      <c r="L671" s="617"/>
      <c r="M671" s="617"/>
      <c r="N671" s="617"/>
      <c r="O671" s="617"/>
      <c r="P671" s="617"/>
      <c r="Q671" s="617"/>
      <c r="R671" s="617"/>
      <c r="S671" s="617"/>
      <c r="T671" s="617"/>
      <c r="U671" s="617"/>
      <c r="V671" s="617"/>
      <c r="W671" s="617"/>
      <c r="X671" s="617"/>
    </row>
    <row r="672" ht="18.75" customHeight="1">
      <c r="A672" s="617"/>
      <c r="B672" s="617"/>
      <c r="C672" s="617"/>
      <c r="D672" s="617"/>
      <c r="E672" s="617"/>
      <c r="F672" s="617"/>
      <c r="G672" s="617"/>
      <c r="H672" s="617"/>
      <c r="I672" s="617"/>
      <c r="J672" s="617"/>
      <c r="K672" s="617"/>
      <c r="L672" s="617"/>
      <c r="M672" s="617"/>
      <c r="N672" s="617"/>
      <c r="O672" s="617"/>
      <c r="P672" s="617"/>
      <c r="Q672" s="617"/>
      <c r="R672" s="617"/>
      <c r="S672" s="617"/>
      <c r="T672" s="617"/>
      <c r="U672" s="617"/>
      <c r="V672" s="617"/>
      <c r="W672" s="617"/>
      <c r="X672" s="617"/>
    </row>
    <row r="673" ht="18.75" customHeight="1">
      <c r="A673" s="617"/>
      <c r="B673" s="617"/>
      <c r="C673" s="617"/>
      <c r="D673" s="617"/>
      <c r="E673" s="617"/>
      <c r="F673" s="617"/>
      <c r="G673" s="617"/>
      <c r="H673" s="617"/>
      <c r="I673" s="617"/>
      <c r="J673" s="617"/>
      <c r="K673" s="617"/>
      <c r="L673" s="617"/>
      <c r="M673" s="617"/>
      <c r="N673" s="617"/>
      <c r="O673" s="617"/>
      <c r="P673" s="617"/>
      <c r="Q673" s="617"/>
      <c r="R673" s="617"/>
      <c r="S673" s="617"/>
      <c r="T673" s="617"/>
      <c r="U673" s="617"/>
      <c r="V673" s="617"/>
      <c r="W673" s="617"/>
      <c r="X673" s="617"/>
    </row>
    <row r="674" ht="18.75" customHeight="1">
      <c r="A674" s="617"/>
      <c r="B674" s="617"/>
      <c r="C674" s="617"/>
      <c r="D674" s="617"/>
      <c r="E674" s="617"/>
      <c r="F674" s="617"/>
      <c r="G674" s="617"/>
      <c r="H674" s="617"/>
      <c r="I674" s="617"/>
      <c r="J674" s="617"/>
      <c r="K674" s="617"/>
      <c r="L674" s="617"/>
      <c r="M674" s="617"/>
      <c r="N674" s="617"/>
      <c r="O674" s="617"/>
      <c r="P674" s="617"/>
      <c r="Q674" s="617"/>
      <c r="R674" s="617"/>
      <c r="S674" s="617"/>
      <c r="T674" s="617"/>
      <c r="U674" s="617"/>
      <c r="V674" s="617"/>
      <c r="W674" s="617"/>
      <c r="X674" s="617"/>
    </row>
    <row r="675" ht="18.75" customHeight="1">
      <c r="A675" s="617"/>
      <c r="B675" s="617"/>
      <c r="C675" s="617"/>
      <c r="D675" s="617"/>
      <c r="E675" s="617"/>
      <c r="F675" s="617"/>
      <c r="G675" s="617"/>
      <c r="H675" s="617"/>
      <c r="I675" s="617"/>
      <c r="J675" s="617"/>
      <c r="K675" s="617"/>
      <c r="L675" s="617"/>
      <c r="M675" s="617"/>
      <c r="N675" s="617"/>
      <c r="O675" s="617"/>
      <c r="P675" s="617"/>
      <c r="Q675" s="617"/>
      <c r="R675" s="617"/>
      <c r="S675" s="617"/>
      <c r="T675" s="617"/>
      <c r="U675" s="617"/>
      <c r="V675" s="617"/>
      <c r="W675" s="617"/>
      <c r="X675" s="617"/>
    </row>
    <row r="676" ht="18.75" customHeight="1">
      <c r="A676" s="617"/>
      <c r="B676" s="617"/>
      <c r="C676" s="617"/>
      <c r="D676" s="617"/>
      <c r="E676" s="617"/>
      <c r="F676" s="617"/>
      <c r="G676" s="617"/>
      <c r="H676" s="617"/>
      <c r="I676" s="617"/>
      <c r="J676" s="617"/>
      <c r="K676" s="617"/>
      <c r="L676" s="617"/>
      <c r="M676" s="617"/>
      <c r="N676" s="617"/>
      <c r="O676" s="617"/>
      <c r="P676" s="617"/>
      <c r="Q676" s="617"/>
      <c r="R676" s="617"/>
      <c r="S676" s="617"/>
      <c r="T676" s="617"/>
      <c r="U676" s="617"/>
      <c r="V676" s="617"/>
      <c r="W676" s="617"/>
      <c r="X676" s="617"/>
    </row>
    <row r="677" ht="18.75" customHeight="1">
      <c r="A677" s="617"/>
      <c r="B677" s="617"/>
      <c r="C677" s="617"/>
      <c r="D677" s="617"/>
      <c r="E677" s="617"/>
      <c r="F677" s="617"/>
      <c r="G677" s="617"/>
      <c r="H677" s="617"/>
      <c r="I677" s="617"/>
      <c r="J677" s="617"/>
      <c r="K677" s="617"/>
      <c r="L677" s="617"/>
      <c r="M677" s="617"/>
      <c r="N677" s="617"/>
      <c r="O677" s="617"/>
      <c r="P677" s="617"/>
      <c r="Q677" s="617"/>
      <c r="R677" s="617"/>
      <c r="S677" s="617"/>
      <c r="T677" s="617"/>
      <c r="U677" s="617"/>
      <c r="V677" s="617"/>
      <c r="W677" s="617"/>
      <c r="X677" s="617"/>
    </row>
    <row r="678" ht="18.75" customHeight="1">
      <c r="A678" s="617"/>
      <c r="B678" s="617"/>
      <c r="C678" s="617"/>
      <c r="D678" s="617"/>
      <c r="E678" s="617"/>
      <c r="F678" s="617"/>
      <c r="G678" s="617"/>
      <c r="H678" s="617"/>
      <c r="I678" s="617"/>
      <c r="J678" s="617"/>
      <c r="K678" s="617"/>
      <c r="L678" s="617"/>
      <c r="M678" s="617"/>
      <c r="N678" s="617"/>
      <c r="O678" s="617"/>
      <c r="P678" s="617"/>
      <c r="Q678" s="617"/>
      <c r="R678" s="617"/>
      <c r="S678" s="617"/>
      <c r="T678" s="617"/>
      <c r="U678" s="617"/>
      <c r="V678" s="617"/>
      <c r="W678" s="617"/>
      <c r="X678" s="617"/>
    </row>
    <row r="679" ht="18.75" customHeight="1">
      <c r="A679" s="617"/>
      <c r="B679" s="617"/>
      <c r="C679" s="617"/>
      <c r="D679" s="617"/>
      <c r="E679" s="617"/>
      <c r="F679" s="617"/>
      <c r="G679" s="617"/>
      <c r="H679" s="617"/>
      <c r="I679" s="617"/>
      <c r="J679" s="617"/>
      <c r="K679" s="617"/>
      <c r="L679" s="617"/>
      <c r="M679" s="617"/>
      <c r="N679" s="617"/>
      <c r="O679" s="617"/>
      <c r="P679" s="617"/>
      <c r="Q679" s="617"/>
      <c r="R679" s="617"/>
      <c r="S679" s="617"/>
      <c r="T679" s="617"/>
      <c r="U679" s="617"/>
      <c r="V679" s="617"/>
      <c r="W679" s="617"/>
      <c r="X679" s="617"/>
    </row>
    <row r="680" ht="18.75" customHeight="1">
      <c r="A680" s="617"/>
      <c r="B680" s="617"/>
      <c r="C680" s="617"/>
      <c r="D680" s="617"/>
      <c r="E680" s="617"/>
      <c r="F680" s="617"/>
      <c r="G680" s="617"/>
      <c r="H680" s="617"/>
      <c r="I680" s="617"/>
      <c r="J680" s="617"/>
      <c r="K680" s="617"/>
      <c r="L680" s="617"/>
      <c r="M680" s="617"/>
      <c r="N680" s="617"/>
      <c r="O680" s="617"/>
      <c r="P680" s="617"/>
      <c r="Q680" s="617"/>
      <c r="R680" s="617"/>
      <c r="S680" s="617"/>
      <c r="T680" s="617"/>
      <c r="U680" s="617"/>
      <c r="V680" s="617"/>
      <c r="W680" s="617"/>
      <c r="X680" s="617"/>
    </row>
    <row r="681" ht="18.75" customHeight="1">
      <c r="A681" s="617"/>
      <c r="B681" s="617"/>
      <c r="C681" s="617"/>
      <c r="D681" s="617"/>
      <c r="E681" s="617"/>
      <c r="F681" s="617"/>
      <c r="G681" s="617"/>
      <c r="H681" s="617"/>
      <c r="I681" s="617"/>
      <c r="J681" s="617"/>
      <c r="K681" s="617"/>
      <c r="L681" s="617"/>
      <c r="M681" s="617"/>
      <c r="N681" s="617"/>
      <c r="O681" s="617"/>
      <c r="P681" s="617"/>
      <c r="Q681" s="617"/>
      <c r="R681" s="617"/>
      <c r="S681" s="617"/>
      <c r="T681" s="617"/>
      <c r="U681" s="617"/>
      <c r="V681" s="617"/>
      <c r="W681" s="617"/>
      <c r="X681" s="617"/>
    </row>
    <row r="682" ht="18.75" customHeight="1">
      <c r="A682" s="617"/>
      <c r="B682" s="617"/>
      <c r="C682" s="617"/>
      <c r="D682" s="617"/>
      <c r="E682" s="617"/>
      <c r="F682" s="617"/>
      <c r="G682" s="617"/>
      <c r="H682" s="617"/>
      <c r="I682" s="617"/>
      <c r="J682" s="617"/>
      <c r="K682" s="617"/>
      <c r="L682" s="617"/>
      <c r="M682" s="617"/>
      <c r="N682" s="617"/>
      <c r="O682" s="617"/>
      <c r="P682" s="617"/>
      <c r="Q682" s="617"/>
      <c r="R682" s="617"/>
      <c r="S682" s="617"/>
      <c r="T682" s="617"/>
      <c r="U682" s="617"/>
      <c r="V682" s="617"/>
      <c r="W682" s="617"/>
      <c r="X682" s="617"/>
    </row>
    <row r="683" ht="18.75" customHeight="1">
      <c r="A683" s="617"/>
      <c r="B683" s="617"/>
      <c r="C683" s="617"/>
      <c r="D683" s="617"/>
      <c r="E683" s="617"/>
      <c r="F683" s="617"/>
      <c r="G683" s="617"/>
      <c r="H683" s="617"/>
      <c r="I683" s="617"/>
      <c r="J683" s="617"/>
      <c r="K683" s="617"/>
      <c r="L683" s="617"/>
      <c r="M683" s="617"/>
      <c r="N683" s="617"/>
      <c r="O683" s="617"/>
      <c r="P683" s="617"/>
      <c r="Q683" s="617"/>
      <c r="R683" s="617"/>
      <c r="S683" s="617"/>
      <c r="T683" s="617"/>
      <c r="U683" s="617"/>
      <c r="V683" s="617"/>
      <c r="W683" s="617"/>
      <c r="X683" s="617"/>
    </row>
    <row r="684" ht="18.75" customHeight="1">
      <c r="A684" s="617"/>
      <c r="B684" s="617"/>
      <c r="C684" s="617"/>
      <c r="D684" s="617"/>
      <c r="E684" s="617"/>
      <c r="F684" s="617"/>
      <c r="G684" s="617"/>
      <c r="H684" s="617"/>
      <c r="I684" s="617"/>
      <c r="J684" s="617"/>
      <c r="K684" s="617"/>
      <c r="L684" s="617"/>
      <c r="M684" s="617"/>
      <c r="N684" s="617"/>
      <c r="O684" s="617"/>
      <c r="P684" s="617"/>
      <c r="Q684" s="617"/>
      <c r="R684" s="617"/>
      <c r="S684" s="617"/>
      <c r="T684" s="617"/>
      <c r="U684" s="617"/>
      <c r="V684" s="617"/>
      <c r="W684" s="617"/>
      <c r="X684" s="617"/>
    </row>
    <row r="685" ht="18.75" customHeight="1">
      <c r="A685" s="617"/>
      <c r="B685" s="617"/>
      <c r="C685" s="617"/>
      <c r="D685" s="617"/>
      <c r="E685" s="617"/>
      <c r="F685" s="617"/>
      <c r="G685" s="617"/>
      <c r="H685" s="617"/>
      <c r="I685" s="617"/>
      <c r="J685" s="617"/>
      <c r="K685" s="617"/>
      <c r="L685" s="617"/>
      <c r="M685" s="617"/>
      <c r="N685" s="617"/>
      <c r="O685" s="617"/>
      <c r="P685" s="617"/>
      <c r="Q685" s="617"/>
      <c r="R685" s="617"/>
      <c r="S685" s="617"/>
      <c r="T685" s="617"/>
      <c r="U685" s="617"/>
      <c r="V685" s="617"/>
      <c r="W685" s="617"/>
      <c r="X685" s="617"/>
    </row>
    <row r="686" ht="18.75" customHeight="1">
      <c r="A686" s="617"/>
      <c r="B686" s="617"/>
      <c r="C686" s="617"/>
      <c r="D686" s="617"/>
      <c r="E686" s="617"/>
      <c r="F686" s="617"/>
      <c r="G686" s="617"/>
      <c r="H686" s="617"/>
      <c r="I686" s="617"/>
      <c r="J686" s="617"/>
      <c r="K686" s="617"/>
      <c r="L686" s="617"/>
      <c r="M686" s="617"/>
      <c r="N686" s="617"/>
      <c r="O686" s="617"/>
      <c r="P686" s="617"/>
      <c r="Q686" s="617"/>
      <c r="R686" s="617"/>
      <c r="S686" s="617"/>
      <c r="T686" s="617"/>
      <c r="U686" s="617"/>
      <c r="V686" s="617"/>
      <c r="W686" s="617"/>
      <c r="X686" s="617"/>
    </row>
    <row r="687" ht="18.75" customHeight="1">
      <c r="A687" s="617"/>
      <c r="B687" s="617"/>
      <c r="C687" s="617"/>
      <c r="D687" s="617"/>
      <c r="E687" s="617"/>
      <c r="F687" s="617"/>
      <c r="G687" s="617"/>
      <c r="H687" s="617"/>
      <c r="I687" s="617"/>
      <c r="J687" s="617"/>
      <c r="K687" s="617"/>
      <c r="L687" s="617"/>
      <c r="M687" s="617"/>
      <c r="N687" s="617"/>
      <c r="O687" s="617"/>
      <c r="P687" s="617"/>
      <c r="Q687" s="617"/>
      <c r="R687" s="617"/>
      <c r="S687" s="617"/>
      <c r="T687" s="617"/>
      <c r="U687" s="617"/>
      <c r="V687" s="617"/>
      <c r="W687" s="617"/>
      <c r="X687" s="617"/>
    </row>
    <row r="688" ht="18.75" customHeight="1">
      <c r="A688" s="617"/>
      <c r="B688" s="617"/>
      <c r="C688" s="617"/>
      <c r="D688" s="617"/>
      <c r="E688" s="617"/>
      <c r="F688" s="617"/>
      <c r="G688" s="617"/>
      <c r="H688" s="617"/>
      <c r="I688" s="617"/>
      <c r="J688" s="617"/>
      <c r="K688" s="617"/>
      <c r="L688" s="617"/>
      <c r="M688" s="617"/>
      <c r="N688" s="617"/>
      <c r="O688" s="617"/>
      <c r="P688" s="617"/>
      <c r="Q688" s="617"/>
      <c r="R688" s="617"/>
      <c r="S688" s="617"/>
      <c r="T688" s="617"/>
      <c r="U688" s="617"/>
      <c r="V688" s="617"/>
      <c r="W688" s="617"/>
      <c r="X688" s="617"/>
    </row>
    <row r="689" ht="18.75" customHeight="1">
      <c r="A689" s="617"/>
      <c r="B689" s="617"/>
      <c r="C689" s="617"/>
      <c r="D689" s="617"/>
      <c r="E689" s="617"/>
      <c r="F689" s="617"/>
      <c r="G689" s="617"/>
      <c r="H689" s="617"/>
      <c r="I689" s="617"/>
      <c r="J689" s="617"/>
      <c r="K689" s="617"/>
      <c r="L689" s="617"/>
      <c r="M689" s="617"/>
      <c r="N689" s="617"/>
      <c r="O689" s="617"/>
      <c r="P689" s="617"/>
      <c r="Q689" s="617"/>
      <c r="R689" s="617"/>
      <c r="S689" s="617"/>
      <c r="T689" s="617"/>
      <c r="U689" s="617"/>
      <c r="V689" s="617"/>
      <c r="W689" s="617"/>
      <c r="X689" s="617"/>
    </row>
    <row r="690" ht="18.75" customHeight="1">
      <c r="A690" s="617"/>
      <c r="B690" s="617"/>
      <c r="C690" s="617"/>
      <c r="D690" s="617"/>
      <c r="E690" s="617"/>
      <c r="F690" s="617"/>
      <c r="G690" s="617"/>
      <c r="H690" s="617"/>
      <c r="I690" s="617"/>
      <c r="J690" s="617"/>
      <c r="K690" s="617"/>
      <c r="L690" s="617"/>
      <c r="M690" s="617"/>
      <c r="N690" s="617"/>
      <c r="O690" s="617"/>
      <c r="P690" s="617"/>
      <c r="Q690" s="617"/>
      <c r="R690" s="617"/>
      <c r="S690" s="617"/>
      <c r="T690" s="617"/>
      <c r="U690" s="617"/>
      <c r="V690" s="617"/>
      <c r="W690" s="617"/>
      <c r="X690" s="617"/>
    </row>
    <row r="691" ht="18.75" customHeight="1">
      <c r="A691" s="617"/>
      <c r="B691" s="617"/>
      <c r="C691" s="617"/>
      <c r="D691" s="617"/>
      <c r="E691" s="617"/>
      <c r="F691" s="617"/>
      <c r="G691" s="617"/>
      <c r="H691" s="617"/>
      <c r="I691" s="617"/>
      <c r="J691" s="617"/>
      <c r="K691" s="617"/>
      <c r="L691" s="617"/>
      <c r="M691" s="617"/>
      <c r="N691" s="617"/>
      <c r="O691" s="617"/>
      <c r="P691" s="617"/>
      <c r="Q691" s="617"/>
      <c r="R691" s="617"/>
      <c r="S691" s="617"/>
      <c r="T691" s="617"/>
      <c r="U691" s="617"/>
      <c r="V691" s="617"/>
      <c r="W691" s="617"/>
      <c r="X691" s="617"/>
    </row>
    <row r="692" ht="18.75" customHeight="1">
      <c r="A692" s="617"/>
      <c r="B692" s="617"/>
      <c r="C692" s="617"/>
      <c r="D692" s="617"/>
      <c r="E692" s="617"/>
      <c r="F692" s="617"/>
      <c r="G692" s="617"/>
      <c r="H692" s="617"/>
      <c r="I692" s="617"/>
      <c r="J692" s="617"/>
      <c r="K692" s="617"/>
      <c r="L692" s="617"/>
      <c r="M692" s="617"/>
      <c r="N692" s="617"/>
      <c r="O692" s="617"/>
      <c r="P692" s="617"/>
      <c r="Q692" s="617"/>
      <c r="R692" s="617"/>
      <c r="S692" s="617"/>
      <c r="T692" s="617"/>
      <c r="U692" s="617"/>
      <c r="V692" s="617"/>
      <c r="W692" s="617"/>
      <c r="X692" s="617"/>
    </row>
    <row r="693" ht="18.75" customHeight="1">
      <c r="A693" s="617"/>
      <c r="B693" s="617"/>
      <c r="C693" s="617"/>
      <c r="D693" s="617"/>
      <c r="E693" s="617"/>
      <c r="F693" s="617"/>
      <c r="G693" s="617"/>
      <c r="H693" s="617"/>
      <c r="I693" s="617"/>
      <c r="J693" s="617"/>
      <c r="K693" s="617"/>
      <c r="L693" s="617"/>
      <c r="M693" s="617"/>
      <c r="N693" s="617"/>
      <c r="O693" s="617"/>
      <c r="P693" s="617"/>
      <c r="Q693" s="617"/>
      <c r="R693" s="617"/>
      <c r="S693" s="617"/>
      <c r="T693" s="617"/>
      <c r="U693" s="617"/>
      <c r="V693" s="617"/>
      <c r="W693" s="617"/>
      <c r="X693" s="617"/>
    </row>
    <row r="694" ht="18.75" customHeight="1">
      <c r="A694" s="617"/>
      <c r="B694" s="617"/>
      <c r="C694" s="617"/>
      <c r="D694" s="617"/>
      <c r="E694" s="617"/>
      <c r="F694" s="617"/>
      <c r="G694" s="617"/>
      <c r="H694" s="617"/>
      <c r="I694" s="617"/>
      <c r="J694" s="617"/>
      <c r="K694" s="617"/>
      <c r="L694" s="617"/>
      <c r="M694" s="617"/>
      <c r="N694" s="617"/>
      <c r="O694" s="617"/>
      <c r="P694" s="617"/>
      <c r="Q694" s="617"/>
      <c r="R694" s="617"/>
      <c r="S694" s="617"/>
      <c r="T694" s="617"/>
      <c r="U694" s="617"/>
      <c r="V694" s="617"/>
      <c r="W694" s="617"/>
      <c r="X694" s="617"/>
    </row>
    <row r="695" ht="18.75" customHeight="1">
      <c r="A695" s="617"/>
      <c r="B695" s="617"/>
      <c r="C695" s="617"/>
      <c r="D695" s="617"/>
      <c r="E695" s="617"/>
      <c r="F695" s="617"/>
      <c r="G695" s="617"/>
      <c r="H695" s="617"/>
      <c r="I695" s="617"/>
      <c r="J695" s="617"/>
      <c r="K695" s="617"/>
      <c r="L695" s="617"/>
      <c r="M695" s="617"/>
      <c r="N695" s="617"/>
      <c r="O695" s="617"/>
      <c r="P695" s="617"/>
      <c r="Q695" s="617"/>
      <c r="R695" s="617"/>
      <c r="S695" s="617"/>
      <c r="T695" s="617"/>
      <c r="U695" s="617"/>
      <c r="V695" s="617"/>
      <c r="W695" s="617"/>
      <c r="X695" s="617"/>
    </row>
    <row r="696" ht="18.75" customHeight="1">
      <c r="A696" s="617"/>
      <c r="B696" s="617"/>
      <c r="C696" s="617"/>
      <c r="D696" s="617"/>
      <c r="E696" s="617"/>
      <c r="F696" s="617"/>
      <c r="G696" s="617"/>
      <c r="H696" s="617"/>
      <c r="I696" s="617"/>
      <c r="J696" s="617"/>
      <c r="K696" s="617"/>
      <c r="L696" s="617"/>
      <c r="M696" s="617"/>
      <c r="N696" s="617"/>
      <c r="O696" s="617"/>
      <c r="P696" s="617"/>
      <c r="Q696" s="617"/>
      <c r="R696" s="617"/>
      <c r="S696" s="617"/>
      <c r="T696" s="617"/>
      <c r="U696" s="617"/>
      <c r="V696" s="617"/>
      <c r="W696" s="617"/>
      <c r="X696" s="617"/>
    </row>
    <row r="697" ht="18.75" customHeight="1">
      <c r="A697" s="617"/>
      <c r="B697" s="617"/>
      <c r="C697" s="617"/>
      <c r="D697" s="617"/>
      <c r="E697" s="617"/>
      <c r="F697" s="617"/>
      <c r="G697" s="617"/>
      <c r="H697" s="617"/>
      <c r="I697" s="617"/>
      <c r="J697" s="617"/>
      <c r="K697" s="617"/>
      <c r="L697" s="617"/>
      <c r="M697" s="617"/>
      <c r="N697" s="617"/>
      <c r="O697" s="617"/>
      <c r="P697" s="617"/>
      <c r="Q697" s="617"/>
      <c r="R697" s="617"/>
      <c r="S697" s="617"/>
      <c r="T697" s="617"/>
      <c r="U697" s="617"/>
      <c r="V697" s="617"/>
      <c r="W697" s="617"/>
      <c r="X697" s="617"/>
    </row>
    <row r="698" ht="18.75" customHeight="1">
      <c r="A698" s="617"/>
      <c r="B698" s="617"/>
      <c r="C698" s="617"/>
      <c r="D698" s="617"/>
      <c r="E698" s="617"/>
      <c r="F698" s="617"/>
      <c r="G698" s="617"/>
      <c r="H698" s="617"/>
      <c r="I698" s="617"/>
      <c r="J698" s="617"/>
      <c r="K698" s="617"/>
      <c r="L698" s="617"/>
      <c r="M698" s="617"/>
      <c r="N698" s="617"/>
      <c r="O698" s="617"/>
      <c r="P698" s="617"/>
      <c r="Q698" s="617"/>
      <c r="R698" s="617"/>
      <c r="S698" s="617"/>
      <c r="T698" s="617"/>
      <c r="U698" s="617"/>
      <c r="V698" s="617"/>
      <c r="W698" s="617"/>
      <c r="X698" s="617"/>
    </row>
    <row r="699" ht="18.75" customHeight="1">
      <c r="A699" s="617"/>
      <c r="B699" s="617"/>
      <c r="C699" s="617"/>
      <c r="D699" s="617"/>
      <c r="E699" s="617"/>
      <c r="F699" s="617"/>
      <c r="G699" s="617"/>
      <c r="H699" s="617"/>
      <c r="I699" s="617"/>
      <c r="J699" s="617"/>
      <c r="K699" s="617"/>
      <c r="L699" s="617"/>
      <c r="M699" s="617"/>
      <c r="N699" s="617"/>
      <c r="O699" s="617"/>
      <c r="P699" s="617"/>
      <c r="Q699" s="617"/>
      <c r="R699" s="617"/>
      <c r="S699" s="617"/>
      <c r="T699" s="617"/>
      <c r="U699" s="617"/>
      <c r="V699" s="617"/>
      <c r="W699" s="617"/>
      <c r="X699" s="617"/>
    </row>
    <row r="700" ht="18.75" customHeight="1">
      <c r="A700" s="617"/>
      <c r="B700" s="617"/>
      <c r="C700" s="617"/>
      <c r="D700" s="617"/>
      <c r="E700" s="617"/>
      <c r="F700" s="617"/>
      <c r="G700" s="617"/>
      <c r="H700" s="617"/>
      <c r="I700" s="617"/>
      <c r="J700" s="617"/>
      <c r="K700" s="617"/>
      <c r="L700" s="617"/>
      <c r="M700" s="617"/>
      <c r="N700" s="617"/>
      <c r="O700" s="617"/>
      <c r="P700" s="617"/>
      <c r="Q700" s="617"/>
      <c r="R700" s="617"/>
      <c r="S700" s="617"/>
      <c r="T700" s="617"/>
      <c r="U700" s="617"/>
      <c r="V700" s="617"/>
      <c r="W700" s="617"/>
      <c r="X700" s="617"/>
    </row>
    <row r="701" ht="18.75" customHeight="1">
      <c r="A701" s="617"/>
      <c r="B701" s="617"/>
      <c r="C701" s="617"/>
      <c r="D701" s="617"/>
      <c r="E701" s="617"/>
      <c r="F701" s="617"/>
      <c r="G701" s="617"/>
      <c r="H701" s="617"/>
      <c r="I701" s="617"/>
      <c r="J701" s="617"/>
      <c r="K701" s="617"/>
      <c r="L701" s="617"/>
      <c r="M701" s="617"/>
      <c r="N701" s="617"/>
      <c r="O701" s="617"/>
      <c r="P701" s="617"/>
      <c r="Q701" s="617"/>
      <c r="R701" s="617"/>
      <c r="S701" s="617"/>
      <c r="T701" s="617"/>
      <c r="U701" s="617"/>
      <c r="V701" s="617"/>
      <c r="W701" s="617"/>
      <c r="X701" s="617"/>
    </row>
    <row r="702" ht="18.75" customHeight="1">
      <c r="A702" s="617"/>
      <c r="B702" s="617"/>
      <c r="C702" s="617"/>
      <c r="D702" s="617"/>
      <c r="E702" s="617"/>
      <c r="F702" s="617"/>
      <c r="G702" s="617"/>
      <c r="H702" s="617"/>
      <c r="I702" s="617"/>
      <c r="J702" s="617"/>
      <c r="K702" s="617"/>
      <c r="L702" s="617"/>
      <c r="M702" s="617"/>
      <c r="N702" s="617"/>
      <c r="O702" s="617"/>
      <c r="P702" s="617"/>
      <c r="Q702" s="617"/>
      <c r="R702" s="617"/>
      <c r="S702" s="617"/>
      <c r="T702" s="617"/>
      <c r="U702" s="617"/>
      <c r="V702" s="617"/>
      <c r="W702" s="617"/>
      <c r="X702" s="617"/>
    </row>
    <row r="703" ht="18.75" customHeight="1">
      <c r="A703" s="617"/>
      <c r="B703" s="617"/>
      <c r="C703" s="617"/>
      <c r="D703" s="617"/>
      <c r="E703" s="617"/>
      <c r="F703" s="617"/>
      <c r="G703" s="617"/>
      <c r="H703" s="617"/>
      <c r="I703" s="617"/>
      <c r="J703" s="617"/>
      <c r="K703" s="617"/>
      <c r="L703" s="617"/>
      <c r="M703" s="617"/>
      <c r="N703" s="617"/>
      <c r="O703" s="617"/>
      <c r="P703" s="617"/>
      <c r="Q703" s="617"/>
      <c r="R703" s="617"/>
      <c r="S703" s="617"/>
      <c r="T703" s="617"/>
      <c r="U703" s="617"/>
      <c r="V703" s="617"/>
      <c r="W703" s="617"/>
      <c r="X703" s="617"/>
    </row>
    <row r="704" ht="18.75" customHeight="1">
      <c r="A704" s="617"/>
      <c r="B704" s="617"/>
      <c r="C704" s="617"/>
      <c r="D704" s="617"/>
      <c r="E704" s="617"/>
      <c r="F704" s="617"/>
      <c r="G704" s="617"/>
      <c r="H704" s="617"/>
      <c r="I704" s="617"/>
      <c r="J704" s="617"/>
      <c r="K704" s="617"/>
      <c r="L704" s="617"/>
      <c r="M704" s="617"/>
      <c r="N704" s="617"/>
      <c r="O704" s="617"/>
      <c r="P704" s="617"/>
      <c r="Q704" s="617"/>
      <c r="R704" s="617"/>
      <c r="S704" s="617"/>
      <c r="T704" s="617"/>
      <c r="U704" s="617"/>
      <c r="V704" s="617"/>
      <c r="W704" s="617"/>
      <c r="X704" s="617"/>
    </row>
    <row r="705" ht="18.75" customHeight="1">
      <c r="A705" s="617"/>
      <c r="B705" s="617"/>
      <c r="C705" s="617"/>
      <c r="D705" s="617"/>
      <c r="E705" s="617"/>
      <c r="F705" s="617"/>
      <c r="G705" s="617"/>
      <c r="H705" s="617"/>
      <c r="I705" s="617"/>
      <c r="J705" s="617"/>
      <c r="K705" s="617"/>
      <c r="L705" s="617"/>
      <c r="M705" s="617"/>
      <c r="N705" s="617"/>
      <c r="O705" s="617"/>
      <c r="P705" s="617"/>
      <c r="Q705" s="617"/>
      <c r="R705" s="617"/>
      <c r="S705" s="617"/>
      <c r="T705" s="617"/>
      <c r="U705" s="617"/>
      <c r="V705" s="617"/>
      <c r="W705" s="617"/>
      <c r="X705" s="617"/>
    </row>
    <row r="706" ht="18.75" customHeight="1">
      <c r="A706" s="617"/>
      <c r="B706" s="617"/>
      <c r="C706" s="617"/>
      <c r="D706" s="617"/>
      <c r="E706" s="617"/>
      <c r="F706" s="617"/>
      <c r="G706" s="617"/>
      <c r="H706" s="617"/>
      <c r="I706" s="617"/>
      <c r="J706" s="617"/>
      <c r="K706" s="617"/>
      <c r="L706" s="617"/>
      <c r="M706" s="617"/>
      <c r="N706" s="617"/>
      <c r="O706" s="617"/>
      <c r="P706" s="617"/>
      <c r="Q706" s="617"/>
      <c r="R706" s="617"/>
      <c r="S706" s="617"/>
      <c r="T706" s="617"/>
      <c r="U706" s="617"/>
      <c r="V706" s="617"/>
      <c r="W706" s="617"/>
      <c r="X706" s="617"/>
    </row>
    <row r="707" ht="18.75" customHeight="1">
      <c r="A707" s="617"/>
      <c r="B707" s="617"/>
      <c r="C707" s="617"/>
      <c r="D707" s="617"/>
      <c r="E707" s="617"/>
      <c r="F707" s="617"/>
      <c r="G707" s="617"/>
      <c r="H707" s="617"/>
      <c r="I707" s="617"/>
      <c r="J707" s="617"/>
      <c r="K707" s="617"/>
      <c r="L707" s="617"/>
      <c r="M707" s="617"/>
      <c r="N707" s="617"/>
      <c r="O707" s="617"/>
      <c r="P707" s="617"/>
      <c r="Q707" s="617"/>
      <c r="R707" s="617"/>
      <c r="S707" s="617"/>
      <c r="T707" s="617"/>
      <c r="U707" s="617"/>
      <c r="V707" s="617"/>
      <c r="W707" s="617"/>
      <c r="X707" s="617"/>
    </row>
    <row r="708" ht="18.75" customHeight="1">
      <c r="A708" s="617"/>
      <c r="B708" s="617"/>
      <c r="C708" s="617"/>
      <c r="D708" s="617"/>
      <c r="E708" s="617"/>
      <c r="F708" s="617"/>
      <c r="G708" s="617"/>
      <c r="H708" s="617"/>
      <c r="I708" s="617"/>
      <c r="J708" s="617"/>
      <c r="K708" s="617"/>
      <c r="L708" s="617"/>
      <c r="M708" s="617"/>
      <c r="N708" s="617"/>
      <c r="O708" s="617"/>
      <c r="P708" s="617"/>
      <c r="Q708" s="617"/>
      <c r="R708" s="617"/>
      <c r="S708" s="617"/>
      <c r="T708" s="617"/>
      <c r="U708" s="617"/>
      <c r="V708" s="617"/>
      <c r="W708" s="617"/>
      <c r="X708" s="617"/>
    </row>
    <row r="709" ht="18.75" customHeight="1">
      <c r="A709" s="617"/>
      <c r="B709" s="617"/>
      <c r="C709" s="617"/>
      <c r="D709" s="617"/>
      <c r="E709" s="617"/>
      <c r="F709" s="617"/>
      <c r="G709" s="617"/>
      <c r="H709" s="617"/>
      <c r="I709" s="617"/>
      <c r="J709" s="617"/>
      <c r="K709" s="617"/>
      <c r="L709" s="617"/>
      <c r="M709" s="617"/>
      <c r="N709" s="617"/>
      <c r="O709" s="617"/>
      <c r="P709" s="617"/>
      <c r="Q709" s="617"/>
      <c r="R709" s="617"/>
      <c r="S709" s="617"/>
      <c r="T709" s="617"/>
      <c r="U709" s="617"/>
      <c r="V709" s="617"/>
      <c r="W709" s="617"/>
      <c r="X709" s="617"/>
    </row>
    <row r="710" ht="18.75" customHeight="1">
      <c r="A710" s="617"/>
      <c r="B710" s="617"/>
      <c r="C710" s="617"/>
      <c r="D710" s="617"/>
      <c r="E710" s="617"/>
      <c r="F710" s="617"/>
      <c r="G710" s="617"/>
      <c r="H710" s="617"/>
      <c r="I710" s="617"/>
      <c r="J710" s="617"/>
      <c r="K710" s="617"/>
      <c r="L710" s="617"/>
      <c r="M710" s="617"/>
      <c r="N710" s="617"/>
      <c r="O710" s="617"/>
      <c r="P710" s="617"/>
      <c r="Q710" s="617"/>
      <c r="R710" s="617"/>
      <c r="S710" s="617"/>
      <c r="T710" s="617"/>
      <c r="U710" s="617"/>
      <c r="V710" s="617"/>
      <c r="W710" s="617"/>
      <c r="X710" s="617"/>
    </row>
    <row r="711" ht="18.75" customHeight="1">
      <c r="A711" s="617"/>
      <c r="B711" s="617"/>
      <c r="C711" s="617"/>
      <c r="D711" s="617"/>
      <c r="E711" s="617"/>
      <c r="F711" s="617"/>
      <c r="G711" s="617"/>
      <c r="H711" s="617"/>
      <c r="I711" s="617"/>
      <c r="J711" s="617"/>
      <c r="K711" s="617"/>
      <c r="L711" s="617"/>
      <c r="M711" s="617"/>
      <c r="N711" s="617"/>
      <c r="O711" s="617"/>
      <c r="P711" s="617"/>
      <c r="Q711" s="617"/>
      <c r="R711" s="617"/>
      <c r="S711" s="617"/>
      <c r="T711" s="617"/>
      <c r="U711" s="617"/>
      <c r="V711" s="617"/>
      <c r="W711" s="617"/>
      <c r="X711" s="617"/>
    </row>
    <row r="712" ht="18.75" customHeight="1">
      <c r="A712" s="617"/>
      <c r="B712" s="617"/>
      <c r="C712" s="617"/>
      <c r="D712" s="617"/>
      <c r="E712" s="617"/>
      <c r="F712" s="617"/>
      <c r="G712" s="617"/>
      <c r="H712" s="617"/>
      <c r="I712" s="617"/>
      <c r="J712" s="617"/>
      <c r="K712" s="617"/>
      <c r="L712" s="617"/>
      <c r="M712" s="617"/>
      <c r="N712" s="617"/>
      <c r="O712" s="617"/>
      <c r="P712" s="617"/>
      <c r="Q712" s="617"/>
      <c r="R712" s="617"/>
      <c r="S712" s="617"/>
      <c r="T712" s="617"/>
      <c r="U712" s="617"/>
      <c r="V712" s="617"/>
      <c r="W712" s="617"/>
      <c r="X712" s="617"/>
    </row>
    <row r="713" ht="18.75" customHeight="1">
      <c r="A713" s="617"/>
      <c r="B713" s="617"/>
      <c r="C713" s="617"/>
      <c r="D713" s="617"/>
      <c r="E713" s="617"/>
      <c r="F713" s="617"/>
      <c r="G713" s="617"/>
      <c r="H713" s="617"/>
      <c r="I713" s="617"/>
      <c r="J713" s="617"/>
      <c r="K713" s="617"/>
      <c r="L713" s="617"/>
      <c r="M713" s="617"/>
      <c r="N713" s="617"/>
      <c r="O713" s="617"/>
      <c r="P713" s="617"/>
      <c r="Q713" s="617"/>
      <c r="R713" s="617"/>
      <c r="S713" s="617"/>
      <c r="T713" s="617"/>
      <c r="U713" s="617"/>
      <c r="V713" s="617"/>
      <c r="W713" s="617"/>
      <c r="X713" s="617"/>
    </row>
    <row r="714" ht="18.75" customHeight="1">
      <c r="A714" s="617"/>
      <c r="B714" s="617"/>
      <c r="C714" s="617"/>
      <c r="D714" s="617"/>
      <c r="E714" s="617"/>
      <c r="F714" s="617"/>
      <c r="G714" s="617"/>
      <c r="H714" s="617"/>
      <c r="I714" s="617"/>
      <c r="J714" s="617"/>
      <c r="K714" s="617"/>
      <c r="L714" s="617"/>
      <c r="M714" s="617"/>
      <c r="N714" s="617"/>
      <c r="O714" s="617"/>
      <c r="P714" s="617"/>
      <c r="Q714" s="617"/>
      <c r="R714" s="617"/>
      <c r="S714" s="617"/>
      <c r="T714" s="617"/>
      <c r="U714" s="617"/>
      <c r="V714" s="617"/>
      <c r="W714" s="617"/>
      <c r="X714" s="617"/>
    </row>
    <row r="715" ht="18.75" customHeight="1">
      <c r="A715" s="617"/>
      <c r="B715" s="617"/>
      <c r="C715" s="617"/>
      <c r="D715" s="617"/>
      <c r="E715" s="617"/>
      <c r="F715" s="617"/>
      <c r="G715" s="617"/>
      <c r="H715" s="617"/>
      <c r="I715" s="617"/>
      <c r="J715" s="617"/>
      <c r="K715" s="617"/>
      <c r="L715" s="617"/>
      <c r="M715" s="617"/>
      <c r="N715" s="617"/>
      <c r="O715" s="617"/>
      <c r="P715" s="617"/>
      <c r="Q715" s="617"/>
      <c r="R715" s="617"/>
      <c r="S715" s="617"/>
      <c r="T715" s="617"/>
      <c r="U715" s="617"/>
      <c r="V715" s="617"/>
      <c r="W715" s="617"/>
      <c r="X715" s="617"/>
    </row>
    <row r="716" ht="18.75" customHeight="1">
      <c r="A716" s="617"/>
      <c r="B716" s="617"/>
      <c r="C716" s="617"/>
      <c r="D716" s="617"/>
      <c r="E716" s="617"/>
      <c r="F716" s="617"/>
      <c r="G716" s="617"/>
      <c r="H716" s="617"/>
      <c r="I716" s="617"/>
      <c r="J716" s="617"/>
      <c r="K716" s="617"/>
      <c r="L716" s="617"/>
      <c r="M716" s="617"/>
      <c r="N716" s="617"/>
      <c r="O716" s="617"/>
      <c r="P716" s="617"/>
      <c r="Q716" s="617"/>
      <c r="R716" s="617"/>
      <c r="S716" s="617"/>
      <c r="T716" s="617"/>
      <c r="U716" s="617"/>
      <c r="V716" s="617"/>
      <c r="W716" s="617"/>
      <c r="X716" s="617"/>
    </row>
    <row r="717" ht="18.75" customHeight="1">
      <c r="A717" s="617"/>
      <c r="B717" s="617"/>
      <c r="C717" s="617"/>
      <c r="D717" s="617"/>
      <c r="E717" s="617"/>
      <c r="F717" s="617"/>
      <c r="G717" s="617"/>
      <c r="H717" s="617"/>
      <c r="I717" s="617"/>
      <c r="J717" s="617"/>
      <c r="K717" s="617"/>
      <c r="L717" s="617"/>
      <c r="M717" s="617"/>
      <c r="N717" s="617"/>
      <c r="O717" s="617"/>
      <c r="P717" s="617"/>
      <c r="Q717" s="617"/>
      <c r="R717" s="617"/>
      <c r="S717" s="617"/>
      <c r="T717" s="617"/>
      <c r="U717" s="617"/>
      <c r="V717" s="617"/>
      <c r="W717" s="617"/>
      <c r="X717" s="617"/>
    </row>
    <row r="718" ht="18.75" customHeight="1">
      <c r="A718" s="617"/>
      <c r="B718" s="617"/>
      <c r="C718" s="617"/>
      <c r="D718" s="617"/>
      <c r="E718" s="617"/>
      <c r="F718" s="617"/>
      <c r="G718" s="617"/>
      <c r="H718" s="617"/>
      <c r="I718" s="617"/>
      <c r="J718" s="617"/>
      <c r="K718" s="617"/>
      <c r="L718" s="617"/>
      <c r="M718" s="617"/>
      <c r="N718" s="617"/>
      <c r="O718" s="617"/>
      <c r="P718" s="617"/>
      <c r="Q718" s="617"/>
      <c r="R718" s="617"/>
      <c r="S718" s="617"/>
      <c r="T718" s="617"/>
      <c r="U718" s="617"/>
      <c r="V718" s="617"/>
      <c r="W718" s="617"/>
      <c r="X718" s="617"/>
    </row>
    <row r="719" ht="18.75" customHeight="1">
      <c r="A719" s="617"/>
      <c r="B719" s="617"/>
      <c r="C719" s="617"/>
      <c r="D719" s="617"/>
      <c r="E719" s="617"/>
      <c r="F719" s="617"/>
      <c r="G719" s="617"/>
      <c r="H719" s="617"/>
      <c r="I719" s="617"/>
      <c r="J719" s="617"/>
      <c r="K719" s="617"/>
      <c r="L719" s="617"/>
      <c r="M719" s="617"/>
      <c r="N719" s="617"/>
      <c r="O719" s="617"/>
      <c r="P719" s="617"/>
      <c r="Q719" s="617"/>
      <c r="R719" s="617"/>
      <c r="S719" s="617"/>
      <c r="T719" s="617"/>
      <c r="U719" s="617"/>
      <c r="V719" s="617"/>
      <c r="W719" s="617"/>
      <c r="X719" s="617"/>
    </row>
    <row r="720" ht="18.75" customHeight="1">
      <c r="A720" s="617"/>
      <c r="B720" s="617"/>
      <c r="C720" s="617"/>
      <c r="D720" s="617"/>
      <c r="E720" s="617"/>
      <c r="F720" s="617"/>
      <c r="G720" s="617"/>
      <c r="H720" s="617"/>
      <c r="I720" s="617"/>
      <c r="J720" s="617"/>
      <c r="K720" s="617"/>
      <c r="L720" s="617"/>
      <c r="M720" s="617"/>
      <c r="N720" s="617"/>
      <c r="O720" s="617"/>
      <c r="P720" s="617"/>
      <c r="Q720" s="617"/>
      <c r="R720" s="617"/>
      <c r="S720" s="617"/>
      <c r="T720" s="617"/>
      <c r="U720" s="617"/>
      <c r="V720" s="617"/>
      <c r="W720" s="617"/>
      <c r="X720" s="617"/>
    </row>
    <row r="721" ht="18.75" customHeight="1">
      <c r="A721" s="617"/>
      <c r="B721" s="617"/>
      <c r="C721" s="617"/>
      <c r="D721" s="617"/>
      <c r="E721" s="617"/>
      <c r="F721" s="617"/>
      <c r="G721" s="617"/>
      <c r="H721" s="617"/>
      <c r="I721" s="617"/>
      <c r="J721" s="617"/>
      <c r="K721" s="617"/>
      <c r="L721" s="617"/>
      <c r="M721" s="617"/>
      <c r="N721" s="617"/>
      <c r="O721" s="617"/>
      <c r="P721" s="617"/>
      <c r="Q721" s="617"/>
      <c r="R721" s="617"/>
      <c r="S721" s="617"/>
      <c r="T721" s="617"/>
      <c r="U721" s="617"/>
      <c r="V721" s="617"/>
      <c r="W721" s="617"/>
      <c r="X721" s="617"/>
    </row>
    <row r="722" ht="18.75" customHeight="1">
      <c r="A722" s="617"/>
      <c r="B722" s="617"/>
      <c r="C722" s="617"/>
      <c r="D722" s="617"/>
      <c r="E722" s="617"/>
      <c r="F722" s="617"/>
      <c r="G722" s="617"/>
      <c r="H722" s="617"/>
      <c r="I722" s="617"/>
      <c r="J722" s="617"/>
      <c r="K722" s="617"/>
      <c r="L722" s="617"/>
      <c r="M722" s="617"/>
      <c r="N722" s="617"/>
      <c r="O722" s="617"/>
      <c r="P722" s="617"/>
      <c r="Q722" s="617"/>
      <c r="R722" s="617"/>
      <c r="S722" s="617"/>
      <c r="T722" s="617"/>
      <c r="U722" s="617"/>
      <c r="V722" s="617"/>
      <c r="W722" s="617"/>
      <c r="X722" s="617"/>
    </row>
    <row r="723" ht="18.75" customHeight="1">
      <c r="A723" s="617"/>
      <c r="B723" s="617"/>
      <c r="C723" s="617"/>
      <c r="D723" s="617"/>
      <c r="E723" s="617"/>
      <c r="F723" s="617"/>
      <c r="G723" s="617"/>
      <c r="H723" s="617"/>
      <c r="I723" s="617"/>
      <c r="J723" s="617"/>
      <c r="K723" s="617"/>
      <c r="L723" s="617"/>
      <c r="M723" s="617"/>
      <c r="N723" s="617"/>
      <c r="O723" s="617"/>
      <c r="P723" s="617"/>
      <c r="Q723" s="617"/>
      <c r="R723" s="617"/>
      <c r="S723" s="617"/>
      <c r="T723" s="617"/>
      <c r="U723" s="617"/>
      <c r="V723" s="617"/>
      <c r="W723" s="617"/>
      <c r="X723" s="617"/>
    </row>
    <row r="724" ht="18.75" customHeight="1">
      <c r="A724" s="617"/>
      <c r="B724" s="617"/>
      <c r="C724" s="617"/>
      <c r="D724" s="617"/>
      <c r="E724" s="617"/>
      <c r="F724" s="617"/>
      <c r="G724" s="617"/>
      <c r="H724" s="617"/>
      <c r="I724" s="617"/>
      <c r="J724" s="617"/>
      <c r="K724" s="617"/>
      <c r="L724" s="617"/>
      <c r="M724" s="617"/>
      <c r="N724" s="617"/>
      <c r="O724" s="617"/>
      <c r="P724" s="617"/>
      <c r="Q724" s="617"/>
      <c r="R724" s="617"/>
      <c r="S724" s="617"/>
      <c r="T724" s="617"/>
      <c r="U724" s="617"/>
      <c r="V724" s="617"/>
      <c r="W724" s="617"/>
      <c r="X724" s="617"/>
    </row>
    <row r="725" ht="18.75" customHeight="1">
      <c r="A725" s="617"/>
      <c r="B725" s="617"/>
      <c r="C725" s="617"/>
      <c r="D725" s="617"/>
      <c r="E725" s="617"/>
      <c r="F725" s="617"/>
      <c r="G725" s="617"/>
      <c r="H725" s="617"/>
      <c r="I725" s="617"/>
      <c r="J725" s="617"/>
      <c r="K725" s="617"/>
      <c r="L725" s="617"/>
      <c r="M725" s="617"/>
      <c r="N725" s="617"/>
      <c r="O725" s="617"/>
      <c r="P725" s="617"/>
      <c r="Q725" s="617"/>
      <c r="R725" s="617"/>
      <c r="S725" s="617"/>
      <c r="T725" s="617"/>
      <c r="U725" s="617"/>
      <c r="V725" s="617"/>
      <c r="W725" s="617"/>
      <c r="X725" s="617"/>
    </row>
    <row r="726" ht="18.75" customHeight="1">
      <c r="A726" s="617"/>
      <c r="B726" s="617"/>
      <c r="C726" s="617"/>
      <c r="D726" s="617"/>
      <c r="E726" s="617"/>
      <c r="F726" s="617"/>
      <c r="G726" s="617"/>
      <c r="H726" s="617"/>
      <c r="I726" s="617"/>
      <c r="J726" s="617"/>
      <c r="K726" s="617"/>
      <c r="L726" s="617"/>
      <c r="M726" s="617"/>
      <c r="N726" s="617"/>
      <c r="O726" s="617"/>
      <c r="P726" s="617"/>
      <c r="Q726" s="617"/>
      <c r="R726" s="617"/>
      <c r="S726" s="617"/>
      <c r="T726" s="617"/>
      <c r="U726" s="617"/>
      <c r="V726" s="617"/>
      <c r="W726" s="617"/>
      <c r="X726" s="617"/>
    </row>
    <row r="727" ht="18.75" customHeight="1">
      <c r="A727" s="617"/>
      <c r="B727" s="617"/>
      <c r="C727" s="617"/>
      <c r="D727" s="617"/>
      <c r="E727" s="617"/>
      <c r="F727" s="617"/>
      <c r="G727" s="617"/>
      <c r="H727" s="617"/>
      <c r="I727" s="617"/>
      <c r="J727" s="617"/>
      <c r="K727" s="617"/>
      <c r="L727" s="617"/>
      <c r="M727" s="617"/>
      <c r="N727" s="617"/>
      <c r="O727" s="617"/>
      <c r="P727" s="617"/>
      <c r="Q727" s="617"/>
      <c r="R727" s="617"/>
      <c r="S727" s="617"/>
      <c r="T727" s="617"/>
      <c r="U727" s="617"/>
      <c r="V727" s="617"/>
      <c r="W727" s="617"/>
      <c r="X727" s="617"/>
    </row>
    <row r="728" ht="18.75" customHeight="1">
      <c r="A728" s="617"/>
      <c r="B728" s="617"/>
      <c r="C728" s="617"/>
      <c r="D728" s="617"/>
      <c r="E728" s="617"/>
      <c r="F728" s="617"/>
      <c r="G728" s="617"/>
      <c r="H728" s="617"/>
      <c r="I728" s="617"/>
      <c r="J728" s="617"/>
      <c r="K728" s="617"/>
      <c r="L728" s="617"/>
      <c r="M728" s="617"/>
      <c r="N728" s="617"/>
      <c r="O728" s="617"/>
      <c r="P728" s="617"/>
      <c r="Q728" s="617"/>
      <c r="R728" s="617"/>
      <c r="S728" s="617"/>
      <c r="T728" s="617"/>
      <c r="U728" s="617"/>
      <c r="V728" s="617"/>
      <c r="W728" s="617"/>
      <c r="X728" s="617"/>
    </row>
    <row r="729" ht="18.75" customHeight="1">
      <c r="A729" s="617"/>
      <c r="B729" s="617"/>
      <c r="C729" s="617"/>
      <c r="D729" s="617"/>
      <c r="E729" s="617"/>
      <c r="F729" s="617"/>
      <c r="G729" s="617"/>
      <c r="H729" s="617"/>
      <c r="I729" s="617"/>
      <c r="J729" s="617"/>
      <c r="K729" s="617"/>
      <c r="L729" s="617"/>
      <c r="M729" s="617"/>
      <c r="N729" s="617"/>
      <c r="O729" s="617"/>
      <c r="P729" s="617"/>
      <c r="Q729" s="617"/>
      <c r="R729" s="617"/>
      <c r="S729" s="617"/>
      <c r="T729" s="617"/>
      <c r="U729" s="617"/>
      <c r="V729" s="617"/>
      <c r="W729" s="617"/>
      <c r="X729" s="617"/>
    </row>
    <row r="730" ht="18.75" customHeight="1">
      <c r="A730" s="617"/>
      <c r="B730" s="617"/>
      <c r="C730" s="617"/>
      <c r="D730" s="617"/>
      <c r="E730" s="617"/>
      <c r="F730" s="617"/>
      <c r="G730" s="617"/>
      <c r="H730" s="617"/>
      <c r="I730" s="617"/>
      <c r="J730" s="617"/>
      <c r="K730" s="617"/>
      <c r="L730" s="617"/>
      <c r="M730" s="617"/>
      <c r="N730" s="617"/>
      <c r="O730" s="617"/>
      <c r="P730" s="617"/>
      <c r="Q730" s="617"/>
      <c r="R730" s="617"/>
      <c r="S730" s="617"/>
      <c r="T730" s="617"/>
      <c r="U730" s="617"/>
      <c r="V730" s="617"/>
      <c r="W730" s="617"/>
      <c r="X730" s="617"/>
    </row>
    <row r="731" ht="18.75" customHeight="1">
      <c r="A731" s="617"/>
      <c r="B731" s="617"/>
      <c r="C731" s="617"/>
      <c r="D731" s="617"/>
      <c r="E731" s="617"/>
      <c r="F731" s="617"/>
      <c r="G731" s="617"/>
      <c r="H731" s="617"/>
      <c r="I731" s="617"/>
      <c r="J731" s="617"/>
      <c r="K731" s="617"/>
      <c r="L731" s="617"/>
      <c r="M731" s="617"/>
      <c r="N731" s="617"/>
      <c r="O731" s="617"/>
      <c r="P731" s="617"/>
      <c r="Q731" s="617"/>
      <c r="R731" s="617"/>
      <c r="S731" s="617"/>
      <c r="T731" s="617"/>
      <c r="U731" s="617"/>
      <c r="V731" s="617"/>
      <c r="W731" s="617"/>
      <c r="X731" s="617"/>
    </row>
    <row r="732" ht="18.75" customHeight="1">
      <c r="A732" s="617"/>
      <c r="B732" s="617"/>
      <c r="C732" s="617"/>
      <c r="D732" s="617"/>
      <c r="E732" s="617"/>
      <c r="F732" s="617"/>
      <c r="G732" s="617"/>
      <c r="H732" s="617"/>
      <c r="I732" s="617"/>
      <c r="J732" s="617"/>
      <c r="K732" s="617"/>
      <c r="L732" s="617"/>
      <c r="M732" s="617"/>
      <c r="N732" s="617"/>
      <c r="O732" s="617"/>
      <c r="P732" s="617"/>
      <c r="Q732" s="617"/>
      <c r="R732" s="617"/>
      <c r="S732" s="617"/>
      <c r="T732" s="617"/>
      <c r="U732" s="617"/>
      <c r="V732" s="617"/>
      <c r="W732" s="617"/>
      <c r="X732" s="617"/>
    </row>
    <row r="733" ht="18.75" customHeight="1">
      <c r="A733" s="617"/>
      <c r="B733" s="617"/>
      <c r="C733" s="617"/>
      <c r="D733" s="617"/>
      <c r="E733" s="617"/>
      <c r="F733" s="617"/>
      <c r="G733" s="617"/>
      <c r="H733" s="617"/>
      <c r="I733" s="617"/>
      <c r="J733" s="617"/>
      <c r="K733" s="617"/>
      <c r="L733" s="617"/>
      <c r="M733" s="617"/>
      <c r="N733" s="617"/>
      <c r="O733" s="617"/>
      <c r="P733" s="617"/>
      <c r="Q733" s="617"/>
      <c r="R733" s="617"/>
      <c r="S733" s="617"/>
      <c r="T733" s="617"/>
      <c r="U733" s="617"/>
      <c r="V733" s="617"/>
      <c r="W733" s="617"/>
      <c r="X733" s="617"/>
    </row>
    <row r="734" ht="18.75" customHeight="1">
      <c r="A734" s="617"/>
      <c r="B734" s="617"/>
      <c r="C734" s="617"/>
      <c r="D734" s="617"/>
      <c r="E734" s="617"/>
      <c r="F734" s="617"/>
      <c r="G734" s="617"/>
      <c r="H734" s="617"/>
      <c r="I734" s="617"/>
      <c r="J734" s="617"/>
      <c r="K734" s="617"/>
      <c r="L734" s="617"/>
      <c r="M734" s="617"/>
      <c r="N734" s="617"/>
      <c r="O734" s="617"/>
      <c r="P734" s="617"/>
      <c r="Q734" s="617"/>
      <c r="R734" s="617"/>
      <c r="S734" s="617"/>
      <c r="T734" s="617"/>
      <c r="U734" s="617"/>
      <c r="V734" s="617"/>
      <c r="W734" s="617"/>
      <c r="X734" s="617"/>
    </row>
    <row r="735" ht="18.75" customHeight="1">
      <c r="A735" s="617"/>
      <c r="B735" s="617"/>
      <c r="C735" s="617"/>
      <c r="D735" s="617"/>
      <c r="E735" s="617"/>
      <c r="F735" s="617"/>
      <c r="G735" s="617"/>
      <c r="H735" s="617"/>
      <c r="I735" s="617"/>
      <c r="J735" s="617"/>
      <c r="K735" s="617"/>
      <c r="L735" s="617"/>
      <c r="M735" s="617"/>
      <c r="N735" s="617"/>
      <c r="O735" s="617"/>
      <c r="P735" s="617"/>
      <c r="Q735" s="617"/>
      <c r="R735" s="617"/>
      <c r="S735" s="617"/>
      <c r="T735" s="617"/>
      <c r="U735" s="617"/>
      <c r="V735" s="617"/>
      <c r="W735" s="617"/>
      <c r="X735" s="617"/>
    </row>
    <row r="736" ht="18.75" customHeight="1">
      <c r="A736" s="617"/>
      <c r="B736" s="617"/>
      <c r="C736" s="617"/>
      <c r="D736" s="617"/>
      <c r="E736" s="617"/>
      <c r="F736" s="617"/>
      <c r="G736" s="617"/>
      <c r="H736" s="617"/>
      <c r="I736" s="617"/>
      <c r="J736" s="617"/>
      <c r="K736" s="617"/>
      <c r="L736" s="617"/>
      <c r="M736" s="617"/>
      <c r="N736" s="617"/>
      <c r="O736" s="617"/>
      <c r="P736" s="617"/>
      <c r="Q736" s="617"/>
      <c r="R736" s="617"/>
      <c r="S736" s="617"/>
      <c r="T736" s="617"/>
      <c r="U736" s="617"/>
      <c r="V736" s="617"/>
      <c r="W736" s="617"/>
      <c r="X736" s="617"/>
    </row>
    <row r="737" ht="18.75" customHeight="1">
      <c r="A737" s="617"/>
      <c r="B737" s="617"/>
      <c r="C737" s="617"/>
      <c r="D737" s="617"/>
      <c r="E737" s="617"/>
      <c r="F737" s="617"/>
      <c r="G737" s="617"/>
      <c r="H737" s="617"/>
      <c r="I737" s="617"/>
      <c r="J737" s="617"/>
      <c r="K737" s="617"/>
      <c r="L737" s="617"/>
      <c r="M737" s="617"/>
      <c r="N737" s="617"/>
      <c r="O737" s="617"/>
      <c r="P737" s="617"/>
      <c r="Q737" s="617"/>
      <c r="R737" s="617"/>
      <c r="S737" s="617"/>
      <c r="T737" s="617"/>
      <c r="U737" s="617"/>
      <c r="V737" s="617"/>
      <c r="W737" s="617"/>
      <c r="X737" s="617"/>
    </row>
    <row r="738" ht="18.75" customHeight="1">
      <c r="A738" s="617"/>
      <c r="B738" s="617"/>
      <c r="C738" s="617"/>
      <c r="D738" s="617"/>
      <c r="E738" s="617"/>
      <c r="F738" s="617"/>
      <c r="G738" s="617"/>
      <c r="H738" s="617"/>
      <c r="I738" s="617"/>
      <c r="J738" s="617"/>
      <c r="K738" s="617"/>
      <c r="L738" s="617"/>
      <c r="M738" s="617"/>
      <c r="N738" s="617"/>
      <c r="O738" s="617"/>
      <c r="P738" s="617"/>
      <c r="Q738" s="617"/>
      <c r="R738" s="617"/>
      <c r="S738" s="617"/>
      <c r="T738" s="617"/>
      <c r="U738" s="617"/>
      <c r="V738" s="617"/>
      <c r="W738" s="617"/>
      <c r="X738" s="617"/>
    </row>
    <row r="739" ht="18.75" customHeight="1">
      <c r="A739" s="617"/>
      <c r="B739" s="617"/>
      <c r="C739" s="617"/>
      <c r="D739" s="617"/>
      <c r="E739" s="617"/>
      <c r="F739" s="617"/>
      <c r="G739" s="617"/>
      <c r="H739" s="617"/>
      <c r="I739" s="617"/>
      <c r="J739" s="617"/>
      <c r="K739" s="617"/>
      <c r="L739" s="617"/>
      <c r="M739" s="617"/>
      <c r="N739" s="617"/>
      <c r="O739" s="617"/>
      <c r="P739" s="617"/>
      <c r="Q739" s="617"/>
      <c r="R739" s="617"/>
      <c r="S739" s="617"/>
      <c r="T739" s="617"/>
      <c r="U739" s="617"/>
      <c r="V739" s="617"/>
      <c r="W739" s="617"/>
      <c r="X739" s="617"/>
    </row>
    <row r="740" ht="18.75" customHeight="1">
      <c r="A740" s="617"/>
      <c r="B740" s="617"/>
      <c r="C740" s="617"/>
      <c r="D740" s="617"/>
      <c r="E740" s="617"/>
      <c r="F740" s="617"/>
      <c r="G740" s="617"/>
      <c r="H740" s="617"/>
      <c r="I740" s="617"/>
      <c r="J740" s="617"/>
      <c r="K740" s="617"/>
      <c r="L740" s="617"/>
      <c r="M740" s="617"/>
      <c r="N740" s="617"/>
      <c r="O740" s="617"/>
      <c r="P740" s="617"/>
      <c r="Q740" s="617"/>
      <c r="R740" s="617"/>
      <c r="S740" s="617"/>
      <c r="T740" s="617"/>
      <c r="U740" s="617"/>
      <c r="V740" s="617"/>
      <c r="W740" s="617"/>
      <c r="X740" s="617"/>
    </row>
    <row r="741" ht="18.75" customHeight="1">
      <c r="A741" s="617"/>
      <c r="B741" s="617"/>
      <c r="C741" s="617"/>
      <c r="D741" s="617"/>
      <c r="E741" s="617"/>
      <c r="F741" s="617"/>
      <c r="G741" s="617"/>
      <c r="H741" s="617"/>
      <c r="I741" s="617"/>
      <c r="J741" s="617"/>
      <c r="K741" s="617"/>
      <c r="L741" s="617"/>
      <c r="M741" s="617"/>
      <c r="N741" s="617"/>
      <c r="O741" s="617"/>
      <c r="P741" s="617"/>
      <c r="Q741" s="617"/>
      <c r="R741" s="617"/>
      <c r="S741" s="617"/>
      <c r="T741" s="617"/>
      <c r="U741" s="617"/>
      <c r="V741" s="617"/>
      <c r="W741" s="617"/>
      <c r="X741" s="617"/>
    </row>
    <row r="742" ht="18.75" customHeight="1">
      <c r="A742" s="617"/>
      <c r="B742" s="617"/>
      <c r="C742" s="617"/>
      <c r="D742" s="617"/>
      <c r="E742" s="617"/>
      <c r="F742" s="617"/>
      <c r="G742" s="617"/>
      <c r="H742" s="617"/>
      <c r="I742" s="617"/>
      <c r="J742" s="617"/>
      <c r="K742" s="617"/>
      <c r="L742" s="617"/>
      <c r="M742" s="617"/>
      <c r="N742" s="617"/>
      <c r="O742" s="617"/>
      <c r="P742" s="617"/>
      <c r="Q742" s="617"/>
      <c r="R742" s="617"/>
      <c r="S742" s="617"/>
      <c r="T742" s="617"/>
      <c r="U742" s="617"/>
      <c r="V742" s="617"/>
      <c r="W742" s="617"/>
      <c r="X742" s="617"/>
    </row>
    <row r="743" ht="18.75" customHeight="1">
      <c r="A743" s="617"/>
      <c r="B743" s="617"/>
      <c r="C743" s="617"/>
      <c r="D743" s="617"/>
      <c r="E743" s="617"/>
      <c r="F743" s="617"/>
      <c r="G743" s="617"/>
      <c r="H743" s="617"/>
      <c r="I743" s="617"/>
      <c r="J743" s="617"/>
      <c r="K743" s="617"/>
      <c r="L743" s="617"/>
      <c r="M743" s="617"/>
      <c r="N743" s="617"/>
      <c r="O743" s="617"/>
      <c r="P743" s="617"/>
      <c r="Q743" s="617"/>
      <c r="R743" s="617"/>
      <c r="S743" s="617"/>
      <c r="T743" s="617"/>
      <c r="U743" s="617"/>
      <c r="V743" s="617"/>
      <c r="W743" s="617"/>
      <c r="X743" s="617"/>
    </row>
    <row r="744" ht="18.75" customHeight="1">
      <c r="A744" s="617"/>
      <c r="B744" s="617"/>
      <c r="C744" s="617"/>
      <c r="D744" s="617"/>
      <c r="E744" s="617"/>
      <c r="F744" s="617"/>
      <c r="G744" s="617"/>
      <c r="H744" s="617"/>
      <c r="I744" s="617"/>
      <c r="J744" s="617"/>
      <c r="K744" s="617"/>
      <c r="L744" s="617"/>
      <c r="M744" s="617"/>
      <c r="N744" s="617"/>
      <c r="O744" s="617"/>
      <c r="P744" s="617"/>
      <c r="Q744" s="617"/>
      <c r="R744" s="617"/>
      <c r="S744" s="617"/>
      <c r="T744" s="617"/>
      <c r="U744" s="617"/>
      <c r="V744" s="617"/>
      <c r="W744" s="617"/>
      <c r="X744" s="617"/>
    </row>
    <row r="745" ht="18.75" customHeight="1">
      <c r="A745" s="617"/>
      <c r="B745" s="617"/>
      <c r="C745" s="617"/>
      <c r="D745" s="617"/>
      <c r="E745" s="617"/>
      <c r="F745" s="617"/>
      <c r="G745" s="617"/>
      <c r="H745" s="617"/>
      <c r="I745" s="617"/>
      <c r="J745" s="617"/>
      <c r="K745" s="617"/>
      <c r="L745" s="617"/>
      <c r="M745" s="617"/>
      <c r="N745" s="617"/>
      <c r="O745" s="617"/>
      <c r="P745" s="617"/>
      <c r="Q745" s="617"/>
      <c r="R745" s="617"/>
      <c r="S745" s="617"/>
      <c r="T745" s="617"/>
      <c r="U745" s="617"/>
      <c r="V745" s="617"/>
      <c r="W745" s="617"/>
      <c r="X745" s="617"/>
    </row>
    <row r="746" ht="18.75" customHeight="1">
      <c r="A746" s="617"/>
      <c r="B746" s="617"/>
      <c r="C746" s="617"/>
      <c r="D746" s="617"/>
      <c r="E746" s="617"/>
      <c r="F746" s="617"/>
      <c r="G746" s="617"/>
      <c r="H746" s="617"/>
      <c r="I746" s="617"/>
      <c r="J746" s="617"/>
      <c r="K746" s="617"/>
      <c r="L746" s="617"/>
      <c r="M746" s="617"/>
      <c r="N746" s="617"/>
      <c r="O746" s="617"/>
      <c r="P746" s="617"/>
      <c r="Q746" s="617"/>
      <c r="R746" s="617"/>
      <c r="S746" s="617"/>
      <c r="T746" s="617"/>
      <c r="U746" s="617"/>
      <c r="V746" s="617"/>
      <c r="W746" s="617"/>
      <c r="X746" s="617"/>
    </row>
    <row r="747" ht="18.75" customHeight="1">
      <c r="A747" s="617"/>
      <c r="B747" s="617"/>
      <c r="C747" s="617"/>
      <c r="D747" s="617"/>
      <c r="E747" s="617"/>
      <c r="F747" s="617"/>
      <c r="G747" s="617"/>
      <c r="H747" s="617"/>
      <c r="I747" s="617"/>
      <c r="J747" s="617"/>
      <c r="K747" s="617"/>
      <c r="L747" s="617"/>
      <c r="M747" s="617"/>
      <c r="N747" s="617"/>
      <c r="O747" s="617"/>
      <c r="P747" s="617"/>
      <c r="Q747" s="617"/>
      <c r="R747" s="617"/>
      <c r="S747" s="617"/>
      <c r="T747" s="617"/>
      <c r="U747" s="617"/>
      <c r="V747" s="617"/>
      <c r="W747" s="617"/>
      <c r="X747" s="617"/>
    </row>
    <row r="748" ht="18.75" customHeight="1">
      <c r="A748" s="617"/>
      <c r="B748" s="617"/>
      <c r="C748" s="617"/>
      <c r="D748" s="617"/>
      <c r="E748" s="617"/>
      <c r="F748" s="617"/>
      <c r="G748" s="617"/>
      <c r="H748" s="617"/>
      <c r="I748" s="617"/>
      <c r="J748" s="617"/>
      <c r="K748" s="617"/>
      <c r="L748" s="617"/>
      <c r="M748" s="617"/>
      <c r="N748" s="617"/>
      <c r="O748" s="617"/>
      <c r="P748" s="617"/>
      <c r="Q748" s="617"/>
      <c r="R748" s="617"/>
      <c r="S748" s="617"/>
      <c r="T748" s="617"/>
      <c r="U748" s="617"/>
      <c r="V748" s="617"/>
      <c r="W748" s="617"/>
      <c r="X748" s="617"/>
    </row>
    <row r="749" ht="18.75" customHeight="1">
      <c r="A749" s="617"/>
      <c r="B749" s="617"/>
      <c r="C749" s="617"/>
      <c r="D749" s="617"/>
      <c r="E749" s="617"/>
      <c r="F749" s="617"/>
      <c r="G749" s="617"/>
      <c r="H749" s="617"/>
      <c r="I749" s="617"/>
      <c r="J749" s="617"/>
      <c r="K749" s="617"/>
      <c r="L749" s="617"/>
      <c r="M749" s="617"/>
      <c r="N749" s="617"/>
      <c r="O749" s="617"/>
      <c r="P749" s="617"/>
      <c r="Q749" s="617"/>
      <c r="R749" s="617"/>
      <c r="S749" s="617"/>
      <c r="T749" s="617"/>
      <c r="U749" s="617"/>
      <c r="V749" s="617"/>
      <c r="W749" s="617"/>
      <c r="X749" s="617"/>
    </row>
    <row r="750" ht="18.75" customHeight="1">
      <c r="A750" s="617"/>
      <c r="B750" s="617"/>
      <c r="C750" s="617"/>
      <c r="D750" s="617"/>
      <c r="E750" s="617"/>
      <c r="F750" s="617"/>
      <c r="G750" s="617"/>
      <c r="H750" s="617"/>
      <c r="I750" s="617"/>
      <c r="J750" s="617"/>
      <c r="K750" s="617"/>
      <c r="L750" s="617"/>
      <c r="M750" s="617"/>
      <c r="N750" s="617"/>
      <c r="O750" s="617"/>
      <c r="P750" s="617"/>
      <c r="Q750" s="617"/>
      <c r="R750" s="617"/>
      <c r="S750" s="617"/>
      <c r="T750" s="617"/>
      <c r="U750" s="617"/>
      <c r="V750" s="617"/>
      <c r="W750" s="617"/>
      <c r="X750" s="617"/>
    </row>
    <row r="751" ht="18.75" customHeight="1">
      <c r="A751" s="617"/>
      <c r="B751" s="617"/>
      <c r="C751" s="617"/>
      <c r="D751" s="617"/>
      <c r="E751" s="617"/>
      <c r="F751" s="617"/>
      <c r="G751" s="617"/>
      <c r="H751" s="617"/>
      <c r="I751" s="617"/>
      <c r="J751" s="617"/>
      <c r="K751" s="617"/>
      <c r="L751" s="617"/>
      <c r="M751" s="617"/>
      <c r="N751" s="617"/>
      <c r="O751" s="617"/>
      <c r="P751" s="617"/>
      <c r="Q751" s="617"/>
      <c r="R751" s="617"/>
      <c r="S751" s="617"/>
      <c r="T751" s="617"/>
      <c r="U751" s="617"/>
      <c r="V751" s="617"/>
      <c r="W751" s="617"/>
      <c r="X751" s="617"/>
    </row>
    <row r="752" ht="18.75" customHeight="1">
      <c r="A752" s="617"/>
      <c r="B752" s="617"/>
      <c r="C752" s="617"/>
      <c r="D752" s="617"/>
      <c r="E752" s="617"/>
      <c r="F752" s="617"/>
      <c r="G752" s="617"/>
      <c r="H752" s="617"/>
      <c r="I752" s="617"/>
      <c r="J752" s="617"/>
      <c r="K752" s="617"/>
      <c r="L752" s="617"/>
      <c r="M752" s="617"/>
      <c r="N752" s="617"/>
      <c r="O752" s="617"/>
      <c r="P752" s="617"/>
      <c r="Q752" s="617"/>
      <c r="R752" s="617"/>
      <c r="S752" s="617"/>
      <c r="T752" s="617"/>
      <c r="U752" s="617"/>
      <c r="V752" s="617"/>
      <c r="W752" s="617"/>
      <c r="X752" s="617"/>
    </row>
    <row r="753" ht="18.75" customHeight="1">
      <c r="A753" s="617"/>
      <c r="B753" s="617"/>
      <c r="C753" s="617"/>
      <c r="D753" s="617"/>
      <c r="E753" s="617"/>
      <c r="F753" s="617"/>
      <c r="G753" s="617"/>
      <c r="H753" s="617"/>
      <c r="I753" s="617"/>
      <c r="J753" s="617"/>
      <c r="K753" s="617"/>
      <c r="L753" s="617"/>
      <c r="M753" s="617"/>
      <c r="N753" s="617"/>
      <c r="O753" s="617"/>
      <c r="P753" s="617"/>
      <c r="Q753" s="617"/>
      <c r="R753" s="617"/>
      <c r="S753" s="617"/>
      <c r="T753" s="617"/>
      <c r="U753" s="617"/>
      <c r="V753" s="617"/>
      <c r="W753" s="617"/>
      <c r="X753" s="617"/>
    </row>
    <row r="754" ht="18.75" customHeight="1">
      <c r="A754" s="617"/>
      <c r="B754" s="617"/>
      <c r="C754" s="617"/>
      <c r="D754" s="617"/>
      <c r="E754" s="617"/>
      <c r="F754" s="617"/>
      <c r="G754" s="617"/>
      <c r="H754" s="617"/>
      <c r="I754" s="617"/>
      <c r="J754" s="617"/>
      <c r="K754" s="617"/>
      <c r="L754" s="617"/>
      <c r="M754" s="617"/>
      <c r="N754" s="617"/>
      <c r="O754" s="617"/>
      <c r="P754" s="617"/>
      <c r="Q754" s="617"/>
      <c r="R754" s="617"/>
      <c r="S754" s="617"/>
      <c r="T754" s="617"/>
      <c r="U754" s="617"/>
      <c r="V754" s="617"/>
      <c r="W754" s="617"/>
      <c r="X754" s="617"/>
    </row>
    <row r="755" ht="18.75" customHeight="1">
      <c r="A755" s="617"/>
      <c r="B755" s="617"/>
      <c r="C755" s="617"/>
      <c r="D755" s="617"/>
      <c r="E755" s="617"/>
      <c r="F755" s="617"/>
      <c r="G755" s="617"/>
      <c r="H755" s="617"/>
      <c r="I755" s="617"/>
      <c r="J755" s="617"/>
      <c r="K755" s="617"/>
      <c r="L755" s="617"/>
      <c r="M755" s="617"/>
      <c r="N755" s="617"/>
      <c r="O755" s="617"/>
      <c r="P755" s="617"/>
      <c r="Q755" s="617"/>
      <c r="R755" s="617"/>
      <c r="S755" s="617"/>
      <c r="T755" s="617"/>
      <c r="U755" s="617"/>
      <c r="V755" s="617"/>
      <c r="W755" s="617"/>
      <c r="X755" s="617"/>
    </row>
    <row r="756" ht="18.75" customHeight="1">
      <c r="A756" s="617"/>
      <c r="B756" s="617"/>
      <c r="C756" s="617"/>
      <c r="D756" s="617"/>
      <c r="E756" s="617"/>
      <c r="F756" s="617"/>
      <c r="G756" s="617"/>
      <c r="H756" s="617"/>
      <c r="I756" s="617"/>
      <c r="J756" s="617"/>
      <c r="K756" s="617"/>
      <c r="L756" s="617"/>
      <c r="M756" s="617"/>
      <c r="N756" s="617"/>
      <c r="O756" s="617"/>
      <c r="P756" s="617"/>
      <c r="Q756" s="617"/>
      <c r="R756" s="617"/>
      <c r="S756" s="617"/>
      <c r="T756" s="617"/>
      <c r="U756" s="617"/>
      <c r="V756" s="617"/>
      <c r="W756" s="617"/>
      <c r="X756" s="617"/>
    </row>
    <row r="757" ht="18.75" customHeight="1">
      <c r="A757" s="617"/>
      <c r="B757" s="617"/>
      <c r="C757" s="617"/>
      <c r="D757" s="617"/>
      <c r="E757" s="617"/>
      <c r="F757" s="617"/>
      <c r="G757" s="617"/>
      <c r="H757" s="617"/>
      <c r="I757" s="617"/>
      <c r="J757" s="617"/>
      <c r="K757" s="617"/>
      <c r="L757" s="617"/>
      <c r="M757" s="617"/>
      <c r="N757" s="617"/>
      <c r="O757" s="617"/>
      <c r="P757" s="617"/>
      <c r="Q757" s="617"/>
      <c r="R757" s="617"/>
      <c r="S757" s="617"/>
      <c r="T757" s="617"/>
      <c r="U757" s="617"/>
      <c r="V757" s="617"/>
      <c r="W757" s="617"/>
      <c r="X757" s="617"/>
    </row>
    <row r="758" ht="18.75" customHeight="1">
      <c r="A758" s="617"/>
      <c r="B758" s="617"/>
      <c r="C758" s="617"/>
      <c r="D758" s="617"/>
      <c r="E758" s="617"/>
      <c r="F758" s="617"/>
      <c r="G758" s="617"/>
      <c r="H758" s="617"/>
      <c r="I758" s="617"/>
      <c r="J758" s="617"/>
      <c r="K758" s="617"/>
      <c r="L758" s="617"/>
      <c r="M758" s="617"/>
      <c r="N758" s="617"/>
      <c r="O758" s="617"/>
      <c r="P758" s="617"/>
      <c r="Q758" s="617"/>
      <c r="R758" s="617"/>
      <c r="S758" s="617"/>
      <c r="T758" s="617"/>
      <c r="U758" s="617"/>
      <c r="V758" s="617"/>
      <c r="W758" s="617"/>
      <c r="X758" s="617"/>
    </row>
    <row r="759" ht="18.75" customHeight="1">
      <c r="A759" s="617"/>
      <c r="B759" s="617"/>
      <c r="C759" s="617"/>
      <c r="D759" s="617"/>
      <c r="E759" s="617"/>
      <c r="F759" s="617"/>
      <c r="G759" s="617"/>
      <c r="H759" s="617"/>
      <c r="I759" s="617"/>
      <c r="J759" s="617"/>
      <c r="K759" s="617"/>
      <c r="L759" s="617"/>
      <c r="M759" s="617"/>
      <c r="N759" s="617"/>
      <c r="O759" s="617"/>
      <c r="P759" s="617"/>
      <c r="Q759" s="617"/>
      <c r="R759" s="617"/>
      <c r="S759" s="617"/>
      <c r="T759" s="617"/>
      <c r="U759" s="617"/>
      <c r="V759" s="617"/>
      <c r="W759" s="617"/>
      <c r="X759" s="617"/>
    </row>
    <row r="760" ht="18.75" customHeight="1">
      <c r="A760" s="617"/>
      <c r="B760" s="617"/>
      <c r="C760" s="617"/>
      <c r="D760" s="617"/>
      <c r="E760" s="617"/>
      <c r="F760" s="617"/>
      <c r="G760" s="617"/>
      <c r="H760" s="617"/>
      <c r="I760" s="617"/>
      <c r="J760" s="617"/>
      <c r="K760" s="617"/>
      <c r="L760" s="617"/>
      <c r="M760" s="617"/>
      <c r="N760" s="617"/>
      <c r="O760" s="617"/>
      <c r="P760" s="617"/>
      <c r="Q760" s="617"/>
      <c r="R760" s="617"/>
      <c r="S760" s="617"/>
      <c r="T760" s="617"/>
      <c r="U760" s="617"/>
      <c r="V760" s="617"/>
      <c r="W760" s="617"/>
      <c r="X760" s="617"/>
    </row>
    <row r="761" ht="18.75" customHeight="1">
      <c r="A761" s="617"/>
      <c r="B761" s="617"/>
      <c r="C761" s="617"/>
      <c r="D761" s="617"/>
      <c r="E761" s="617"/>
      <c r="F761" s="617"/>
      <c r="G761" s="617"/>
      <c r="H761" s="617"/>
      <c r="I761" s="617"/>
      <c r="J761" s="617"/>
      <c r="K761" s="617"/>
      <c r="L761" s="617"/>
      <c r="M761" s="617"/>
      <c r="N761" s="617"/>
      <c r="O761" s="617"/>
      <c r="P761" s="617"/>
      <c r="Q761" s="617"/>
      <c r="R761" s="617"/>
      <c r="S761" s="617"/>
      <c r="T761" s="617"/>
      <c r="U761" s="617"/>
      <c r="V761" s="617"/>
      <c r="W761" s="617"/>
      <c r="X761" s="617"/>
    </row>
    <row r="762" ht="18.75" customHeight="1">
      <c r="A762" s="617"/>
      <c r="B762" s="617"/>
      <c r="C762" s="617"/>
      <c r="D762" s="617"/>
      <c r="E762" s="617"/>
      <c r="F762" s="617"/>
      <c r="G762" s="617"/>
      <c r="H762" s="617"/>
      <c r="I762" s="617"/>
      <c r="J762" s="617"/>
      <c r="K762" s="617"/>
      <c r="L762" s="617"/>
      <c r="M762" s="617"/>
      <c r="N762" s="617"/>
      <c r="O762" s="617"/>
      <c r="P762" s="617"/>
      <c r="Q762" s="617"/>
      <c r="R762" s="617"/>
      <c r="S762" s="617"/>
      <c r="T762" s="617"/>
      <c r="U762" s="617"/>
      <c r="V762" s="617"/>
      <c r="W762" s="617"/>
      <c r="X762" s="617"/>
    </row>
    <row r="763" ht="18.75" customHeight="1">
      <c r="A763" s="617"/>
      <c r="B763" s="617"/>
      <c r="C763" s="617"/>
      <c r="D763" s="617"/>
      <c r="E763" s="617"/>
      <c r="F763" s="617"/>
      <c r="G763" s="617"/>
      <c r="H763" s="617"/>
      <c r="I763" s="617"/>
      <c r="J763" s="617"/>
      <c r="K763" s="617"/>
      <c r="L763" s="617"/>
      <c r="M763" s="617"/>
      <c r="N763" s="617"/>
      <c r="O763" s="617"/>
      <c r="P763" s="617"/>
      <c r="Q763" s="617"/>
      <c r="R763" s="617"/>
      <c r="S763" s="617"/>
      <c r="T763" s="617"/>
      <c r="U763" s="617"/>
      <c r="V763" s="617"/>
      <c r="W763" s="617"/>
      <c r="X763" s="617"/>
    </row>
    <row r="764" ht="18.75" customHeight="1">
      <c r="A764" s="617"/>
      <c r="B764" s="617"/>
      <c r="C764" s="617"/>
      <c r="D764" s="617"/>
      <c r="E764" s="617"/>
      <c r="F764" s="617"/>
      <c r="G764" s="617"/>
      <c r="H764" s="617"/>
      <c r="I764" s="617"/>
      <c r="J764" s="617"/>
      <c r="K764" s="617"/>
      <c r="L764" s="617"/>
      <c r="M764" s="617"/>
      <c r="N764" s="617"/>
      <c r="O764" s="617"/>
      <c r="P764" s="617"/>
      <c r="Q764" s="617"/>
      <c r="R764" s="617"/>
      <c r="S764" s="617"/>
      <c r="T764" s="617"/>
      <c r="U764" s="617"/>
      <c r="V764" s="617"/>
      <c r="W764" s="617"/>
      <c r="X764" s="617"/>
    </row>
    <row r="765" ht="18.75" customHeight="1">
      <c r="A765" s="617"/>
      <c r="B765" s="617"/>
      <c r="C765" s="617"/>
      <c r="D765" s="617"/>
      <c r="E765" s="617"/>
      <c r="F765" s="617"/>
      <c r="G765" s="617"/>
      <c r="H765" s="617"/>
      <c r="I765" s="617"/>
      <c r="J765" s="617"/>
      <c r="K765" s="617"/>
      <c r="L765" s="617"/>
      <c r="M765" s="617"/>
      <c r="N765" s="617"/>
      <c r="O765" s="617"/>
      <c r="P765" s="617"/>
      <c r="Q765" s="617"/>
      <c r="R765" s="617"/>
      <c r="S765" s="617"/>
      <c r="T765" s="617"/>
      <c r="U765" s="617"/>
      <c r="V765" s="617"/>
      <c r="W765" s="617"/>
      <c r="X765" s="617"/>
    </row>
    <row r="766" ht="18.75" customHeight="1">
      <c r="A766" s="617"/>
      <c r="B766" s="617"/>
      <c r="C766" s="617"/>
      <c r="D766" s="617"/>
      <c r="E766" s="617"/>
      <c r="F766" s="617"/>
      <c r="G766" s="617"/>
      <c r="H766" s="617"/>
      <c r="I766" s="617"/>
      <c r="J766" s="617"/>
      <c r="K766" s="617"/>
      <c r="L766" s="617"/>
      <c r="M766" s="617"/>
      <c r="N766" s="617"/>
      <c r="O766" s="617"/>
      <c r="P766" s="617"/>
      <c r="Q766" s="617"/>
      <c r="R766" s="617"/>
      <c r="S766" s="617"/>
      <c r="T766" s="617"/>
      <c r="U766" s="617"/>
      <c r="V766" s="617"/>
      <c r="W766" s="617"/>
      <c r="X766" s="617"/>
    </row>
    <row r="767" ht="18.75" customHeight="1">
      <c r="A767" s="617"/>
      <c r="B767" s="617"/>
      <c r="C767" s="617"/>
      <c r="D767" s="617"/>
      <c r="E767" s="617"/>
      <c r="F767" s="617"/>
      <c r="G767" s="617"/>
      <c r="H767" s="617"/>
      <c r="I767" s="617"/>
      <c r="J767" s="617"/>
      <c r="K767" s="617"/>
      <c r="L767" s="617"/>
      <c r="M767" s="617"/>
      <c r="N767" s="617"/>
      <c r="O767" s="617"/>
      <c r="P767" s="617"/>
      <c r="Q767" s="617"/>
      <c r="R767" s="617"/>
      <c r="S767" s="617"/>
      <c r="T767" s="617"/>
      <c r="U767" s="617"/>
      <c r="V767" s="617"/>
      <c r="W767" s="617"/>
      <c r="X767" s="617"/>
    </row>
    <row r="768" ht="18.75" customHeight="1">
      <c r="A768" s="617"/>
      <c r="B768" s="617"/>
      <c r="C768" s="617"/>
      <c r="D768" s="617"/>
      <c r="E768" s="617"/>
      <c r="F768" s="617"/>
      <c r="G768" s="617"/>
      <c r="H768" s="617"/>
      <c r="I768" s="617"/>
      <c r="J768" s="617"/>
      <c r="K768" s="617"/>
      <c r="L768" s="617"/>
      <c r="M768" s="617"/>
      <c r="N768" s="617"/>
      <c r="O768" s="617"/>
      <c r="P768" s="617"/>
      <c r="Q768" s="617"/>
      <c r="R768" s="617"/>
      <c r="S768" s="617"/>
      <c r="T768" s="617"/>
      <c r="U768" s="617"/>
      <c r="V768" s="617"/>
      <c r="W768" s="617"/>
      <c r="X768" s="617"/>
    </row>
    <row r="769" ht="18.75" customHeight="1">
      <c r="A769" s="617"/>
      <c r="B769" s="617"/>
      <c r="C769" s="617"/>
      <c r="D769" s="617"/>
      <c r="E769" s="617"/>
      <c r="F769" s="617"/>
      <c r="G769" s="617"/>
      <c r="H769" s="617"/>
      <c r="I769" s="617"/>
      <c r="J769" s="617"/>
      <c r="K769" s="617"/>
      <c r="L769" s="617"/>
      <c r="M769" s="617"/>
      <c r="N769" s="617"/>
      <c r="O769" s="617"/>
      <c r="P769" s="617"/>
      <c r="Q769" s="617"/>
      <c r="R769" s="617"/>
      <c r="S769" s="617"/>
      <c r="T769" s="617"/>
      <c r="U769" s="617"/>
      <c r="V769" s="617"/>
      <c r="W769" s="617"/>
      <c r="X769" s="617"/>
    </row>
    <row r="770" ht="18.75" customHeight="1">
      <c r="A770" s="617"/>
      <c r="B770" s="617"/>
      <c r="C770" s="617"/>
      <c r="D770" s="617"/>
      <c r="E770" s="617"/>
      <c r="F770" s="617"/>
      <c r="G770" s="617"/>
      <c r="H770" s="617"/>
      <c r="I770" s="617"/>
      <c r="J770" s="617"/>
      <c r="K770" s="617"/>
      <c r="L770" s="617"/>
      <c r="M770" s="617"/>
      <c r="N770" s="617"/>
      <c r="O770" s="617"/>
      <c r="P770" s="617"/>
      <c r="Q770" s="617"/>
      <c r="R770" s="617"/>
      <c r="S770" s="617"/>
      <c r="T770" s="617"/>
      <c r="U770" s="617"/>
      <c r="V770" s="617"/>
      <c r="W770" s="617"/>
      <c r="X770" s="617"/>
    </row>
    <row r="771" ht="18.75" customHeight="1">
      <c r="A771" s="617"/>
      <c r="B771" s="617"/>
      <c r="C771" s="617"/>
      <c r="D771" s="617"/>
      <c r="E771" s="617"/>
      <c r="F771" s="617"/>
      <c r="G771" s="617"/>
      <c r="H771" s="617"/>
      <c r="I771" s="617"/>
      <c r="J771" s="617"/>
      <c r="K771" s="617"/>
      <c r="L771" s="617"/>
      <c r="M771" s="617"/>
      <c r="N771" s="617"/>
      <c r="O771" s="617"/>
      <c r="P771" s="617"/>
      <c r="Q771" s="617"/>
      <c r="R771" s="617"/>
      <c r="S771" s="617"/>
      <c r="T771" s="617"/>
      <c r="U771" s="617"/>
      <c r="V771" s="617"/>
      <c r="W771" s="617"/>
      <c r="X771" s="617"/>
    </row>
    <row r="772" ht="18.75" customHeight="1">
      <c r="A772" s="617"/>
      <c r="B772" s="617"/>
      <c r="C772" s="617"/>
      <c r="D772" s="617"/>
      <c r="E772" s="617"/>
      <c r="F772" s="617"/>
      <c r="G772" s="617"/>
      <c r="H772" s="617"/>
      <c r="I772" s="617"/>
      <c r="J772" s="617"/>
      <c r="K772" s="617"/>
      <c r="L772" s="617"/>
      <c r="M772" s="617"/>
      <c r="N772" s="617"/>
      <c r="O772" s="617"/>
      <c r="P772" s="617"/>
      <c r="Q772" s="617"/>
      <c r="R772" s="617"/>
      <c r="S772" s="617"/>
      <c r="T772" s="617"/>
      <c r="U772" s="617"/>
      <c r="V772" s="617"/>
      <c r="W772" s="617"/>
      <c r="X772" s="617"/>
    </row>
    <row r="773" ht="18.75" customHeight="1">
      <c r="A773" s="617"/>
      <c r="B773" s="617"/>
      <c r="C773" s="617"/>
      <c r="D773" s="617"/>
      <c r="E773" s="617"/>
      <c r="F773" s="617"/>
      <c r="G773" s="617"/>
      <c r="H773" s="617"/>
      <c r="I773" s="617"/>
      <c r="J773" s="617"/>
      <c r="K773" s="617"/>
      <c r="L773" s="617"/>
      <c r="M773" s="617"/>
      <c r="N773" s="617"/>
      <c r="O773" s="617"/>
      <c r="P773" s="617"/>
      <c r="Q773" s="617"/>
      <c r="R773" s="617"/>
      <c r="S773" s="617"/>
      <c r="T773" s="617"/>
      <c r="U773" s="617"/>
      <c r="V773" s="617"/>
      <c r="W773" s="617"/>
      <c r="X773" s="617"/>
    </row>
    <row r="774" ht="18.75" customHeight="1">
      <c r="A774" s="617"/>
      <c r="B774" s="617"/>
      <c r="C774" s="617"/>
      <c r="D774" s="617"/>
      <c r="E774" s="617"/>
      <c r="F774" s="617"/>
      <c r="G774" s="617"/>
      <c r="H774" s="617"/>
      <c r="I774" s="617"/>
      <c r="J774" s="617"/>
      <c r="K774" s="617"/>
      <c r="L774" s="617"/>
      <c r="M774" s="617"/>
      <c r="N774" s="617"/>
      <c r="O774" s="617"/>
      <c r="P774" s="617"/>
      <c r="Q774" s="617"/>
      <c r="R774" s="617"/>
      <c r="S774" s="617"/>
      <c r="T774" s="617"/>
      <c r="U774" s="617"/>
      <c r="V774" s="617"/>
      <c r="W774" s="617"/>
      <c r="X774" s="617"/>
    </row>
    <row r="775" ht="18.75" customHeight="1">
      <c r="A775" s="617"/>
      <c r="B775" s="617"/>
      <c r="C775" s="617"/>
      <c r="D775" s="617"/>
      <c r="E775" s="617"/>
      <c r="F775" s="617"/>
      <c r="G775" s="617"/>
      <c r="H775" s="617"/>
      <c r="I775" s="617"/>
      <c r="J775" s="617"/>
      <c r="K775" s="617"/>
      <c r="L775" s="617"/>
      <c r="M775" s="617"/>
      <c r="N775" s="617"/>
      <c r="O775" s="617"/>
      <c r="P775" s="617"/>
      <c r="Q775" s="617"/>
      <c r="R775" s="617"/>
      <c r="S775" s="617"/>
      <c r="T775" s="617"/>
      <c r="U775" s="617"/>
      <c r="V775" s="617"/>
      <c r="W775" s="617"/>
      <c r="X775" s="617"/>
    </row>
    <row r="776" ht="18.75" customHeight="1">
      <c r="A776" s="617"/>
      <c r="B776" s="617"/>
      <c r="C776" s="617"/>
      <c r="D776" s="617"/>
      <c r="E776" s="617"/>
      <c r="F776" s="617"/>
      <c r="G776" s="617"/>
      <c r="H776" s="617"/>
      <c r="I776" s="617"/>
      <c r="J776" s="617"/>
      <c r="K776" s="617"/>
      <c r="L776" s="617"/>
      <c r="M776" s="617"/>
      <c r="N776" s="617"/>
      <c r="O776" s="617"/>
      <c r="P776" s="617"/>
      <c r="Q776" s="617"/>
      <c r="R776" s="617"/>
      <c r="S776" s="617"/>
      <c r="T776" s="617"/>
      <c r="U776" s="617"/>
      <c r="V776" s="617"/>
      <c r="W776" s="617"/>
      <c r="X776" s="617"/>
    </row>
    <row r="777" ht="18.75" customHeight="1">
      <c r="A777" s="617"/>
      <c r="B777" s="617"/>
      <c r="C777" s="617"/>
      <c r="D777" s="617"/>
      <c r="E777" s="617"/>
      <c r="F777" s="617"/>
      <c r="G777" s="617"/>
      <c r="H777" s="617"/>
      <c r="I777" s="617"/>
      <c r="J777" s="617"/>
      <c r="K777" s="617"/>
      <c r="L777" s="617"/>
      <c r="M777" s="617"/>
      <c r="N777" s="617"/>
      <c r="O777" s="617"/>
      <c r="P777" s="617"/>
      <c r="Q777" s="617"/>
      <c r="R777" s="617"/>
      <c r="S777" s="617"/>
      <c r="T777" s="617"/>
      <c r="U777" s="617"/>
      <c r="V777" s="617"/>
      <c r="W777" s="617"/>
      <c r="X777" s="617"/>
    </row>
    <row r="778" ht="18.75" customHeight="1">
      <c r="A778" s="617"/>
      <c r="B778" s="617"/>
      <c r="C778" s="617"/>
      <c r="D778" s="617"/>
      <c r="E778" s="617"/>
      <c r="F778" s="617"/>
      <c r="G778" s="617"/>
      <c r="H778" s="617"/>
      <c r="I778" s="617"/>
      <c r="J778" s="617"/>
      <c r="K778" s="617"/>
      <c r="L778" s="617"/>
      <c r="M778" s="617"/>
      <c r="N778" s="617"/>
      <c r="O778" s="617"/>
      <c r="P778" s="617"/>
      <c r="Q778" s="617"/>
      <c r="R778" s="617"/>
      <c r="S778" s="617"/>
      <c r="T778" s="617"/>
      <c r="U778" s="617"/>
      <c r="V778" s="617"/>
      <c r="W778" s="617"/>
      <c r="X778" s="617"/>
    </row>
    <row r="779" ht="18.75" customHeight="1">
      <c r="A779" s="617"/>
      <c r="B779" s="617"/>
      <c r="C779" s="617"/>
      <c r="D779" s="617"/>
      <c r="E779" s="617"/>
      <c r="F779" s="617"/>
      <c r="G779" s="617"/>
      <c r="H779" s="617"/>
      <c r="I779" s="617"/>
      <c r="J779" s="617"/>
      <c r="K779" s="617"/>
      <c r="L779" s="617"/>
      <c r="M779" s="617"/>
      <c r="N779" s="617"/>
      <c r="O779" s="617"/>
      <c r="P779" s="617"/>
      <c r="Q779" s="617"/>
      <c r="R779" s="617"/>
      <c r="S779" s="617"/>
      <c r="T779" s="617"/>
      <c r="U779" s="617"/>
      <c r="V779" s="617"/>
      <c r="W779" s="617"/>
      <c r="X779" s="617"/>
    </row>
    <row r="780" ht="18.75" customHeight="1">
      <c r="A780" s="617"/>
      <c r="B780" s="617"/>
      <c r="C780" s="617"/>
      <c r="D780" s="617"/>
      <c r="E780" s="617"/>
      <c r="F780" s="617"/>
      <c r="G780" s="617"/>
      <c r="H780" s="617"/>
      <c r="I780" s="617"/>
      <c r="J780" s="617"/>
      <c r="K780" s="617"/>
      <c r="L780" s="617"/>
      <c r="M780" s="617"/>
      <c r="N780" s="617"/>
      <c r="O780" s="617"/>
      <c r="P780" s="617"/>
      <c r="Q780" s="617"/>
      <c r="R780" s="617"/>
      <c r="S780" s="617"/>
      <c r="T780" s="617"/>
      <c r="U780" s="617"/>
      <c r="V780" s="617"/>
      <c r="W780" s="617"/>
      <c r="X780" s="617"/>
    </row>
    <row r="781" ht="18.75" customHeight="1">
      <c r="A781" s="617"/>
      <c r="B781" s="617"/>
      <c r="C781" s="617"/>
      <c r="D781" s="617"/>
      <c r="E781" s="617"/>
      <c r="F781" s="617"/>
      <c r="G781" s="617"/>
      <c r="H781" s="617"/>
      <c r="I781" s="617"/>
      <c r="J781" s="617"/>
      <c r="K781" s="617"/>
      <c r="L781" s="617"/>
      <c r="M781" s="617"/>
      <c r="N781" s="617"/>
      <c r="O781" s="617"/>
      <c r="P781" s="617"/>
      <c r="Q781" s="617"/>
      <c r="R781" s="617"/>
      <c r="S781" s="617"/>
      <c r="T781" s="617"/>
      <c r="U781" s="617"/>
      <c r="V781" s="617"/>
      <c r="W781" s="617"/>
      <c r="X781" s="617"/>
    </row>
    <row r="782" ht="18.75" customHeight="1">
      <c r="A782" s="617"/>
      <c r="B782" s="617"/>
      <c r="C782" s="617"/>
      <c r="D782" s="617"/>
      <c r="E782" s="617"/>
      <c r="F782" s="617"/>
      <c r="G782" s="617"/>
      <c r="H782" s="617"/>
      <c r="I782" s="617"/>
      <c r="J782" s="617"/>
      <c r="K782" s="617"/>
      <c r="L782" s="617"/>
      <c r="M782" s="617"/>
      <c r="N782" s="617"/>
      <c r="O782" s="617"/>
      <c r="P782" s="617"/>
      <c r="Q782" s="617"/>
      <c r="R782" s="617"/>
      <c r="S782" s="617"/>
      <c r="T782" s="617"/>
      <c r="U782" s="617"/>
      <c r="V782" s="617"/>
      <c r="W782" s="617"/>
      <c r="X782" s="617"/>
    </row>
    <row r="783" ht="18.75" customHeight="1">
      <c r="A783" s="617"/>
      <c r="B783" s="617"/>
      <c r="C783" s="617"/>
      <c r="D783" s="617"/>
      <c r="E783" s="617"/>
      <c r="F783" s="617"/>
      <c r="G783" s="617"/>
      <c r="H783" s="617"/>
      <c r="I783" s="617"/>
      <c r="J783" s="617"/>
      <c r="K783" s="617"/>
      <c r="L783" s="617"/>
      <c r="M783" s="617"/>
      <c r="N783" s="617"/>
      <c r="O783" s="617"/>
      <c r="P783" s="617"/>
      <c r="Q783" s="617"/>
      <c r="R783" s="617"/>
      <c r="S783" s="617"/>
      <c r="T783" s="617"/>
      <c r="U783" s="617"/>
      <c r="V783" s="617"/>
      <c r="W783" s="617"/>
      <c r="X783" s="617"/>
    </row>
    <row r="784" ht="18.75" customHeight="1">
      <c r="A784" s="617"/>
      <c r="B784" s="617"/>
      <c r="C784" s="617"/>
      <c r="D784" s="617"/>
      <c r="E784" s="617"/>
      <c r="F784" s="617"/>
      <c r="G784" s="617"/>
      <c r="H784" s="617"/>
      <c r="I784" s="617"/>
      <c r="J784" s="617"/>
      <c r="K784" s="617"/>
      <c r="L784" s="617"/>
      <c r="M784" s="617"/>
      <c r="N784" s="617"/>
      <c r="O784" s="617"/>
      <c r="P784" s="617"/>
      <c r="Q784" s="617"/>
      <c r="R784" s="617"/>
      <c r="S784" s="617"/>
      <c r="T784" s="617"/>
      <c r="U784" s="617"/>
      <c r="V784" s="617"/>
      <c r="W784" s="617"/>
      <c r="X784" s="617"/>
    </row>
    <row r="785" ht="18.75" customHeight="1">
      <c r="A785" s="617"/>
      <c r="B785" s="617"/>
      <c r="C785" s="617"/>
      <c r="D785" s="617"/>
      <c r="E785" s="617"/>
      <c r="F785" s="617"/>
      <c r="G785" s="617"/>
      <c r="H785" s="617"/>
      <c r="I785" s="617"/>
      <c r="J785" s="617"/>
      <c r="K785" s="617"/>
      <c r="L785" s="617"/>
      <c r="M785" s="617"/>
      <c r="N785" s="617"/>
      <c r="O785" s="617"/>
      <c r="P785" s="617"/>
      <c r="Q785" s="617"/>
      <c r="R785" s="617"/>
      <c r="S785" s="617"/>
      <c r="T785" s="617"/>
      <c r="U785" s="617"/>
      <c r="V785" s="617"/>
      <c r="W785" s="617"/>
      <c r="X785" s="617"/>
    </row>
    <row r="786" ht="18.75" customHeight="1">
      <c r="A786" s="617"/>
      <c r="B786" s="617"/>
      <c r="C786" s="617"/>
      <c r="D786" s="617"/>
      <c r="E786" s="617"/>
      <c r="F786" s="617"/>
      <c r="G786" s="617"/>
      <c r="H786" s="617"/>
      <c r="I786" s="617"/>
      <c r="J786" s="617"/>
      <c r="K786" s="617"/>
      <c r="L786" s="617"/>
      <c r="M786" s="617"/>
      <c r="N786" s="617"/>
      <c r="O786" s="617"/>
      <c r="P786" s="617"/>
      <c r="Q786" s="617"/>
      <c r="R786" s="617"/>
      <c r="S786" s="617"/>
      <c r="T786" s="617"/>
      <c r="U786" s="617"/>
      <c r="V786" s="617"/>
      <c r="W786" s="617"/>
      <c r="X786" s="617"/>
    </row>
    <row r="787" ht="18.75" customHeight="1">
      <c r="A787" s="617"/>
      <c r="B787" s="617"/>
      <c r="C787" s="617"/>
      <c r="D787" s="617"/>
      <c r="E787" s="617"/>
      <c r="F787" s="617"/>
      <c r="G787" s="617"/>
      <c r="H787" s="617"/>
      <c r="I787" s="617"/>
      <c r="J787" s="617"/>
      <c r="K787" s="617"/>
      <c r="L787" s="617"/>
      <c r="M787" s="617"/>
      <c r="N787" s="617"/>
      <c r="O787" s="617"/>
      <c r="P787" s="617"/>
      <c r="Q787" s="617"/>
      <c r="R787" s="617"/>
      <c r="S787" s="617"/>
      <c r="T787" s="617"/>
      <c r="U787" s="617"/>
      <c r="V787" s="617"/>
      <c r="W787" s="617"/>
      <c r="X787" s="617"/>
    </row>
    <row r="788" ht="18.75" customHeight="1">
      <c r="A788" s="617"/>
      <c r="B788" s="617"/>
      <c r="C788" s="617"/>
      <c r="D788" s="617"/>
      <c r="E788" s="617"/>
      <c r="F788" s="617"/>
      <c r="G788" s="617"/>
      <c r="H788" s="617"/>
      <c r="I788" s="617"/>
      <c r="J788" s="617"/>
      <c r="K788" s="617"/>
      <c r="L788" s="617"/>
      <c r="M788" s="617"/>
      <c r="N788" s="617"/>
      <c r="O788" s="617"/>
      <c r="P788" s="617"/>
      <c r="Q788" s="617"/>
      <c r="R788" s="617"/>
      <c r="S788" s="617"/>
      <c r="T788" s="617"/>
      <c r="U788" s="617"/>
      <c r="V788" s="617"/>
      <c r="W788" s="617"/>
      <c r="X788" s="617"/>
    </row>
    <row r="789" ht="18.75" customHeight="1">
      <c r="A789" s="617"/>
      <c r="B789" s="617"/>
      <c r="C789" s="617"/>
      <c r="D789" s="617"/>
      <c r="E789" s="617"/>
      <c r="F789" s="617"/>
      <c r="G789" s="617"/>
      <c r="H789" s="617"/>
      <c r="I789" s="617"/>
      <c r="J789" s="617"/>
      <c r="K789" s="617"/>
      <c r="L789" s="617"/>
      <c r="M789" s="617"/>
      <c r="N789" s="617"/>
      <c r="O789" s="617"/>
      <c r="P789" s="617"/>
      <c r="Q789" s="617"/>
      <c r="R789" s="617"/>
      <c r="S789" s="617"/>
      <c r="T789" s="617"/>
      <c r="U789" s="617"/>
      <c r="V789" s="617"/>
      <c r="W789" s="617"/>
      <c r="X789" s="617"/>
    </row>
    <row r="790" ht="18.75" customHeight="1">
      <c r="A790" s="617"/>
      <c r="B790" s="617"/>
      <c r="C790" s="617"/>
      <c r="D790" s="617"/>
      <c r="E790" s="617"/>
      <c r="F790" s="617"/>
      <c r="G790" s="617"/>
      <c r="H790" s="617"/>
      <c r="I790" s="617"/>
      <c r="J790" s="617"/>
      <c r="K790" s="617"/>
      <c r="L790" s="617"/>
      <c r="M790" s="617"/>
      <c r="N790" s="617"/>
      <c r="O790" s="617"/>
      <c r="P790" s="617"/>
      <c r="Q790" s="617"/>
      <c r="R790" s="617"/>
      <c r="S790" s="617"/>
      <c r="T790" s="617"/>
      <c r="U790" s="617"/>
      <c r="V790" s="617"/>
      <c r="W790" s="617"/>
      <c r="X790" s="617"/>
    </row>
    <row r="791" ht="18.75" customHeight="1">
      <c r="A791" s="617"/>
      <c r="B791" s="617"/>
      <c r="C791" s="617"/>
      <c r="D791" s="617"/>
      <c r="E791" s="617"/>
      <c r="F791" s="617"/>
      <c r="G791" s="617"/>
      <c r="H791" s="617"/>
      <c r="I791" s="617"/>
      <c r="J791" s="617"/>
      <c r="K791" s="617"/>
      <c r="L791" s="617"/>
      <c r="M791" s="617"/>
      <c r="N791" s="617"/>
      <c r="O791" s="617"/>
      <c r="P791" s="617"/>
      <c r="Q791" s="617"/>
      <c r="R791" s="617"/>
      <c r="S791" s="617"/>
      <c r="T791" s="617"/>
      <c r="U791" s="617"/>
      <c r="V791" s="617"/>
      <c r="W791" s="617"/>
      <c r="X791" s="617"/>
    </row>
    <row r="792" ht="18.75" customHeight="1">
      <c r="A792" s="617"/>
      <c r="B792" s="617"/>
      <c r="C792" s="617"/>
      <c r="D792" s="617"/>
      <c r="E792" s="617"/>
      <c r="F792" s="617"/>
      <c r="G792" s="617"/>
      <c r="H792" s="617"/>
      <c r="I792" s="617"/>
      <c r="J792" s="617"/>
      <c r="K792" s="617"/>
      <c r="L792" s="617"/>
      <c r="M792" s="617"/>
      <c r="N792" s="617"/>
      <c r="O792" s="617"/>
      <c r="P792" s="617"/>
      <c r="Q792" s="617"/>
      <c r="R792" s="617"/>
      <c r="S792" s="617"/>
      <c r="T792" s="617"/>
      <c r="U792" s="617"/>
      <c r="V792" s="617"/>
      <c r="W792" s="617"/>
      <c r="X792" s="617"/>
    </row>
    <row r="793" ht="18.75" customHeight="1">
      <c r="A793" s="617"/>
      <c r="B793" s="617"/>
      <c r="C793" s="617"/>
      <c r="D793" s="617"/>
      <c r="E793" s="617"/>
      <c r="F793" s="617"/>
      <c r="G793" s="617"/>
      <c r="H793" s="617"/>
      <c r="I793" s="617"/>
      <c r="J793" s="617"/>
      <c r="K793" s="617"/>
      <c r="L793" s="617"/>
      <c r="M793" s="617"/>
      <c r="N793" s="617"/>
      <c r="O793" s="617"/>
      <c r="P793" s="617"/>
      <c r="Q793" s="617"/>
      <c r="R793" s="617"/>
      <c r="S793" s="617"/>
      <c r="T793" s="617"/>
      <c r="U793" s="617"/>
      <c r="V793" s="617"/>
      <c r="W793" s="617"/>
      <c r="X793" s="617"/>
    </row>
    <row r="794" ht="18.75" customHeight="1">
      <c r="A794" s="617"/>
      <c r="B794" s="617"/>
      <c r="C794" s="617"/>
      <c r="D794" s="617"/>
      <c r="E794" s="617"/>
      <c r="F794" s="617"/>
      <c r="G794" s="617"/>
      <c r="H794" s="617"/>
      <c r="I794" s="617"/>
      <c r="J794" s="617"/>
      <c r="K794" s="617"/>
      <c r="L794" s="617"/>
      <c r="M794" s="617"/>
      <c r="N794" s="617"/>
      <c r="O794" s="617"/>
      <c r="P794" s="617"/>
      <c r="Q794" s="617"/>
      <c r="R794" s="617"/>
      <c r="S794" s="617"/>
      <c r="T794" s="617"/>
      <c r="U794" s="617"/>
      <c r="V794" s="617"/>
      <c r="W794" s="617"/>
      <c r="X794" s="617"/>
    </row>
    <row r="795" ht="18.75" customHeight="1">
      <c r="A795" s="617"/>
      <c r="B795" s="617"/>
      <c r="C795" s="617"/>
      <c r="D795" s="617"/>
      <c r="E795" s="617"/>
      <c r="F795" s="617"/>
      <c r="G795" s="617"/>
      <c r="H795" s="617"/>
      <c r="I795" s="617"/>
      <c r="J795" s="617"/>
      <c r="K795" s="617"/>
      <c r="L795" s="617"/>
      <c r="M795" s="617"/>
      <c r="N795" s="617"/>
      <c r="O795" s="617"/>
      <c r="P795" s="617"/>
      <c r="Q795" s="617"/>
      <c r="R795" s="617"/>
      <c r="S795" s="617"/>
      <c r="T795" s="617"/>
      <c r="U795" s="617"/>
      <c r="V795" s="617"/>
      <c r="W795" s="617"/>
      <c r="X795" s="617"/>
    </row>
    <row r="796" ht="18.75" customHeight="1">
      <c r="A796" s="617"/>
      <c r="B796" s="617"/>
      <c r="C796" s="617"/>
      <c r="D796" s="617"/>
      <c r="E796" s="617"/>
      <c r="F796" s="617"/>
      <c r="G796" s="617"/>
      <c r="H796" s="617"/>
      <c r="I796" s="617"/>
      <c r="J796" s="617"/>
      <c r="K796" s="617"/>
      <c r="L796" s="617"/>
      <c r="M796" s="617"/>
      <c r="N796" s="617"/>
      <c r="O796" s="617"/>
      <c r="P796" s="617"/>
      <c r="Q796" s="617"/>
      <c r="R796" s="617"/>
      <c r="S796" s="617"/>
      <c r="T796" s="617"/>
      <c r="U796" s="617"/>
      <c r="V796" s="617"/>
      <c r="W796" s="617"/>
      <c r="X796" s="617"/>
    </row>
    <row r="797" ht="18.75" customHeight="1">
      <c r="A797" s="617"/>
      <c r="B797" s="617"/>
      <c r="C797" s="617"/>
      <c r="D797" s="617"/>
      <c r="E797" s="617"/>
      <c r="F797" s="617"/>
      <c r="G797" s="617"/>
      <c r="H797" s="617"/>
      <c r="I797" s="617"/>
      <c r="J797" s="617"/>
      <c r="K797" s="617"/>
      <c r="L797" s="617"/>
      <c r="M797" s="617"/>
      <c r="N797" s="617"/>
      <c r="O797" s="617"/>
      <c r="P797" s="617"/>
      <c r="Q797" s="617"/>
      <c r="R797" s="617"/>
      <c r="S797" s="617"/>
      <c r="T797" s="617"/>
      <c r="U797" s="617"/>
      <c r="V797" s="617"/>
      <c r="W797" s="617"/>
      <c r="X797" s="617"/>
    </row>
    <row r="798" ht="18.75" customHeight="1">
      <c r="A798" s="617"/>
      <c r="B798" s="617"/>
      <c r="C798" s="617"/>
      <c r="D798" s="617"/>
      <c r="E798" s="617"/>
      <c r="F798" s="617"/>
      <c r="G798" s="617"/>
      <c r="H798" s="617"/>
      <c r="I798" s="617"/>
      <c r="J798" s="617"/>
      <c r="K798" s="617"/>
      <c r="L798" s="617"/>
      <c r="M798" s="617"/>
      <c r="N798" s="617"/>
      <c r="O798" s="617"/>
      <c r="P798" s="617"/>
      <c r="Q798" s="617"/>
      <c r="R798" s="617"/>
      <c r="S798" s="617"/>
      <c r="T798" s="617"/>
      <c r="U798" s="617"/>
      <c r="V798" s="617"/>
      <c r="W798" s="617"/>
      <c r="X798" s="617"/>
    </row>
    <row r="799" ht="18.75" customHeight="1">
      <c r="A799" s="617"/>
      <c r="B799" s="617"/>
      <c r="C799" s="617"/>
      <c r="D799" s="617"/>
      <c r="E799" s="617"/>
      <c r="F799" s="617"/>
      <c r="G799" s="617"/>
      <c r="H799" s="617"/>
      <c r="I799" s="617"/>
      <c r="J799" s="617"/>
      <c r="K799" s="617"/>
      <c r="L799" s="617"/>
      <c r="M799" s="617"/>
      <c r="N799" s="617"/>
      <c r="O799" s="617"/>
      <c r="P799" s="617"/>
      <c r="Q799" s="617"/>
      <c r="R799" s="617"/>
      <c r="S799" s="617"/>
      <c r="T799" s="617"/>
      <c r="U799" s="617"/>
      <c r="V799" s="617"/>
      <c r="W799" s="617"/>
      <c r="X799" s="617"/>
    </row>
    <row r="800" ht="18.75" customHeight="1">
      <c r="A800" s="617"/>
      <c r="B800" s="617"/>
      <c r="C800" s="617"/>
      <c r="D800" s="617"/>
      <c r="E800" s="617"/>
      <c r="F800" s="617"/>
      <c r="G800" s="617"/>
      <c r="H800" s="617"/>
      <c r="I800" s="617"/>
      <c r="J800" s="617"/>
      <c r="K800" s="617"/>
      <c r="L800" s="617"/>
      <c r="M800" s="617"/>
      <c r="N800" s="617"/>
      <c r="O800" s="617"/>
      <c r="P800" s="617"/>
      <c r="Q800" s="617"/>
      <c r="R800" s="617"/>
      <c r="S800" s="617"/>
      <c r="T800" s="617"/>
      <c r="U800" s="617"/>
      <c r="V800" s="617"/>
      <c r="W800" s="617"/>
      <c r="X800" s="617"/>
    </row>
    <row r="801" ht="18.75" customHeight="1">
      <c r="A801" s="617"/>
      <c r="B801" s="617"/>
      <c r="C801" s="617"/>
      <c r="D801" s="617"/>
      <c r="E801" s="617"/>
      <c r="F801" s="617"/>
      <c r="G801" s="617"/>
      <c r="H801" s="617"/>
      <c r="I801" s="617"/>
      <c r="J801" s="617"/>
      <c r="K801" s="617"/>
      <c r="L801" s="617"/>
      <c r="M801" s="617"/>
      <c r="N801" s="617"/>
      <c r="O801" s="617"/>
      <c r="P801" s="617"/>
      <c r="Q801" s="617"/>
      <c r="R801" s="617"/>
      <c r="S801" s="617"/>
      <c r="T801" s="617"/>
      <c r="U801" s="617"/>
      <c r="V801" s="617"/>
      <c r="W801" s="617"/>
      <c r="X801" s="617"/>
    </row>
    <row r="802" ht="18.75" customHeight="1">
      <c r="A802" s="617"/>
      <c r="B802" s="617"/>
      <c r="C802" s="617"/>
      <c r="D802" s="617"/>
      <c r="E802" s="617"/>
      <c r="F802" s="617"/>
      <c r="G802" s="617"/>
      <c r="H802" s="617"/>
      <c r="I802" s="617"/>
      <c r="J802" s="617"/>
      <c r="K802" s="617"/>
      <c r="L802" s="617"/>
      <c r="M802" s="617"/>
      <c r="N802" s="617"/>
      <c r="O802" s="617"/>
      <c r="P802" s="617"/>
      <c r="Q802" s="617"/>
      <c r="R802" s="617"/>
      <c r="S802" s="617"/>
      <c r="T802" s="617"/>
      <c r="U802" s="617"/>
      <c r="V802" s="617"/>
      <c r="W802" s="617"/>
      <c r="X802" s="617"/>
    </row>
    <row r="803" ht="18.75" customHeight="1">
      <c r="A803" s="617"/>
      <c r="B803" s="617"/>
      <c r="C803" s="617"/>
      <c r="D803" s="617"/>
      <c r="E803" s="617"/>
      <c r="F803" s="617"/>
      <c r="G803" s="617"/>
      <c r="H803" s="617"/>
      <c r="I803" s="617"/>
      <c r="J803" s="617"/>
      <c r="K803" s="617"/>
      <c r="L803" s="617"/>
      <c r="M803" s="617"/>
      <c r="N803" s="617"/>
      <c r="O803" s="617"/>
      <c r="P803" s="617"/>
      <c r="Q803" s="617"/>
      <c r="R803" s="617"/>
      <c r="S803" s="617"/>
      <c r="T803" s="617"/>
      <c r="U803" s="617"/>
      <c r="V803" s="617"/>
      <c r="W803" s="617"/>
      <c r="X803" s="617"/>
    </row>
    <row r="804" ht="18.75" customHeight="1">
      <c r="A804" s="617"/>
      <c r="B804" s="617"/>
      <c r="C804" s="617"/>
      <c r="D804" s="617"/>
      <c r="E804" s="617"/>
      <c r="F804" s="617"/>
      <c r="G804" s="617"/>
      <c r="H804" s="617"/>
      <c r="I804" s="617"/>
      <c r="J804" s="617"/>
      <c r="K804" s="617"/>
      <c r="L804" s="617"/>
      <c r="M804" s="617"/>
      <c r="N804" s="617"/>
      <c r="O804" s="617"/>
      <c r="P804" s="617"/>
      <c r="Q804" s="617"/>
      <c r="R804" s="617"/>
      <c r="S804" s="617"/>
      <c r="T804" s="617"/>
      <c r="U804" s="617"/>
      <c r="V804" s="617"/>
      <c r="W804" s="617"/>
      <c r="X804" s="617"/>
    </row>
    <row r="805" ht="18.75" customHeight="1">
      <c r="A805" s="617"/>
      <c r="B805" s="617"/>
      <c r="C805" s="617"/>
      <c r="D805" s="617"/>
      <c r="E805" s="617"/>
      <c r="F805" s="617"/>
      <c r="G805" s="617"/>
      <c r="H805" s="617"/>
      <c r="I805" s="617"/>
      <c r="J805" s="617"/>
      <c r="K805" s="617"/>
      <c r="L805" s="617"/>
      <c r="M805" s="617"/>
      <c r="N805" s="617"/>
      <c r="O805" s="617"/>
      <c r="P805" s="617"/>
      <c r="Q805" s="617"/>
      <c r="R805" s="617"/>
      <c r="S805" s="617"/>
      <c r="T805" s="617"/>
      <c r="U805" s="617"/>
      <c r="V805" s="617"/>
      <c r="W805" s="617"/>
      <c r="X805" s="617"/>
    </row>
    <row r="806" ht="18.75" customHeight="1">
      <c r="A806" s="617"/>
      <c r="B806" s="617"/>
      <c r="C806" s="617"/>
      <c r="D806" s="617"/>
      <c r="E806" s="617"/>
      <c r="F806" s="617"/>
      <c r="G806" s="617"/>
      <c r="H806" s="617"/>
      <c r="I806" s="617"/>
      <c r="J806" s="617"/>
      <c r="K806" s="617"/>
      <c r="L806" s="617"/>
      <c r="M806" s="617"/>
      <c r="N806" s="617"/>
      <c r="O806" s="617"/>
      <c r="P806" s="617"/>
      <c r="Q806" s="617"/>
      <c r="R806" s="617"/>
      <c r="S806" s="617"/>
      <c r="T806" s="617"/>
      <c r="U806" s="617"/>
      <c r="V806" s="617"/>
      <c r="W806" s="617"/>
      <c r="X806" s="617"/>
    </row>
    <row r="807" ht="18.75" customHeight="1">
      <c r="A807" s="617"/>
      <c r="B807" s="617"/>
      <c r="C807" s="617"/>
      <c r="D807" s="617"/>
      <c r="E807" s="617"/>
      <c r="F807" s="617"/>
      <c r="G807" s="617"/>
      <c r="H807" s="617"/>
      <c r="I807" s="617"/>
      <c r="J807" s="617"/>
      <c r="K807" s="617"/>
      <c r="L807" s="617"/>
      <c r="M807" s="617"/>
      <c r="N807" s="617"/>
      <c r="O807" s="617"/>
      <c r="P807" s="617"/>
      <c r="Q807" s="617"/>
      <c r="R807" s="617"/>
      <c r="S807" s="617"/>
      <c r="T807" s="617"/>
      <c r="U807" s="617"/>
      <c r="V807" s="617"/>
      <c r="W807" s="617"/>
      <c r="X807" s="617"/>
    </row>
    <row r="808" ht="18.75" customHeight="1">
      <c r="A808" s="617"/>
      <c r="B808" s="617"/>
      <c r="C808" s="617"/>
      <c r="D808" s="617"/>
      <c r="E808" s="617"/>
      <c r="F808" s="617"/>
      <c r="G808" s="617"/>
      <c r="H808" s="617"/>
      <c r="I808" s="617"/>
      <c r="J808" s="617"/>
      <c r="K808" s="617"/>
      <c r="L808" s="617"/>
      <c r="M808" s="617"/>
      <c r="N808" s="617"/>
      <c r="O808" s="617"/>
      <c r="P808" s="617"/>
      <c r="Q808" s="617"/>
      <c r="R808" s="617"/>
      <c r="S808" s="617"/>
      <c r="T808" s="617"/>
      <c r="U808" s="617"/>
      <c r="V808" s="617"/>
      <c r="W808" s="617"/>
      <c r="X808" s="617"/>
    </row>
    <row r="809" ht="18.75" customHeight="1">
      <c r="A809" s="617"/>
      <c r="B809" s="617"/>
      <c r="C809" s="617"/>
      <c r="D809" s="617"/>
      <c r="E809" s="617"/>
      <c r="F809" s="617"/>
      <c r="G809" s="617"/>
      <c r="H809" s="617"/>
      <c r="I809" s="617"/>
      <c r="J809" s="617"/>
      <c r="K809" s="617"/>
      <c r="L809" s="617"/>
      <c r="M809" s="617"/>
      <c r="N809" s="617"/>
      <c r="O809" s="617"/>
      <c r="P809" s="617"/>
      <c r="Q809" s="617"/>
      <c r="R809" s="617"/>
      <c r="S809" s="617"/>
      <c r="T809" s="617"/>
      <c r="U809" s="617"/>
      <c r="V809" s="617"/>
      <c r="W809" s="617"/>
      <c r="X809" s="617"/>
    </row>
    <row r="810" ht="18.75" customHeight="1">
      <c r="A810" s="617"/>
      <c r="B810" s="617"/>
      <c r="C810" s="617"/>
      <c r="D810" s="617"/>
      <c r="E810" s="617"/>
      <c r="F810" s="617"/>
      <c r="G810" s="617"/>
      <c r="H810" s="617"/>
      <c r="I810" s="617"/>
      <c r="J810" s="617"/>
      <c r="K810" s="617"/>
      <c r="L810" s="617"/>
      <c r="M810" s="617"/>
      <c r="N810" s="617"/>
      <c r="O810" s="617"/>
      <c r="P810" s="617"/>
      <c r="Q810" s="617"/>
      <c r="R810" s="617"/>
      <c r="S810" s="617"/>
      <c r="T810" s="617"/>
      <c r="U810" s="617"/>
      <c r="V810" s="617"/>
      <c r="W810" s="617"/>
      <c r="X810" s="617"/>
    </row>
    <row r="811" ht="18.75" customHeight="1">
      <c r="A811" s="617"/>
      <c r="B811" s="617"/>
      <c r="C811" s="617"/>
      <c r="D811" s="617"/>
      <c r="E811" s="617"/>
      <c r="F811" s="617"/>
      <c r="G811" s="617"/>
      <c r="H811" s="617"/>
      <c r="I811" s="617"/>
      <c r="J811" s="617"/>
      <c r="K811" s="617"/>
      <c r="L811" s="617"/>
      <c r="M811" s="617"/>
      <c r="N811" s="617"/>
      <c r="O811" s="617"/>
      <c r="P811" s="617"/>
      <c r="Q811" s="617"/>
      <c r="R811" s="617"/>
      <c r="S811" s="617"/>
      <c r="T811" s="617"/>
      <c r="U811" s="617"/>
      <c r="V811" s="617"/>
      <c r="W811" s="617"/>
      <c r="X811" s="617"/>
    </row>
    <row r="812" ht="18.75" customHeight="1">
      <c r="A812" s="617"/>
      <c r="B812" s="617"/>
      <c r="C812" s="617"/>
      <c r="D812" s="617"/>
      <c r="E812" s="617"/>
      <c r="F812" s="617"/>
      <c r="G812" s="617"/>
      <c r="H812" s="617"/>
      <c r="I812" s="617"/>
      <c r="J812" s="617"/>
      <c r="K812" s="617"/>
      <c r="L812" s="617"/>
      <c r="M812" s="617"/>
      <c r="N812" s="617"/>
      <c r="O812" s="617"/>
      <c r="P812" s="617"/>
      <c r="Q812" s="617"/>
      <c r="R812" s="617"/>
      <c r="S812" s="617"/>
      <c r="T812" s="617"/>
      <c r="U812" s="617"/>
      <c r="V812" s="617"/>
      <c r="W812" s="617"/>
      <c r="X812" s="617"/>
    </row>
    <row r="813" ht="18.75" customHeight="1">
      <c r="A813" s="617"/>
      <c r="B813" s="617"/>
      <c r="C813" s="617"/>
      <c r="D813" s="617"/>
      <c r="E813" s="617"/>
      <c r="F813" s="617"/>
      <c r="G813" s="617"/>
      <c r="H813" s="617"/>
      <c r="I813" s="617"/>
      <c r="J813" s="617"/>
      <c r="K813" s="617"/>
      <c r="L813" s="617"/>
      <c r="M813" s="617"/>
      <c r="N813" s="617"/>
      <c r="O813" s="617"/>
      <c r="P813" s="617"/>
      <c r="Q813" s="617"/>
      <c r="R813" s="617"/>
      <c r="S813" s="617"/>
      <c r="T813" s="617"/>
      <c r="U813" s="617"/>
      <c r="V813" s="617"/>
      <c r="W813" s="617"/>
      <c r="X813" s="617"/>
    </row>
    <row r="814" ht="18.75" customHeight="1">
      <c r="A814" s="617"/>
      <c r="B814" s="617"/>
      <c r="C814" s="617"/>
      <c r="D814" s="617"/>
      <c r="E814" s="617"/>
      <c r="F814" s="617"/>
      <c r="G814" s="617"/>
      <c r="H814" s="617"/>
      <c r="I814" s="617"/>
      <c r="J814" s="617"/>
      <c r="K814" s="617"/>
      <c r="L814" s="617"/>
      <c r="M814" s="617"/>
      <c r="N814" s="617"/>
      <c r="O814" s="617"/>
      <c r="P814" s="617"/>
      <c r="Q814" s="617"/>
      <c r="R814" s="617"/>
      <c r="S814" s="617"/>
      <c r="T814" s="617"/>
      <c r="U814" s="617"/>
      <c r="V814" s="617"/>
      <c r="W814" s="617"/>
      <c r="X814" s="617"/>
    </row>
    <row r="815" ht="18.75" customHeight="1">
      <c r="A815" s="617"/>
      <c r="B815" s="617"/>
      <c r="C815" s="617"/>
      <c r="D815" s="617"/>
      <c r="E815" s="617"/>
      <c r="F815" s="617"/>
      <c r="G815" s="617"/>
      <c r="H815" s="617"/>
      <c r="I815" s="617"/>
      <c r="J815" s="617"/>
      <c r="K815" s="617"/>
      <c r="L815" s="617"/>
      <c r="M815" s="617"/>
      <c r="N815" s="617"/>
      <c r="O815" s="617"/>
      <c r="P815" s="617"/>
      <c r="Q815" s="617"/>
      <c r="R815" s="617"/>
      <c r="S815" s="617"/>
      <c r="T815" s="617"/>
      <c r="U815" s="617"/>
      <c r="V815" s="617"/>
      <c r="W815" s="617"/>
      <c r="X815" s="617"/>
    </row>
    <row r="816" ht="18.75" customHeight="1">
      <c r="A816" s="617"/>
      <c r="B816" s="617"/>
      <c r="C816" s="617"/>
      <c r="D816" s="617"/>
      <c r="E816" s="617"/>
      <c r="F816" s="617"/>
      <c r="G816" s="617"/>
      <c r="H816" s="617"/>
      <c r="I816" s="617"/>
      <c r="J816" s="617"/>
      <c r="K816" s="617"/>
      <c r="L816" s="617"/>
      <c r="M816" s="617"/>
      <c r="N816" s="617"/>
      <c r="O816" s="617"/>
      <c r="P816" s="617"/>
      <c r="Q816" s="617"/>
      <c r="R816" s="617"/>
      <c r="S816" s="617"/>
      <c r="T816" s="617"/>
      <c r="U816" s="617"/>
      <c r="V816" s="617"/>
      <c r="W816" s="617"/>
      <c r="X816" s="617"/>
    </row>
    <row r="817" ht="18.75" customHeight="1">
      <c r="A817" s="617"/>
      <c r="B817" s="617"/>
      <c r="C817" s="617"/>
      <c r="D817" s="617"/>
      <c r="E817" s="617"/>
      <c r="F817" s="617"/>
      <c r="G817" s="617"/>
      <c r="H817" s="617"/>
      <c r="I817" s="617"/>
      <c r="J817" s="617"/>
      <c r="K817" s="617"/>
      <c r="L817" s="617"/>
      <c r="M817" s="617"/>
      <c r="N817" s="617"/>
      <c r="O817" s="617"/>
      <c r="P817" s="617"/>
      <c r="Q817" s="617"/>
      <c r="R817" s="617"/>
      <c r="S817" s="617"/>
      <c r="T817" s="617"/>
      <c r="U817" s="617"/>
      <c r="V817" s="617"/>
      <c r="W817" s="617"/>
      <c r="X817" s="617"/>
    </row>
    <row r="818" ht="18.75" customHeight="1">
      <c r="A818" s="617"/>
      <c r="B818" s="617"/>
      <c r="C818" s="617"/>
      <c r="D818" s="617"/>
      <c r="E818" s="617"/>
      <c r="F818" s="617"/>
      <c r="G818" s="617"/>
      <c r="H818" s="617"/>
      <c r="I818" s="617"/>
      <c r="J818" s="617"/>
      <c r="K818" s="617"/>
      <c r="L818" s="617"/>
      <c r="M818" s="617"/>
      <c r="N818" s="617"/>
      <c r="O818" s="617"/>
      <c r="P818" s="617"/>
      <c r="Q818" s="617"/>
      <c r="R818" s="617"/>
      <c r="S818" s="617"/>
      <c r="T818" s="617"/>
      <c r="U818" s="617"/>
      <c r="V818" s="617"/>
      <c r="W818" s="617"/>
      <c r="X818" s="617"/>
    </row>
    <row r="819" ht="18.75" customHeight="1">
      <c r="A819" s="617"/>
      <c r="B819" s="617"/>
      <c r="C819" s="617"/>
      <c r="D819" s="617"/>
      <c r="E819" s="617"/>
      <c r="F819" s="617"/>
      <c r="G819" s="617"/>
      <c r="H819" s="617"/>
      <c r="I819" s="617"/>
      <c r="J819" s="617"/>
      <c r="K819" s="617"/>
      <c r="L819" s="617"/>
      <c r="M819" s="617"/>
      <c r="N819" s="617"/>
      <c r="O819" s="617"/>
      <c r="P819" s="617"/>
      <c r="Q819" s="617"/>
      <c r="R819" s="617"/>
      <c r="S819" s="617"/>
      <c r="T819" s="617"/>
      <c r="U819" s="617"/>
      <c r="V819" s="617"/>
      <c r="W819" s="617"/>
      <c r="X819" s="617"/>
    </row>
    <row r="820" ht="18.75" customHeight="1">
      <c r="A820" s="617"/>
      <c r="B820" s="617"/>
      <c r="C820" s="617"/>
      <c r="D820" s="617"/>
      <c r="E820" s="617"/>
      <c r="F820" s="617"/>
      <c r="G820" s="617"/>
      <c r="H820" s="617"/>
      <c r="I820" s="617"/>
      <c r="J820" s="617"/>
      <c r="K820" s="617"/>
      <c r="L820" s="617"/>
      <c r="M820" s="617"/>
      <c r="N820" s="617"/>
      <c r="O820" s="617"/>
      <c r="P820" s="617"/>
      <c r="Q820" s="617"/>
      <c r="R820" s="617"/>
      <c r="S820" s="617"/>
      <c r="T820" s="617"/>
      <c r="U820" s="617"/>
      <c r="V820" s="617"/>
      <c r="W820" s="617"/>
      <c r="X820" s="617"/>
    </row>
    <row r="821" ht="18.75" customHeight="1">
      <c r="A821" s="617"/>
      <c r="B821" s="617"/>
      <c r="C821" s="617"/>
      <c r="D821" s="617"/>
      <c r="E821" s="617"/>
      <c r="F821" s="617"/>
      <c r="G821" s="617"/>
      <c r="H821" s="617"/>
      <c r="I821" s="617"/>
      <c r="J821" s="617"/>
      <c r="K821" s="617"/>
      <c r="L821" s="617"/>
      <c r="M821" s="617"/>
      <c r="N821" s="617"/>
      <c r="O821" s="617"/>
      <c r="P821" s="617"/>
      <c r="Q821" s="617"/>
      <c r="R821" s="617"/>
      <c r="S821" s="617"/>
      <c r="T821" s="617"/>
      <c r="U821" s="617"/>
      <c r="V821" s="617"/>
      <c r="W821" s="617"/>
      <c r="X821" s="617"/>
    </row>
    <row r="822" ht="18.75" customHeight="1">
      <c r="A822" s="617"/>
      <c r="B822" s="617"/>
      <c r="C822" s="617"/>
      <c r="D822" s="617"/>
      <c r="E822" s="617"/>
      <c r="F822" s="617"/>
      <c r="G822" s="617"/>
      <c r="H822" s="617"/>
      <c r="I822" s="617"/>
      <c r="J822" s="617"/>
      <c r="K822" s="617"/>
      <c r="L822" s="617"/>
      <c r="M822" s="617"/>
      <c r="N822" s="617"/>
      <c r="O822" s="617"/>
      <c r="P822" s="617"/>
      <c r="Q822" s="617"/>
      <c r="R822" s="617"/>
      <c r="S822" s="617"/>
      <c r="T822" s="617"/>
      <c r="U822" s="617"/>
      <c r="V822" s="617"/>
      <c r="W822" s="617"/>
      <c r="X822" s="617"/>
    </row>
    <row r="823" ht="18.75" customHeight="1">
      <c r="A823" s="617"/>
      <c r="B823" s="617"/>
      <c r="C823" s="617"/>
      <c r="D823" s="617"/>
      <c r="E823" s="617"/>
      <c r="F823" s="617"/>
      <c r="G823" s="617"/>
      <c r="H823" s="617"/>
      <c r="I823" s="617"/>
      <c r="J823" s="617"/>
      <c r="K823" s="617"/>
      <c r="L823" s="617"/>
      <c r="M823" s="617"/>
      <c r="N823" s="617"/>
      <c r="O823" s="617"/>
      <c r="P823" s="617"/>
      <c r="Q823" s="617"/>
      <c r="R823" s="617"/>
      <c r="S823" s="617"/>
      <c r="T823" s="617"/>
      <c r="U823" s="617"/>
      <c r="V823" s="617"/>
      <c r="W823" s="617"/>
      <c r="X823" s="617"/>
    </row>
    <row r="824" ht="18.75" customHeight="1">
      <c r="A824" s="617"/>
      <c r="B824" s="617"/>
      <c r="C824" s="617"/>
      <c r="D824" s="617"/>
      <c r="E824" s="617"/>
      <c r="F824" s="617"/>
      <c r="G824" s="617"/>
      <c r="H824" s="617"/>
      <c r="I824" s="617"/>
      <c r="J824" s="617"/>
      <c r="K824" s="617"/>
      <c r="L824" s="617"/>
      <c r="M824" s="617"/>
      <c r="N824" s="617"/>
      <c r="O824" s="617"/>
      <c r="P824" s="617"/>
      <c r="Q824" s="617"/>
      <c r="R824" s="617"/>
      <c r="S824" s="617"/>
      <c r="T824" s="617"/>
      <c r="U824" s="617"/>
      <c r="V824" s="617"/>
      <c r="W824" s="617"/>
      <c r="X824" s="617"/>
    </row>
    <row r="825" ht="18.75" customHeight="1">
      <c r="A825" s="617"/>
      <c r="B825" s="617"/>
      <c r="C825" s="617"/>
      <c r="D825" s="617"/>
      <c r="E825" s="617"/>
      <c r="F825" s="617"/>
      <c r="G825" s="617"/>
      <c r="H825" s="617"/>
      <c r="I825" s="617"/>
      <c r="J825" s="617"/>
      <c r="K825" s="617"/>
      <c r="L825" s="617"/>
      <c r="M825" s="617"/>
      <c r="N825" s="617"/>
      <c r="O825" s="617"/>
      <c r="P825" s="617"/>
      <c r="Q825" s="617"/>
      <c r="R825" s="617"/>
      <c r="S825" s="617"/>
      <c r="T825" s="617"/>
      <c r="U825" s="617"/>
      <c r="V825" s="617"/>
      <c r="W825" s="617"/>
      <c r="X825" s="617"/>
    </row>
    <row r="826" ht="18.75" customHeight="1">
      <c r="A826" s="617"/>
      <c r="B826" s="617"/>
      <c r="C826" s="617"/>
      <c r="D826" s="617"/>
      <c r="E826" s="617"/>
      <c r="F826" s="617"/>
      <c r="G826" s="617"/>
      <c r="H826" s="617"/>
      <c r="I826" s="617"/>
      <c r="J826" s="617"/>
      <c r="K826" s="617"/>
      <c r="L826" s="617"/>
      <c r="M826" s="617"/>
      <c r="N826" s="617"/>
      <c r="O826" s="617"/>
      <c r="P826" s="617"/>
      <c r="Q826" s="617"/>
      <c r="R826" s="617"/>
      <c r="S826" s="617"/>
      <c r="T826" s="617"/>
      <c r="U826" s="617"/>
      <c r="V826" s="617"/>
      <c r="W826" s="617"/>
      <c r="X826" s="617"/>
    </row>
    <row r="827" ht="18.75" customHeight="1">
      <c r="A827" s="617"/>
      <c r="B827" s="617"/>
      <c r="C827" s="617"/>
      <c r="D827" s="617"/>
      <c r="E827" s="617"/>
      <c r="F827" s="617"/>
      <c r="G827" s="617"/>
      <c r="H827" s="617"/>
      <c r="I827" s="617"/>
      <c r="J827" s="617"/>
      <c r="K827" s="617"/>
      <c r="L827" s="617"/>
      <c r="M827" s="617"/>
      <c r="N827" s="617"/>
      <c r="O827" s="617"/>
      <c r="P827" s="617"/>
      <c r="Q827" s="617"/>
      <c r="R827" s="617"/>
      <c r="S827" s="617"/>
      <c r="T827" s="617"/>
      <c r="U827" s="617"/>
      <c r="V827" s="617"/>
      <c r="W827" s="617"/>
      <c r="X827" s="617"/>
    </row>
    <row r="828" ht="18.75" customHeight="1">
      <c r="A828" s="617"/>
      <c r="B828" s="617"/>
      <c r="C828" s="617"/>
      <c r="D828" s="617"/>
      <c r="E828" s="617"/>
      <c r="F828" s="617"/>
      <c r="G828" s="617"/>
      <c r="H828" s="617"/>
      <c r="I828" s="617"/>
      <c r="J828" s="617"/>
      <c r="K828" s="617"/>
      <c r="L828" s="617"/>
      <c r="M828" s="617"/>
      <c r="N828" s="617"/>
      <c r="O828" s="617"/>
      <c r="P828" s="617"/>
      <c r="Q828" s="617"/>
      <c r="R828" s="617"/>
      <c r="S828" s="617"/>
      <c r="T828" s="617"/>
      <c r="U828" s="617"/>
      <c r="V828" s="617"/>
      <c r="W828" s="617"/>
      <c r="X828" s="617"/>
    </row>
    <row r="829" ht="18.75" customHeight="1">
      <c r="A829" s="617"/>
      <c r="B829" s="617"/>
      <c r="C829" s="617"/>
      <c r="D829" s="617"/>
      <c r="E829" s="617"/>
      <c r="F829" s="617"/>
      <c r="G829" s="617"/>
      <c r="H829" s="617"/>
      <c r="I829" s="617"/>
      <c r="J829" s="617"/>
      <c r="K829" s="617"/>
      <c r="L829" s="617"/>
      <c r="M829" s="617"/>
      <c r="N829" s="617"/>
      <c r="O829" s="617"/>
      <c r="P829" s="617"/>
      <c r="Q829" s="617"/>
      <c r="R829" s="617"/>
      <c r="S829" s="617"/>
      <c r="T829" s="617"/>
      <c r="U829" s="617"/>
      <c r="V829" s="617"/>
      <c r="W829" s="617"/>
      <c r="X829" s="617"/>
    </row>
    <row r="830" ht="18.75" customHeight="1">
      <c r="A830" s="617"/>
      <c r="B830" s="617"/>
      <c r="C830" s="617"/>
      <c r="D830" s="617"/>
      <c r="E830" s="617"/>
      <c r="F830" s="617"/>
      <c r="G830" s="617"/>
      <c r="H830" s="617"/>
      <c r="I830" s="617"/>
      <c r="J830" s="617"/>
      <c r="K830" s="617"/>
      <c r="L830" s="617"/>
      <c r="M830" s="617"/>
      <c r="N830" s="617"/>
      <c r="O830" s="617"/>
      <c r="P830" s="617"/>
      <c r="Q830" s="617"/>
      <c r="R830" s="617"/>
      <c r="S830" s="617"/>
      <c r="T830" s="617"/>
      <c r="U830" s="617"/>
      <c r="V830" s="617"/>
      <c r="W830" s="617"/>
      <c r="X830" s="617"/>
    </row>
    <row r="831" ht="18.75" customHeight="1">
      <c r="A831" s="617"/>
      <c r="B831" s="617"/>
      <c r="C831" s="617"/>
      <c r="D831" s="617"/>
      <c r="E831" s="617"/>
      <c r="F831" s="617"/>
      <c r="G831" s="617"/>
      <c r="H831" s="617"/>
      <c r="I831" s="617"/>
      <c r="J831" s="617"/>
      <c r="K831" s="617"/>
      <c r="L831" s="617"/>
      <c r="M831" s="617"/>
      <c r="N831" s="617"/>
      <c r="O831" s="617"/>
      <c r="P831" s="617"/>
      <c r="Q831" s="617"/>
      <c r="R831" s="617"/>
      <c r="S831" s="617"/>
      <c r="T831" s="617"/>
      <c r="U831" s="617"/>
      <c r="V831" s="617"/>
      <c r="W831" s="617"/>
      <c r="X831" s="617"/>
    </row>
    <row r="832" ht="18.75" customHeight="1">
      <c r="A832" s="617"/>
      <c r="B832" s="617"/>
      <c r="C832" s="617"/>
      <c r="D832" s="617"/>
      <c r="E832" s="617"/>
      <c r="F832" s="617"/>
      <c r="G832" s="617"/>
      <c r="H832" s="617"/>
      <c r="I832" s="617"/>
      <c r="J832" s="617"/>
      <c r="K832" s="617"/>
      <c r="L832" s="617"/>
      <c r="M832" s="617"/>
      <c r="N832" s="617"/>
      <c r="O832" s="617"/>
      <c r="P832" s="617"/>
      <c r="Q832" s="617"/>
      <c r="R832" s="617"/>
      <c r="S832" s="617"/>
      <c r="T832" s="617"/>
      <c r="U832" s="617"/>
      <c r="V832" s="617"/>
      <c r="W832" s="617"/>
      <c r="X832" s="617"/>
    </row>
    <row r="833" ht="18.75" customHeight="1">
      <c r="A833" s="617"/>
      <c r="B833" s="617"/>
      <c r="C833" s="617"/>
      <c r="D833" s="617"/>
      <c r="E833" s="617"/>
      <c r="F833" s="617"/>
      <c r="G833" s="617"/>
      <c r="H833" s="617"/>
      <c r="I833" s="617"/>
      <c r="J833" s="617"/>
      <c r="K833" s="617"/>
      <c r="L833" s="617"/>
      <c r="M833" s="617"/>
      <c r="N833" s="617"/>
      <c r="O833" s="617"/>
      <c r="P833" s="617"/>
      <c r="Q833" s="617"/>
      <c r="R833" s="617"/>
      <c r="S833" s="617"/>
      <c r="T833" s="617"/>
      <c r="U833" s="617"/>
      <c r="V833" s="617"/>
      <c r="W833" s="617"/>
      <c r="X833" s="617"/>
    </row>
    <row r="834" ht="18.75" customHeight="1">
      <c r="A834" s="617"/>
      <c r="B834" s="617"/>
      <c r="C834" s="617"/>
      <c r="D834" s="617"/>
      <c r="E834" s="617"/>
      <c r="F834" s="617"/>
      <c r="G834" s="617"/>
      <c r="H834" s="617"/>
      <c r="I834" s="617"/>
      <c r="J834" s="617"/>
      <c r="K834" s="617"/>
      <c r="L834" s="617"/>
      <c r="M834" s="617"/>
      <c r="N834" s="617"/>
      <c r="O834" s="617"/>
      <c r="P834" s="617"/>
      <c r="Q834" s="617"/>
      <c r="R834" s="617"/>
      <c r="S834" s="617"/>
      <c r="T834" s="617"/>
      <c r="U834" s="617"/>
      <c r="V834" s="617"/>
      <c r="W834" s="617"/>
      <c r="X834" s="617"/>
    </row>
    <row r="835" ht="18.75" customHeight="1">
      <c r="A835" s="617"/>
      <c r="B835" s="617"/>
      <c r="C835" s="617"/>
      <c r="D835" s="617"/>
      <c r="E835" s="617"/>
      <c r="F835" s="617"/>
      <c r="G835" s="617"/>
      <c r="H835" s="617"/>
      <c r="I835" s="617"/>
      <c r="J835" s="617"/>
      <c r="K835" s="617"/>
      <c r="L835" s="617"/>
      <c r="M835" s="617"/>
      <c r="N835" s="617"/>
      <c r="O835" s="617"/>
      <c r="P835" s="617"/>
      <c r="Q835" s="617"/>
      <c r="R835" s="617"/>
      <c r="S835" s="617"/>
      <c r="T835" s="617"/>
      <c r="U835" s="617"/>
      <c r="V835" s="617"/>
      <c r="W835" s="617"/>
      <c r="X835" s="617"/>
    </row>
    <row r="836" ht="18.75" customHeight="1">
      <c r="A836" s="617"/>
      <c r="B836" s="617"/>
      <c r="C836" s="617"/>
      <c r="D836" s="617"/>
      <c r="E836" s="617"/>
      <c r="F836" s="617"/>
      <c r="G836" s="617"/>
      <c r="H836" s="617"/>
      <c r="I836" s="617"/>
      <c r="J836" s="617"/>
      <c r="K836" s="617"/>
      <c r="L836" s="617"/>
      <c r="M836" s="617"/>
      <c r="N836" s="617"/>
      <c r="O836" s="617"/>
      <c r="P836" s="617"/>
      <c r="Q836" s="617"/>
      <c r="R836" s="617"/>
      <c r="S836" s="617"/>
      <c r="T836" s="617"/>
      <c r="U836" s="617"/>
      <c r="V836" s="617"/>
      <c r="W836" s="617"/>
      <c r="X836" s="617"/>
    </row>
    <row r="837" ht="18.75" customHeight="1">
      <c r="A837" s="617"/>
      <c r="B837" s="617"/>
      <c r="C837" s="617"/>
      <c r="D837" s="617"/>
      <c r="E837" s="617"/>
      <c r="F837" s="617"/>
      <c r="G837" s="617"/>
      <c r="H837" s="617"/>
      <c r="I837" s="617"/>
      <c r="J837" s="617"/>
      <c r="K837" s="617"/>
      <c r="L837" s="617"/>
      <c r="M837" s="617"/>
      <c r="N837" s="617"/>
      <c r="O837" s="617"/>
      <c r="P837" s="617"/>
      <c r="Q837" s="617"/>
      <c r="R837" s="617"/>
      <c r="S837" s="617"/>
      <c r="T837" s="617"/>
      <c r="U837" s="617"/>
      <c r="V837" s="617"/>
      <c r="W837" s="617"/>
      <c r="X837" s="617"/>
    </row>
    <row r="838" ht="18.75" customHeight="1">
      <c r="A838" s="617"/>
      <c r="B838" s="617"/>
      <c r="C838" s="617"/>
      <c r="D838" s="617"/>
      <c r="E838" s="617"/>
      <c r="F838" s="617"/>
      <c r="G838" s="617"/>
      <c r="H838" s="617"/>
      <c r="I838" s="617"/>
      <c r="J838" s="617"/>
      <c r="K838" s="617"/>
      <c r="L838" s="617"/>
      <c r="M838" s="617"/>
      <c r="N838" s="617"/>
      <c r="O838" s="617"/>
      <c r="P838" s="617"/>
      <c r="Q838" s="617"/>
      <c r="R838" s="617"/>
      <c r="S838" s="617"/>
      <c r="T838" s="617"/>
      <c r="U838" s="617"/>
      <c r="V838" s="617"/>
      <c r="W838" s="617"/>
      <c r="X838" s="617"/>
    </row>
    <row r="839" ht="18.75" customHeight="1">
      <c r="A839" s="617"/>
      <c r="B839" s="617"/>
      <c r="C839" s="617"/>
      <c r="D839" s="617"/>
      <c r="E839" s="617"/>
      <c r="F839" s="617"/>
      <c r="G839" s="617"/>
      <c r="H839" s="617"/>
      <c r="I839" s="617"/>
      <c r="J839" s="617"/>
      <c r="K839" s="617"/>
      <c r="L839" s="617"/>
      <c r="M839" s="617"/>
      <c r="N839" s="617"/>
      <c r="O839" s="617"/>
      <c r="P839" s="617"/>
      <c r="Q839" s="617"/>
      <c r="R839" s="617"/>
      <c r="S839" s="617"/>
      <c r="T839" s="617"/>
      <c r="U839" s="617"/>
      <c r="V839" s="617"/>
      <c r="W839" s="617"/>
      <c r="X839" s="617"/>
    </row>
    <row r="840" ht="18.75" customHeight="1">
      <c r="A840" s="617"/>
      <c r="B840" s="617"/>
      <c r="C840" s="617"/>
      <c r="D840" s="617"/>
      <c r="E840" s="617"/>
      <c r="F840" s="617"/>
      <c r="G840" s="617"/>
      <c r="H840" s="617"/>
      <c r="I840" s="617"/>
      <c r="J840" s="617"/>
      <c r="K840" s="617"/>
      <c r="L840" s="617"/>
      <c r="M840" s="617"/>
      <c r="N840" s="617"/>
      <c r="O840" s="617"/>
      <c r="P840" s="617"/>
      <c r="Q840" s="617"/>
      <c r="R840" s="617"/>
      <c r="S840" s="617"/>
      <c r="T840" s="617"/>
      <c r="U840" s="617"/>
      <c r="V840" s="617"/>
      <c r="W840" s="617"/>
      <c r="X840" s="617"/>
    </row>
    <row r="841" ht="18.75" customHeight="1">
      <c r="A841" s="617"/>
      <c r="B841" s="617"/>
      <c r="C841" s="617"/>
      <c r="D841" s="617"/>
      <c r="E841" s="617"/>
      <c r="F841" s="617"/>
      <c r="G841" s="617"/>
      <c r="H841" s="617"/>
      <c r="I841" s="617"/>
      <c r="J841" s="617"/>
      <c r="K841" s="617"/>
      <c r="L841" s="617"/>
      <c r="M841" s="617"/>
      <c r="N841" s="617"/>
      <c r="O841" s="617"/>
      <c r="P841" s="617"/>
      <c r="Q841" s="617"/>
      <c r="R841" s="617"/>
      <c r="S841" s="617"/>
      <c r="T841" s="617"/>
      <c r="U841" s="617"/>
      <c r="V841" s="617"/>
      <c r="W841" s="617"/>
      <c r="X841" s="617"/>
    </row>
    <row r="842" ht="18.75" customHeight="1">
      <c r="A842" s="617"/>
      <c r="B842" s="617"/>
      <c r="C842" s="617"/>
      <c r="D842" s="617"/>
      <c r="E842" s="617"/>
      <c r="F842" s="617"/>
      <c r="G842" s="617"/>
      <c r="H842" s="617"/>
      <c r="I842" s="617"/>
      <c r="J842" s="617"/>
      <c r="K842" s="617"/>
      <c r="L842" s="617"/>
      <c r="M842" s="617"/>
      <c r="N842" s="617"/>
      <c r="O842" s="617"/>
      <c r="P842" s="617"/>
      <c r="Q842" s="617"/>
      <c r="R842" s="617"/>
      <c r="S842" s="617"/>
      <c r="T842" s="617"/>
      <c r="U842" s="617"/>
      <c r="V842" s="617"/>
      <c r="W842" s="617"/>
      <c r="X842" s="617"/>
    </row>
    <row r="843" ht="18.75" customHeight="1">
      <c r="A843" s="617"/>
      <c r="B843" s="617"/>
      <c r="C843" s="617"/>
      <c r="D843" s="617"/>
      <c r="E843" s="617"/>
      <c r="F843" s="617"/>
      <c r="G843" s="617"/>
      <c r="H843" s="617"/>
      <c r="I843" s="617"/>
      <c r="J843" s="617"/>
      <c r="K843" s="617"/>
      <c r="L843" s="617"/>
      <c r="M843" s="617"/>
      <c r="N843" s="617"/>
      <c r="O843" s="617"/>
      <c r="P843" s="617"/>
      <c r="Q843" s="617"/>
      <c r="R843" s="617"/>
      <c r="S843" s="617"/>
      <c r="T843" s="617"/>
      <c r="U843" s="617"/>
      <c r="V843" s="617"/>
      <c r="W843" s="617"/>
      <c r="X843" s="617"/>
    </row>
    <row r="844" ht="18.75" customHeight="1">
      <c r="A844" s="617"/>
      <c r="B844" s="617"/>
      <c r="C844" s="617"/>
      <c r="D844" s="617"/>
      <c r="E844" s="617"/>
      <c r="F844" s="617"/>
      <c r="G844" s="617"/>
      <c r="H844" s="617"/>
      <c r="I844" s="617"/>
      <c r="J844" s="617"/>
      <c r="K844" s="617"/>
      <c r="L844" s="617"/>
      <c r="M844" s="617"/>
      <c r="N844" s="617"/>
      <c r="O844" s="617"/>
      <c r="P844" s="617"/>
      <c r="Q844" s="617"/>
      <c r="R844" s="617"/>
      <c r="S844" s="617"/>
      <c r="T844" s="617"/>
      <c r="U844" s="617"/>
      <c r="V844" s="617"/>
      <c r="W844" s="617"/>
      <c r="X844" s="617"/>
    </row>
    <row r="845" ht="18.75" customHeight="1">
      <c r="A845" s="617"/>
      <c r="B845" s="617"/>
      <c r="C845" s="617"/>
      <c r="D845" s="617"/>
      <c r="E845" s="617"/>
      <c r="F845" s="617"/>
      <c r="G845" s="617"/>
      <c r="H845" s="617"/>
      <c r="I845" s="617"/>
      <c r="J845" s="617"/>
      <c r="K845" s="617"/>
      <c r="L845" s="617"/>
      <c r="M845" s="617"/>
      <c r="N845" s="617"/>
      <c r="O845" s="617"/>
      <c r="P845" s="617"/>
      <c r="Q845" s="617"/>
      <c r="R845" s="617"/>
      <c r="S845" s="617"/>
      <c r="T845" s="617"/>
      <c r="U845" s="617"/>
      <c r="V845" s="617"/>
      <c r="W845" s="617"/>
      <c r="X845" s="617"/>
    </row>
    <row r="846" ht="18.75" customHeight="1">
      <c r="A846" s="617"/>
      <c r="B846" s="617"/>
      <c r="C846" s="617"/>
      <c r="D846" s="617"/>
      <c r="E846" s="617"/>
      <c r="F846" s="617"/>
      <c r="G846" s="617"/>
      <c r="H846" s="617"/>
      <c r="I846" s="617"/>
      <c r="J846" s="617"/>
      <c r="K846" s="617"/>
      <c r="L846" s="617"/>
      <c r="M846" s="617"/>
      <c r="N846" s="617"/>
      <c r="O846" s="617"/>
      <c r="P846" s="617"/>
      <c r="Q846" s="617"/>
      <c r="R846" s="617"/>
      <c r="S846" s="617"/>
      <c r="T846" s="617"/>
      <c r="U846" s="617"/>
      <c r="V846" s="617"/>
      <c r="W846" s="617"/>
      <c r="X846" s="617"/>
    </row>
    <row r="847" ht="18.75" customHeight="1">
      <c r="A847" s="617"/>
      <c r="B847" s="617"/>
      <c r="C847" s="617"/>
      <c r="D847" s="617"/>
      <c r="E847" s="617"/>
      <c r="F847" s="617"/>
      <c r="G847" s="617"/>
      <c r="H847" s="617"/>
      <c r="I847" s="617"/>
      <c r="J847" s="617"/>
      <c r="K847" s="617"/>
      <c r="L847" s="617"/>
      <c r="M847" s="617"/>
      <c r="N847" s="617"/>
      <c r="O847" s="617"/>
      <c r="P847" s="617"/>
      <c r="Q847" s="617"/>
      <c r="R847" s="617"/>
      <c r="S847" s="617"/>
      <c r="T847" s="617"/>
      <c r="U847" s="617"/>
      <c r="V847" s="617"/>
      <c r="W847" s="617"/>
      <c r="X847" s="617"/>
    </row>
    <row r="848" ht="18.75" customHeight="1">
      <c r="A848" s="617"/>
      <c r="B848" s="617"/>
      <c r="C848" s="617"/>
      <c r="D848" s="617"/>
      <c r="E848" s="617"/>
      <c r="F848" s="617"/>
      <c r="G848" s="617"/>
      <c r="H848" s="617"/>
      <c r="I848" s="617"/>
      <c r="J848" s="617"/>
      <c r="K848" s="617"/>
      <c r="L848" s="617"/>
      <c r="M848" s="617"/>
      <c r="N848" s="617"/>
      <c r="O848" s="617"/>
      <c r="P848" s="617"/>
      <c r="Q848" s="617"/>
      <c r="R848" s="617"/>
      <c r="S848" s="617"/>
      <c r="T848" s="617"/>
      <c r="U848" s="617"/>
      <c r="V848" s="617"/>
      <c r="W848" s="617"/>
      <c r="X848" s="617"/>
    </row>
    <row r="849" ht="18.75" customHeight="1">
      <c r="A849" s="617"/>
      <c r="B849" s="617"/>
      <c r="C849" s="617"/>
      <c r="D849" s="617"/>
      <c r="E849" s="617"/>
      <c r="F849" s="617"/>
      <c r="G849" s="617"/>
      <c r="H849" s="617"/>
      <c r="I849" s="617"/>
      <c r="J849" s="617"/>
      <c r="K849" s="617"/>
      <c r="L849" s="617"/>
      <c r="M849" s="617"/>
      <c r="N849" s="617"/>
      <c r="O849" s="617"/>
      <c r="P849" s="617"/>
      <c r="Q849" s="617"/>
      <c r="R849" s="617"/>
      <c r="S849" s="617"/>
      <c r="T849" s="617"/>
      <c r="U849" s="617"/>
      <c r="V849" s="617"/>
      <c r="W849" s="617"/>
      <c r="X849" s="617"/>
    </row>
    <row r="850" ht="18.75" customHeight="1">
      <c r="A850" s="617"/>
      <c r="B850" s="617"/>
      <c r="C850" s="617"/>
      <c r="D850" s="617"/>
      <c r="E850" s="617"/>
      <c r="F850" s="617"/>
      <c r="G850" s="617"/>
      <c r="H850" s="617"/>
      <c r="I850" s="617"/>
      <c r="J850" s="617"/>
      <c r="K850" s="617"/>
      <c r="L850" s="617"/>
      <c r="M850" s="617"/>
      <c r="N850" s="617"/>
      <c r="O850" s="617"/>
      <c r="P850" s="617"/>
      <c r="Q850" s="617"/>
      <c r="R850" s="617"/>
      <c r="S850" s="617"/>
      <c r="T850" s="617"/>
      <c r="U850" s="617"/>
      <c r="V850" s="617"/>
      <c r="W850" s="617"/>
      <c r="X850" s="617"/>
    </row>
    <row r="851" ht="18.75" customHeight="1">
      <c r="A851" s="617"/>
      <c r="B851" s="617"/>
      <c r="C851" s="617"/>
      <c r="D851" s="617"/>
      <c r="E851" s="617"/>
      <c r="F851" s="617"/>
      <c r="G851" s="617"/>
      <c r="H851" s="617"/>
      <c r="I851" s="617"/>
      <c r="J851" s="617"/>
      <c r="K851" s="617"/>
      <c r="L851" s="617"/>
      <c r="M851" s="617"/>
      <c r="N851" s="617"/>
      <c r="O851" s="617"/>
      <c r="P851" s="617"/>
      <c r="Q851" s="617"/>
      <c r="R851" s="617"/>
      <c r="S851" s="617"/>
      <c r="T851" s="617"/>
      <c r="U851" s="617"/>
      <c r="V851" s="617"/>
      <c r="W851" s="617"/>
      <c r="X851" s="617"/>
    </row>
    <row r="852" ht="18.75" customHeight="1">
      <c r="A852" s="617"/>
      <c r="B852" s="617"/>
      <c r="C852" s="617"/>
      <c r="D852" s="617"/>
      <c r="E852" s="617"/>
      <c r="F852" s="617"/>
      <c r="G852" s="617"/>
      <c r="H852" s="617"/>
      <c r="I852" s="617"/>
      <c r="J852" s="617"/>
      <c r="K852" s="617"/>
      <c r="L852" s="617"/>
      <c r="M852" s="617"/>
      <c r="N852" s="617"/>
      <c r="O852" s="617"/>
      <c r="P852" s="617"/>
      <c r="Q852" s="617"/>
      <c r="R852" s="617"/>
      <c r="S852" s="617"/>
      <c r="T852" s="617"/>
      <c r="U852" s="617"/>
      <c r="V852" s="617"/>
      <c r="W852" s="617"/>
      <c r="X852" s="617"/>
    </row>
    <row r="853" ht="18.75" customHeight="1">
      <c r="A853" s="617"/>
      <c r="B853" s="617"/>
      <c r="C853" s="617"/>
      <c r="D853" s="617"/>
      <c r="E853" s="617"/>
      <c r="F853" s="617"/>
      <c r="G853" s="617"/>
      <c r="H853" s="617"/>
      <c r="I853" s="617"/>
      <c r="J853" s="617"/>
      <c r="K853" s="617"/>
      <c r="L853" s="617"/>
      <c r="M853" s="617"/>
      <c r="N853" s="617"/>
      <c r="O853" s="617"/>
      <c r="P853" s="617"/>
      <c r="Q853" s="617"/>
      <c r="R853" s="617"/>
      <c r="S853" s="617"/>
      <c r="T853" s="617"/>
      <c r="U853" s="617"/>
      <c r="V853" s="617"/>
      <c r="W853" s="617"/>
      <c r="X853" s="617"/>
    </row>
    <row r="854" ht="18.75" customHeight="1">
      <c r="A854" s="617"/>
      <c r="B854" s="617"/>
      <c r="C854" s="617"/>
      <c r="D854" s="617"/>
      <c r="E854" s="617"/>
      <c r="F854" s="617"/>
      <c r="G854" s="617"/>
      <c r="H854" s="617"/>
      <c r="I854" s="617"/>
      <c r="J854" s="617"/>
      <c r="K854" s="617"/>
      <c r="L854" s="617"/>
      <c r="M854" s="617"/>
      <c r="N854" s="617"/>
      <c r="O854" s="617"/>
      <c r="P854" s="617"/>
      <c r="Q854" s="617"/>
      <c r="R854" s="617"/>
      <c r="S854" s="617"/>
      <c r="T854" s="617"/>
      <c r="U854" s="617"/>
      <c r="V854" s="617"/>
      <c r="W854" s="617"/>
      <c r="X854" s="617"/>
    </row>
    <row r="855" ht="18.75" customHeight="1">
      <c r="A855" s="617"/>
      <c r="B855" s="617"/>
      <c r="C855" s="617"/>
      <c r="D855" s="617"/>
      <c r="E855" s="617"/>
      <c r="F855" s="617"/>
      <c r="G855" s="617"/>
      <c r="H855" s="617"/>
      <c r="I855" s="617"/>
      <c r="J855" s="617"/>
      <c r="K855" s="617"/>
      <c r="L855" s="617"/>
      <c r="M855" s="617"/>
      <c r="N855" s="617"/>
      <c r="O855" s="617"/>
      <c r="P855" s="617"/>
      <c r="Q855" s="617"/>
      <c r="R855" s="617"/>
      <c r="S855" s="617"/>
      <c r="T855" s="617"/>
      <c r="U855" s="617"/>
      <c r="V855" s="617"/>
      <c r="W855" s="617"/>
      <c r="X855" s="617"/>
    </row>
    <row r="856" ht="18.75" customHeight="1">
      <c r="A856" s="617"/>
      <c r="B856" s="617"/>
      <c r="C856" s="617"/>
      <c r="D856" s="617"/>
      <c r="E856" s="617"/>
      <c r="F856" s="617"/>
      <c r="G856" s="617"/>
      <c r="H856" s="617"/>
      <c r="I856" s="617"/>
      <c r="J856" s="617"/>
      <c r="K856" s="617"/>
      <c r="L856" s="617"/>
      <c r="M856" s="617"/>
      <c r="N856" s="617"/>
      <c r="O856" s="617"/>
      <c r="P856" s="617"/>
      <c r="Q856" s="617"/>
      <c r="R856" s="617"/>
      <c r="S856" s="617"/>
      <c r="T856" s="617"/>
      <c r="U856" s="617"/>
      <c r="V856" s="617"/>
      <c r="W856" s="617"/>
      <c r="X856" s="617"/>
    </row>
    <row r="857" ht="18.75" customHeight="1">
      <c r="A857" s="617"/>
      <c r="B857" s="617"/>
      <c r="C857" s="617"/>
      <c r="D857" s="617"/>
      <c r="E857" s="617"/>
      <c r="F857" s="617"/>
      <c r="G857" s="617"/>
      <c r="H857" s="617"/>
      <c r="I857" s="617"/>
      <c r="J857" s="617"/>
      <c r="K857" s="617"/>
      <c r="L857" s="617"/>
      <c r="M857" s="617"/>
      <c r="N857" s="617"/>
      <c r="O857" s="617"/>
      <c r="P857" s="617"/>
      <c r="Q857" s="617"/>
      <c r="R857" s="617"/>
      <c r="S857" s="617"/>
      <c r="T857" s="617"/>
      <c r="U857" s="617"/>
      <c r="V857" s="617"/>
      <c r="W857" s="617"/>
      <c r="X857" s="617"/>
    </row>
    <row r="858" ht="18.75" customHeight="1">
      <c r="A858" s="617"/>
      <c r="B858" s="617"/>
      <c r="C858" s="617"/>
      <c r="D858" s="617"/>
      <c r="E858" s="617"/>
      <c r="F858" s="617"/>
      <c r="G858" s="617"/>
      <c r="H858" s="617"/>
      <c r="I858" s="617"/>
      <c r="J858" s="617"/>
      <c r="K858" s="617"/>
      <c r="L858" s="617"/>
      <c r="M858" s="617"/>
      <c r="N858" s="617"/>
      <c r="O858" s="617"/>
      <c r="P858" s="617"/>
      <c r="Q858" s="617"/>
      <c r="R858" s="617"/>
      <c r="S858" s="617"/>
      <c r="T858" s="617"/>
      <c r="U858" s="617"/>
      <c r="V858" s="617"/>
      <c r="W858" s="617"/>
      <c r="X858" s="617"/>
    </row>
    <row r="859" ht="18.75" customHeight="1">
      <c r="A859" s="617"/>
      <c r="B859" s="617"/>
      <c r="C859" s="617"/>
      <c r="D859" s="617"/>
      <c r="E859" s="617"/>
      <c r="F859" s="617"/>
      <c r="G859" s="617"/>
      <c r="H859" s="617"/>
      <c r="I859" s="617"/>
      <c r="J859" s="617"/>
      <c r="K859" s="617"/>
      <c r="L859" s="617"/>
      <c r="M859" s="617"/>
      <c r="N859" s="617"/>
      <c r="O859" s="617"/>
      <c r="P859" s="617"/>
      <c r="Q859" s="617"/>
      <c r="R859" s="617"/>
      <c r="S859" s="617"/>
      <c r="T859" s="617"/>
      <c r="U859" s="617"/>
      <c r="V859" s="617"/>
      <c r="W859" s="617"/>
      <c r="X859" s="617"/>
    </row>
    <row r="860" ht="18.75" customHeight="1">
      <c r="A860" s="617"/>
      <c r="B860" s="617"/>
      <c r="C860" s="617"/>
      <c r="D860" s="617"/>
      <c r="E860" s="617"/>
      <c r="F860" s="617"/>
      <c r="G860" s="617"/>
      <c r="H860" s="617"/>
      <c r="I860" s="617"/>
      <c r="J860" s="617"/>
      <c r="K860" s="617"/>
      <c r="L860" s="617"/>
      <c r="M860" s="617"/>
      <c r="N860" s="617"/>
      <c r="O860" s="617"/>
      <c r="P860" s="617"/>
      <c r="Q860" s="617"/>
      <c r="R860" s="617"/>
      <c r="S860" s="617"/>
      <c r="T860" s="617"/>
      <c r="U860" s="617"/>
      <c r="V860" s="617"/>
      <c r="W860" s="617"/>
      <c r="X860" s="617"/>
    </row>
    <row r="861" ht="18.75" customHeight="1">
      <c r="A861" s="617"/>
      <c r="B861" s="617"/>
      <c r="C861" s="617"/>
      <c r="D861" s="617"/>
      <c r="E861" s="617"/>
      <c r="F861" s="617"/>
      <c r="G861" s="617"/>
      <c r="H861" s="617"/>
      <c r="I861" s="617"/>
      <c r="J861" s="617"/>
      <c r="K861" s="617"/>
      <c r="L861" s="617"/>
      <c r="M861" s="617"/>
      <c r="N861" s="617"/>
      <c r="O861" s="617"/>
      <c r="P861" s="617"/>
      <c r="Q861" s="617"/>
      <c r="R861" s="617"/>
      <c r="S861" s="617"/>
      <c r="T861" s="617"/>
      <c r="U861" s="617"/>
      <c r="V861" s="617"/>
      <c r="W861" s="617"/>
      <c r="X861" s="617"/>
    </row>
    <row r="862" ht="18.75" customHeight="1">
      <c r="A862" s="617"/>
      <c r="B862" s="617"/>
      <c r="C862" s="617"/>
      <c r="D862" s="617"/>
      <c r="E862" s="617"/>
      <c r="F862" s="617"/>
      <c r="G862" s="617"/>
      <c r="H862" s="617"/>
      <c r="I862" s="617"/>
      <c r="J862" s="617"/>
      <c r="K862" s="617"/>
      <c r="L862" s="617"/>
      <c r="M862" s="617"/>
      <c r="N862" s="617"/>
      <c r="O862" s="617"/>
      <c r="P862" s="617"/>
      <c r="Q862" s="617"/>
      <c r="R862" s="617"/>
      <c r="S862" s="617"/>
      <c r="T862" s="617"/>
      <c r="U862" s="617"/>
      <c r="V862" s="617"/>
      <c r="W862" s="617"/>
      <c r="X862" s="617"/>
    </row>
    <row r="863" ht="18.75" customHeight="1">
      <c r="A863" s="617"/>
      <c r="B863" s="617"/>
      <c r="C863" s="617"/>
      <c r="D863" s="617"/>
      <c r="E863" s="617"/>
      <c r="F863" s="617"/>
      <c r="G863" s="617"/>
      <c r="H863" s="617"/>
      <c r="I863" s="617"/>
      <c r="J863" s="617"/>
      <c r="K863" s="617"/>
      <c r="L863" s="617"/>
      <c r="M863" s="617"/>
      <c r="N863" s="617"/>
      <c r="O863" s="617"/>
      <c r="P863" s="617"/>
      <c r="Q863" s="617"/>
      <c r="R863" s="617"/>
      <c r="S863" s="617"/>
      <c r="T863" s="617"/>
      <c r="U863" s="617"/>
      <c r="V863" s="617"/>
      <c r="W863" s="617"/>
      <c r="X863" s="617"/>
    </row>
    <row r="864" ht="18.75" customHeight="1">
      <c r="A864" s="617"/>
      <c r="B864" s="617"/>
      <c r="C864" s="617"/>
      <c r="D864" s="617"/>
      <c r="E864" s="617"/>
      <c r="F864" s="617"/>
      <c r="G864" s="617"/>
      <c r="H864" s="617"/>
      <c r="I864" s="617"/>
      <c r="J864" s="617"/>
      <c r="K864" s="617"/>
      <c r="L864" s="617"/>
      <c r="M864" s="617"/>
      <c r="N864" s="617"/>
      <c r="O864" s="617"/>
      <c r="P864" s="617"/>
      <c r="Q864" s="617"/>
      <c r="R864" s="617"/>
      <c r="S864" s="617"/>
      <c r="T864" s="617"/>
      <c r="U864" s="617"/>
      <c r="V864" s="617"/>
      <c r="W864" s="617"/>
      <c r="X864" s="617"/>
    </row>
    <row r="865" ht="18.75" customHeight="1">
      <c r="A865" s="617"/>
      <c r="B865" s="617"/>
      <c r="C865" s="617"/>
      <c r="D865" s="617"/>
      <c r="E865" s="617"/>
      <c r="F865" s="617"/>
      <c r="G865" s="617"/>
      <c r="H865" s="617"/>
      <c r="I865" s="617"/>
      <c r="J865" s="617"/>
      <c r="K865" s="617"/>
      <c r="L865" s="617"/>
      <c r="M865" s="617"/>
      <c r="N865" s="617"/>
      <c r="O865" s="617"/>
      <c r="P865" s="617"/>
      <c r="Q865" s="617"/>
      <c r="R865" s="617"/>
      <c r="S865" s="617"/>
      <c r="T865" s="617"/>
      <c r="U865" s="617"/>
      <c r="V865" s="617"/>
      <c r="W865" s="617"/>
      <c r="X865" s="617"/>
    </row>
    <row r="866" ht="18.75" customHeight="1">
      <c r="A866" s="617"/>
      <c r="B866" s="617"/>
      <c r="C866" s="617"/>
      <c r="D866" s="617"/>
      <c r="E866" s="617"/>
      <c r="F866" s="617"/>
      <c r="G866" s="617"/>
      <c r="H866" s="617"/>
      <c r="I866" s="617"/>
      <c r="J866" s="617"/>
      <c r="K866" s="617"/>
      <c r="L866" s="617"/>
      <c r="M866" s="617"/>
      <c r="N866" s="617"/>
      <c r="O866" s="617"/>
      <c r="P866" s="617"/>
      <c r="Q866" s="617"/>
      <c r="R866" s="617"/>
      <c r="S866" s="617"/>
      <c r="T866" s="617"/>
      <c r="U866" s="617"/>
      <c r="V866" s="617"/>
      <c r="W866" s="617"/>
      <c r="X866" s="617"/>
    </row>
    <row r="867" ht="18.75" customHeight="1">
      <c r="A867" s="617"/>
      <c r="B867" s="617"/>
      <c r="C867" s="617"/>
      <c r="D867" s="617"/>
      <c r="E867" s="617"/>
      <c r="F867" s="617"/>
      <c r="G867" s="617"/>
      <c r="H867" s="617"/>
      <c r="I867" s="617"/>
      <c r="J867" s="617"/>
      <c r="K867" s="617"/>
      <c r="L867" s="617"/>
      <c r="M867" s="617"/>
      <c r="N867" s="617"/>
      <c r="O867" s="617"/>
      <c r="P867" s="617"/>
      <c r="Q867" s="617"/>
      <c r="R867" s="617"/>
      <c r="S867" s="617"/>
      <c r="T867" s="617"/>
      <c r="U867" s="617"/>
      <c r="V867" s="617"/>
      <c r="W867" s="617"/>
      <c r="X867" s="617"/>
    </row>
    <row r="868" ht="18.75" customHeight="1">
      <c r="A868" s="617"/>
      <c r="B868" s="617"/>
      <c r="C868" s="617"/>
      <c r="D868" s="617"/>
      <c r="E868" s="617"/>
      <c r="F868" s="617"/>
      <c r="G868" s="617"/>
      <c r="H868" s="617"/>
      <c r="I868" s="617"/>
      <c r="J868" s="617"/>
      <c r="K868" s="617"/>
      <c r="L868" s="617"/>
      <c r="M868" s="617"/>
      <c r="N868" s="617"/>
      <c r="O868" s="617"/>
      <c r="P868" s="617"/>
      <c r="Q868" s="617"/>
      <c r="R868" s="617"/>
      <c r="S868" s="617"/>
      <c r="T868" s="617"/>
      <c r="U868" s="617"/>
      <c r="V868" s="617"/>
      <c r="W868" s="617"/>
      <c r="X868" s="617"/>
    </row>
    <row r="869" ht="18.75" customHeight="1">
      <c r="A869" s="617"/>
      <c r="B869" s="617"/>
      <c r="C869" s="617"/>
      <c r="D869" s="617"/>
      <c r="E869" s="617"/>
      <c r="F869" s="617"/>
      <c r="G869" s="617"/>
      <c r="H869" s="617"/>
      <c r="I869" s="617"/>
      <c r="J869" s="617"/>
      <c r="K869" s="617"/>
      <c r="L869" s="617"/>
      <c r="M869" s="617"/>
      <c r="N869" s="617"/>
      <c r="O869" s="617"/>
      <c r="P869" s="617"/>
      <c r="Q869" s="617"/>
      <c r="R869" s="617"/>
      <c r="S869" s="617"/>
      <c r="T869" s="617"/>
      <c r="U869" s="617"/>
      <c r="V869" s="617"/>
      <c r="W869" s="617"/>
      <c r="X869" s="617"/>
    </row>
    <row r="870" ht="18.75" customHeight="1">
      <c r="A870" s="617"/>
      <c r="B870" s="617"/>
      <c r="C870" s="617"/>
      <c r="D870" s="617"/>
      <c r="E870" s="617"/>
      <c r="F870" s="617"/>
      <c r="G870" s="617"/>
      <c r="H870" s="617"/>
      <c r="I870" s="617"/>
      <c r="J870" s="617"/>
      <c r="K870" s="617"/>
      <c r="L870" s="617"/>
      <c r="M870" s="617"/>
      <c r="N870" s="617"/>
      <c r="O870" s="617"/>
      <c r="P870" s="617"/>
      <c r="Q870" s="617"/>
      <c r="R870" s="617"/>
      <c r="S870" s="617"/>
      <c r="T870" s="617"/>
      <c r="U870" s="617"/>
      <c r="V870" s="617"/>
      <c r="W870" s="617"/>
      <c r="X870" s="617"/>
    </row>
    <row r="871" ht="18.75" customHeight="1">
      <c r="A871" s="617"/>
      <c r="B871" s="617"/>
      <c r="C871" s="617"/>
      <c r="D871" s="617"/>
      <c r="E871" s="617"/>
      <c r="F871" s="617"/>
      <c r="G871" s="617"/>
      <c r="H871" s="617"/>
      <c r="I871" s="617"/>
      <c r="J871" s="617"/>
      <c r="K871" s="617"/>
      <c r="L871" s="617"/>
      <c r="M871" s="617"/>
      <c r="N871" s="617"/>
      <c r="O871" s="617"/>
      <c r="P871" s="617"/>
      <c r="Q871" s="617"/>
      <c r="R871" s="617"/>
      <c r="S871" s="617"/>
      <c r="T871" s="617"/>
      <c r="U871" s="617"/>
      <c r="V871" s="617"/>
      <c r="W871" s="617"/>
      <c r="X871" s="617"/>
    </row>
    <row r="872" ht="18.75" customHeight="1">
      <c r="A872" s="617"/>
      <c r="B872" s="617"/>
      <c r="C872" s="617"/>
      <c r="D872" s="617"/>
      <c r="E872" s="617"/>
      <c r="F872" s="617"/>
      <c r="G872" s="617"/>
      <c r="H872" s="617"/>
      <c r="I872" s="617"/>
      <c r="J872" s="617"/>
      <c r="K872" s="617"/>
      <c r="L872" s="617"/>
      <c r="M872" s="617"/>
      <c r="N872" s="617"/>
      <c r="O872" s="617"/>
      <c r="P872" s="617"/>
      <c r="Q872" s="617"/>
      <c r="R872" s="617"/>
      <c r="S872" s="617"/>
      <c r="T872" s="617"/>
      <c r="U872" s="617"/>
      <c r="V872" s="617"/>
      <c r="W872" s="617"/>
      <c r="X872" s="617"/>
    </row>
    <row r="873" ht="18.75" customHeight="1">
      <c r="A873" s="617"/>
      <c r="B873" s="617"/>
      <c r="C873" s="617"/>
      <c r="D873" s="617"/>
      <c r="E873" s="617"/>
      <c r="F873" s="617"/>
      <c r="G873" s="617"/>
      <c r="H873" s="617"/>
      <c r="I873" s="617"/>
      <c r="J873" s="617"/>
      <c r="K873" s="617"/>
      <c r="L873" s="617"/>
      <c r="M873" s="617"/>
      <c r="N873" s="617"/>
      <c r="O873" s="617"/>
      <c r="P873" s="617"/>
      <c r="Q873" s="617"/>
      <c r="R873" s="617"/>
      <c r="S873" s="617"/>
      <c r="T873" s="617"/>
      <c r="U873" s="617"/>
      <c r="V873" s="617"/>
      <c r="W873" s="617"/>
      <c r="X873" s="617"/>
    </row>
    <row r="874" ht="18.75" customHeight="1">
      <c r="A874" s="617"/>
      <c r="B874" s="617"/>
      <c r="C874" s="617"/>
      <c r="D874" s="617"/>
      <c r="E874" s="617"/>
      <c r="F874" s="617"/>
      <c r="G874" s="617"/>
      <c r="H874" s="617"/>
      <c r="I874" s="617"/>
      <c r="J874" s="617"/>
      <c r="K874" s="617"/>
      <c r="L874" s="617"/>
      <c r="M874" s="617"/>
      <c r="N874" s="617"/>
      <c r="O874" s="617"/>
      <c r="P874" s="617"/>
      <c r="Q874" s="617"/>
      <c r="R874" s="617"/>
      <c r="S874" s="617"/>
      <c r="T874" s="617"/>
      <c r="U874" s="617"/>
      <c r="V874" s="617"/>
      <c r="W874" s="617"/>
      <c r="X874" s="617"/>
    </row>
    <row r="875" ht="18.75" customHeight="1">
      <c r="A875" s="617"/>
      <c r="B875" s="617"/>
      <c r="C875" s="617"/>
      <c r="D875" s="617"/>
      <c r="E875" s="617"/>
      <c r="F875" s="617"/>
      <c r="G875" s="617"/>
      <c r="H875" s="617"/>
      <c r="I875" s="617"/>
      <c r="J875" s="617"/>
      <c r="K875" s="617"/>
      <c r="L875" s="617"/>
      <c r="M875" s="617"/>
      <c r="N875" s="617"/>
      <c r="O875" s="617"/>
      <c r="P875" s="617"/>
      <c r="Q875" s="617"/>
      <c r="R875" s="617"/>
      <c r="S875" s="617"/>
      <c r="T875" s="617"/>
      <c r="U875" s="617"/>
      <c r="V875" s="617"/>
      <c r="W875" s="617"/>
      <c r="X875" s="617"/>
    </row>
    <row r="876" ht="18.75" customHeight="1">
      <c r="A876" s="617"/>
      <c r="B876" s="617"/>
      <c r="C876" s="617"/>
      <c r="D876" s="617"/>
      <c r="E876" s="617"/>
      <c r="F876" s="617"/>
      <c r="G876" s="617"/>
      <c r="H876" s="617"/>
      <c r="I876" s="617"/>
      <c r="J876" s="617"/>
      <c r="K876" s="617"/>
      <c r="L876" s="617"/>
      <c r="M876" s="617"/>
      <c r="N876" s="617"/>
      <c r="O876" s="617"/>
      <c r="P876" s="617"/>
      <c r="Q876" s="617"/>
      <c r="R876" s="617"/>
      <c r="S876" s="617"/>
      <c r="T876" s="617"/>
      <c r="U876" s="617"/>
      <c r="V876" s="617"/>
      <c r="W876" s="617"/>
      <c r="X876" s="617"/>
    </row>
    <row r="877" ht="18.75" customHeight="1">
      <c r="A877" s="617"/>
      <c r="B877" s="617"/>
      <c r="C877" s="617"/>
      <c r="D877" s="617"/>
      <c r="E877" s="617"/>
      <c r="F877" s="617"/>
      <c r="G877" s="617"/>
      <c r="H877" s="617"/>
      <c r="I877" s="617"/>
      <c r="J877" s="617"/>
      <c r="K877" s="617"/>
      <c r="L877" s="617"/>
      <c r="M877" s="617"/>
      <c r="N877" s="617"/>
      <c r="O877" s="617"/>
      <c r="P877" s="617"/>
      <c r="Q877" s="617"/>
      <c r="R877" s="617"/>
      <c r="S877" s="617"/>
      <c r="T877" s="617"/>
      <c r="U877" s="617"/>
      <c r="V877" s="617"/>
      <c r="W877" s="617"/>
      <c r="X877" s="617"/>
    </row>
    <row r="878" ht="18.75" customHeight="1">
      <c r="A878" s="617"/>
      <c r="B878" s="617"/>
      <c r="C878" s="617"/>
      <c r="D878" s="617"/>
      <c r="E878" s="617"/>
      <c r="F878" s="617"/>
      <c r="G878" s="617"/>
      <c r="H878" s="617"/>
      <c r="I878" s="617"/>
      <c r="J878" s="617"/>
      <c r="K878" s="617"/>
      <c r="L878" s="617"/>
      <c r="M878" s="617"/>
      <c r="N878" s="617"/>
      <c r="O878" s="617"/>
      <c r="P878" s="617"/>
      <c r="Q878" s="617"/>
      <c r="R878" s="617"/>
      <c r="S878" s="617"/>
      <c r="T878" s="617"/>
      <c r="U878" s="617"/>
      <c r="V878" s="617"/>
      <c r="W878" s="617"/>
      <c r="X878" s="617"/>
    </row>
    <row r="879" ht="18.75" customHeight="1">
      <c r="A879" s="617"/>
      <c r="B879" s="617"/>
      <c r="C879" s="617"/>
      <c r="D879" s="617"/>
      <c r="E879" s="617"/>
      <c r="F879" s="617"/>
      <c r="G879" s="617"/>
      <c r="H879" s="617"/>
      <c r="I879" s="617"/>
      <c r="J879" s="617"/>
      <c r="K879" s="617"/>
      <c r="L879" s="617"/>
      <c r="M879" s="617"/>
      <c r="N879" s="617"/>
      <c r="O879" s="617"/>
      <c r="P879" s="617"/>
      <c r="Q879" s="617"/>
      <c r="R879" s="617"/>
      <c r="S879" s="617"/>
      <c r="T879" s="617"/>
      <c r="U879" s="617"/>
      <c r="V879" s="617"/>
      <c r="W879" s="617"/>
      <c r="X879" s="617"/>
    </row>
    <row r="880" ht="18.75" customHeight="1">
      <c r="A880" s="617"/>
      <c r="B880" s="617"/>
      <c r="C880" s="617"/>
      <c r="D880" s="617"/>
      <c r="E880" s="617"/>
      <c r="F880" s="617"/>
      <c r="G880" s="617"/>
      <c r="H880" s="617"/>
      <c r="I880" s="617"/>
      <c r="J880" s="617"/>
      <c r="K880" s="617"/>
      <c r="L880" s="617"/>
      <c r="M880" s="617"/>
      <c r="N880" s="617"/>
      <c r="O880" s="617"/>
      <c r="P880" s="617"/>
      <c r="Q880" s="617"/>
      <c r="R880" s="617"/>
      <c r="S880" s="617"/>
      <c r="T880" s="617"/>
      <c r="U880" s="617"/>
      <c r="V880" s="617"/>
      <c r="W880" s="617"/>
      <c r="X880" s="617"/>
    </row>
    <row r="881" ht="18.75" customHeight="1">
      <c r="A881" s="617"/>
      <c r="B881" s="617"/>
      <c r="C881" s="617"/>
      <c r="D881" s="617"/>
      <c r="E881" s="617"/>
      <c r="F881" s="617"/>
      <c r="G881" s="617"/>
      <c r="H881" s="617"/>
      <c r="I881" s="617"/>
      <c r="J881" s="617"/>
      <c r="K881" s="617"/>
      <c r="L881" s="617"/>
      <c r="M881" s="617"/>
      <c r="N881" s="617"/>
      <c r="O881" s="617"/>
      <c r="P881" s="617"/>
      <c r="Q881" s="617"/>
      <c r="R881" s="617"/>
      <c r="S881" s="617"/>
      <c r="T881" s="617"/>
      <c r="U881" s="617"/>
      <c r="V881" s="617"/>
      <c r="W881" s="617"/>
      <c r="X881" s="617"/>
    </row>
    <row r="882" ht="18.75" customHeight="1">
      <c r="A882" s="617"/>
      <c r="B882" s="617"/>
      <c r="C882" s="617"/>
      <c r="D882" s="617"/>
      <c r="E882" s="617"/>
      <c r="F882" s="617"/>
      <c r="G882" s="617"/>
      <c r="H882" s="617"/>
      <c r="I882" s="617"/>
      <c r="J882" s="617"/>
      <c r="K882" s="617"/>
      <c r="L882" s="617"/>
      <c r="M882" s="617"/>
      <c r="N882" s="617"/>
      <c r="O882" s="617"/>
      <c r="P882" s="617"/>
      <c r="Q882" s="617"/>
      <c r="R882" s="617"/>
      <c r="S882" s="617"/>
      <c r="T882" s="617"/>
      <c r="U882" s="617"/>
      <c r="V882" s="617"/>
      <c r="W882" s="617"/>
      <c r="X882" s="617"/>
    </row>
    <row r="883" ht="18.75" customHeight="1">
      <c r="A883" s="617"/>
      <c r="B883" s="617"/>
      <c r="C883" s="617"/>
      <c r="D883" s="617"/>
      <c r="E883" s="617"/>
      <c r="F883" s="617"/>
      <c r="G883" s="617"/>
      <c r="H883" s="617"/>
      <c r="I883" s="617"/>
      <c r="J883" s="617"/>
      <c r="K883" s="617"/>
      <c r="L883" s="617"/>
      <c r="M883" s="617"/>
      <c r="N883" s="617"/>
      <c r="O883" s="617"/>
      <c r="P883" s="617"/>
      <c r="Q883" s="617"/>
      <c r="R883" s="617"/>
      <c r="S883" s="617"/>
      <c r="T883" s="617"/>
      <c r="U883" s="617"/>
      <c r="V883" s="617"/>
      <c r="W883" s="617"/>
      <c r="X883" s="617"/>
    </row>
    <row r="884" ht="18.75" customHeight="1">
      <c r="A884" s="617"/>
      <c r="B884" s="617"/>
      <c r="C884" s="617"/>
      <c r="D884" s="617"/>
      <c r="E884" s="617"/>
      <c r="F884" s="617"/>
      <c r="G884" s="617"/>
      <c r="H884" s="617"/>
      <c r="I884" s="617"/>
      <c r="J884" s="617"/>
      <c r="K884" s="617"/>
      <c r="L884" s="617"/>
      <c r="M884" s="617"/>
      <c r="N884" s="617"/>
      <c r="O884" s="617"/>
      <c r="P884" s="617"/>
      <c r="Q884" s="617"/>
      <c r="R884" s="617"/>
      <c r="S884" s="617"/>
      <c r="T884" s="617"/>
      <c r="U884" s="617"/>
      <c r="V884" s="617"/>
      <c r="W884" s="617"/>
      <c r="X884" s="617"/>
    </row>
    <row r="885" ht="18.75" customHeight="1">
      <c r="A885" s="617"/>
      <c r="B885" s="617"/>
      <c r="C885" s="617"/>
      <c r="D885" s="617"/>
      <c r="E885" s="617"/>
      <c r="F885" s="617"/>
      <c r="G885" s="617"/>
      <c r="H885" s="617"/>
      <c r="I885" s="617"/>
      <c r="J885" s="617"/>
      <c r="K885" s="617"/>
      <c r="L885" s="617"/>
      <c r="M885" s="617"/>
      <c r="N885" s="617"/>
      <c r="O885" s="617"/>
      <c r="P885" s="617"/>
      <c r="Q885" s="617"/>
      <c r="R885" s="617"/>
      <c r="S885" s="617"/>
      <c r="T885" s="617"/>
      <c r="U885" s="617"/>
      <c r="V885" s="617"/>
      <c r="W885" s="617"/>
      <c r="X885" s="617"/>
    </row>
    <row r="886" ht="18.75" customHeight="1">
      <c r="A886" s="617"/>
      <c r="B886" s="617"/>
      <c r="C886" s="617"/>
      <c r="D886" s="617"/>
      <c r="E886" s="617"/>
      <c r="F886" s="617"/>
      <c r="G886" s="617"/>
      <c r="H886" s="617"/>
      <c r="I886" s="617"/>
      <c r="J886" s="617"/>
      <c r="K886" s="617"/>
      <c r="L886" s="617"/>
      <c r="M886" s="617"/>
      <c r="N886" s="617"/>
      <c r="O886" s="617"/>
      <c r="P886" s="617"/>
      <c r="Q886" s="617"/>
      <c r="R886" s="617"/>
      <c r="S886" s="617"/>
      <c r="T886" s="617"/>
      <c r="U886" s="617"/>
      <c r="V886" s="617"/>
      <c r="W886" s="617"/>
      <c r="X886" s="617"/>
    </row>
    <row r="887" ht="18.75" customHeight="1">
      <c r="A887" s="617"/>
      <c r="B887" s="617"/>
      <c r="C887" s="617"/>
      <c r="D887" s="617"/>
      <c r="E887" s="617"/>
      <c r="F887" s="617"/>
      <c r="G887" s="617"/>
      <c r="H887" s="617"/>
      <c r="I887" s="617"/>
      <c r="J887" s="617"/>
      <c r="K887" s="617"/>
      <c r="L887" s="617"/>
      <c r="M887" s="617"/>
      <c r="N887" s="617"/>
      <c r="O887" s="617"/>
      <c r="P887" s="617"/>
      <c r="Q887" s="617"/>
      <c r="R887" s="617"/>
      <c r="S887" s="617"/>
      <c r="T887" s="617"/>
      <c r="U887" s="617"/>
      <c r="V887" s="617"/>
      <c r="W887" s="617"/>
      <c r="X887" s="617"/>
    </row>
    <row r="888" ht="18.75" customHeight="1">
      <c r="A888" s="617"/>
      <c r="B888" s="617"/>
      <c r="C888" s="617"/>
      <c r="D888" s="617"/>
      <c r="E888" s="617"/>
      <c r="F888" s="617"/>
      <c r="G888" s="617"/>
      <c r="H888" s="617"/>
      <c r="I888" s="617"/>
      <c r="J888" s="617"/>
      <c r="K888" s="617"/>
      <c r="L888" s="617"/>
      <c r="M888" s="617"/>
      <c r="N888" s="617"/>
      <c r="O888" s="617"/>
      <c r="P888" s="617"/>
      <c r="Q888" s="617"/>
      <c r="R888" s="617"/>
      <c r="S888" s="617"/>
      <c r="T888" s="617"/>
      <c r="U888" s="617"/>
      <c r="V888" s="617"/>
      <c r="W888" s="617"/>
      <c r="X888" s="617"/>
    </row>
    <row r="889" ht="18.75" customHeight="1">
      <c r="A889" s="617"/>
      <c r="B889" s="617"/>
      <c r="C889" s="617"/>
      <c r="D889" s="617"/>
      <c r="E889" s="617"/>
      <c r="F889" s="617"/>
      <c r="G889" s="617"/>
      <c r="H889" s="617"/>
      <c r="I889" s="617"/>
      <c r="J889" s="617"/>
      <c r="K889" s="617"/>
      <c r="L889" s="617"/>
      <c r="M889" s="617"/>
      <c r="N889" s="617"/>
      <c r="O889" s="617"/>
      <c r="P889" s="617"/>
      <c r="Q889" s="617"/>
      <c r="R889" s="617"/>
      <c r="S889" s="617"/>
      <c r="T889" s="617"/>
      <c r="U889" s="617"/>
      <c r="V889" s="617"/>
      <c r="W889" s="617"/>
      <c r="X889" s="617"/>
    </row>
    <row r="890" ht="18.75" customHeight="1">
      <c r="A890" s="617"/>
      <c r="B890" s="617"/>
      <c r="C890" s="617"/>
      <c r="D890" s="617"/>
      <c r="E890" s="617"/>
      <c r="F890" s="617"/>
      <c r="G890" s="617"/>
      <c r="H890" s="617"/>
      <c r="I890" s="617"/>
      <c r="J890" s="617"/>
      <c r="K890" s="617"/>
      <c r="L890" s="617"/>
      <c r="M890" s="617"/>
      <c r="N890" s="617"/>
      <c r="O890" s="617"/>
      <c r="P890" s="617"/>
      <c r="Q890" s="617"/>
      <c r="R890" s="617"/>
      <c r="S890" s="617"/>
      <c r="T890" s="617"/>
      <c r="U890" s="617"/>
      <c r="V890" s="617"/>
      <c r="W890" s="617"/>
      <c r="X890" s="617"/>
    </row>
    <row r="891" ht="18.75" customHeight="1">
      <c r="A891" s="617"/>
      <c r="B891" s="617"/>
      <c r="C891" s="617"/>
      <c r="D891" s="617"/>
      <c r="E891" s="617"/>
      <c r="F891" s="617"/>
      <c r="G891" s="617"/>
      <c r="H891" s="617"/>
      <c r="I891" s="617"/>
      <c r="J891" s="617"/>
      <c r="K891" s="617"/>
      <c r="L891" s="617"/>
      <c r="M891" s="617"/>
      <c r="N891" s="617"/>
      <c r="O891" s="617"/>
      <c r="P891" s="617"/>
      <c r="Q891" s="617"/>
      <c r="R891" s="617"/>
      <c r="S891" s="617"/>
      <c r="T891" s="617"/>
      <c r="U891" s="617"/>
      <c r="V891" s="617"/>
      <c r="W891" s="617"/>
      <c r="X891" s="617"/>
    </row>
    <row r="892" ht="18.75" customHeight="1">
      <c r="A892" s="617"/>
      <c r="B892" s="617"/>
      <c r="C892" s="617"/>
      <c r="D892" s="617"/>
      <c r="E892" s="617"/>
      <c r="F892" s="617"/>
      <c r="G892" s="617"/>
      <c r="H892" s="617"/>
      <c r="I892" s="617"/>
      <c r="J892" s="617"/>
      <c r="K892" s="617"/>
      <c r="L892" s="617"/>
      <c r="M892" s="617"/>
      <c r="N892" s="617"/>
      <c r="O892" s="617"/>
      <c r="P892" s="617"/>
      <c r="Q892" s="617"/>
      <c r="R892" s="617"/>
      <c r="S892" s="617"/>
      <c r="T892" s="617"/>
      <c r="U892" s="617"/>
      <c r="V892" s="617"/>
      <c r="W892" s="617"/>
      <c r="X892" s="617"/>
    </row>
    <row r="893" ht="18.75" customHeight="1">
      <c r="A893" s="617"/>
      <c r="B893" s="617"/>
      <c r="C893" s="617"/>
      <c r="D893" s="617"/>
      <c r="E893" s="617"/>
      <c r="F893" s="617"/>
      <c r="G893" s="617"/>
      <c r="H893" s="617"/>
      <c r="I893" s="617"/>
      <c r="J893" s="617"/>
      <c r="K893" s="617"/>
      <c r="L893" s="617"/>
      <c r="M893" s="617"/>
      <c r="N893" s="617"/>
      <c r="O893" s="617"/>
      <c r="P893" s="617"/>
      <c r="Q893" s="617"/>
      <c r="R893" s="617"/>
      <c r="S893" s="617"/>
      <c r="T893" s="617"/>
      <c r="U893" s="617"/>
      <c r="V893" s="617"/>
      <c r="W893" s="617"/>
      <c r="X893" s="617"/>
    </row>
    <row r="894" ht="18.75" customHeight="1">
      <c r="A894" s="617"/>
      <c r="B894" s="617"/>
      <c r="C894" s="617"/>
      <c r="D894" s="617"/>
      <c r="E894" s="617"/>
      <c r="F894" s="617"/>
      <c r="G894" s="617"/>
      <c r="H894" s="617"/>
      <c r="I894" s="617"/>
      <c r="J894" s="617"/>
      <c r="K894" s="617"/>
      <c r="L894" s="617"/>
      <c r="M894" s="617"/>
      <c r="N894" s="617"/>
      <c r="O894" s="617"/>
      <c r="P894" s="617"/>
      <c r="Q894" s="617"/>
      <c r="R894" s="617"/>
      <c r="S894" s="617"/>
      <c r="T894" s="617"/>
      <c r="U894" s="617"/>
      <c r="V894" s="617"/>
      <c r="W894" s="617"/>
      <c r="X894" s="617"/>
    </row>
    <row r="895" ht="18.75" customHeight="1">
      <c r="A895" s="617"/>
      <c r="B895" s="617"/>
      <c r="C895" s="617"/>
      <c r="D895" s="617"/>
      <c r="E895" s="617"/>
      <c r="F895" s="617"/>
      <c r="G895" s="617"/>
      <c r="H895" s="617"/>
      <c r="I895" s="617"/>
      <c r="J895" s="617"/>
      <c r="K895" s="617"/>
      <c r="L895" s="617"/>
      <c r="M895" s="617"/>
      <c r="N895" s="617"/>
      <c r="O895" s="617"/>
      <c r="P895" s="617"/>
      <c r="Q895" s="617"/>
      <c r="R895" s="617"/>
      <c r="S895" s="617"/>
      <c r="T895" s="617"/>
      <c r="U895" s="617"/>
      <c r="V895" s="617"/>
      <c r="W895" s="617"/>
      <c r="X895" s="617"/>
    </row>
    <row r="896" ht="18.75" customHeight="1">
      <c r="A896" s="617"/>
      <c r="B896" s="617"/>
      <c r="C896" s="617"/>
      <c r="D896" s="617"/>
      <c r="E896" s="617"/>
      <c r="F896" s="617"/>
      <c r="G896" s="617"/>
      <c r="H896" s="617"/>
      <c r="I896" s="617"/>
      <c r="J896" s="617"/>
      <c r="K896" s="617"/>
      <c r="L896" s="617"/>
      <c r="M896" s="617"/>
      <c r="N896" s="617"/>
      <c r="O896" s="617"/>
      <c r="P896" s="617"/>
      <c r="Q896" s="617"/>
      <c r="R896" s="617"/>
      <c r="S896" s="617"/>
      <c r="T896" s="617"/>
      <c r="U896" s="617"/>
      <c r="V896" s="617"/>
      <c r="W896" s="617"/>
      <c r="X896" s="617"/>
    </row>
    <row r="897" ht="18.75" customHeight="1">
      <c r="A897" s="617"/>
      <c r="B897" s="617"/>
      <c r="C897" s="617"/>
      <c r="D897" s="617"/>
      <c r="E897" s="617"/>
      <c r="F897" s="617"/>
      <c r="G897" s="617"/>
      <c r="H897" s="617"/>
      <c r="I897" s="617"/>
      <c r="J897" s="617"/>
      <c r="K897" s="617"/>
      <c r="L897" s="617"/>
      <c r="M897" s="617"/>
      <c r="N897" s="617"/>
      <c r="O897" s="617"/>
      <c r="P897" s="617"/>
      <c r="Q897" s="617"/>
      <c r="R897" s="617"/>
      <c r="S897" s="617"/>
      <c r="T897" s="617"/>
      <c r="U897" s="617"/>
      <c r="V897" s="617"/>
      <c r="W897" s="617"/>
      <c r="X897" s="617"/>
    </row>
    <row r="898" ht="18.75" customHeight="1">
      <c r="A898" s="617"/>
      <c r="B898" s="617"/>
      <c r="C898" s="617"/>
      <c r="D898" s="617"/>
      <c r="E898" s="617"/>
      <c r="F898" s="617"/>
      <c r="G898" s="617"/>
      <c r="H898" s="617"/>
      <c r="I898" s="617"/>
      <c r="J898" s="617"/>
      <c r="K898" s="617"/>
      <c r="L898" s="617"/>
      <c r="M898" s="617"/>
      <c r="N898" s="617"/>
      <c r="O898" s="617"/>
      <c r="P898" s="617"/>
      <c r="Q898" s="617"/>
      <c r="R898" s="617"/>
      <c r="S898" s="617"/>
      <c r="T898" s="617"/>
      <c r="U898" s="617"/>
      <c r="V898" s="617"/>
      <c r="W898" s="617"/>
      <c r="X898" s="617"/>
    </row>
    <row r="899" ht="18.75" customHeight="1">
      <c r="A899" s="617"/>
      <c r="B899" s="617"/>
      <c r="C899" s="617"/>
      <c r="D899" s="617"/>
      <c r="E899" s="617"/>
      <c r="F899" s="617"/>
      <c r="G899" s="617"/>
      <c r="H899" s="617"/>
      <c r="I899" s="617"/>
      <c r="J899" s="617"/>
      <c r="K899" s="617"/>
      <c r="L899" s="617"/>
      <c r="M899" s="617"/>
      <c r="N899" s="617"/>
      <c r="O899" s="617"/>
      <c r="P899" s="617"/>
      <c r="Q899" s="617"/>
      <c r="R899" s="617"/>
      <c r="S899" s="617"/>
      <c r="T899" s="617"/>
      <c r="U899" s="617"/>
      <c r="V899" s="617"/>
      <c r="W899" s="617"/>
      <c r="X899" s="617"/>
    </row>
    <row r="900" ht="18.75" customHeight="1">
      <c r="A900" s="617"/>
      <c r="B900" s="617"/>
      <c r="C900" s="617"/>
      <c r="D900" s="617"/>
      <c r="E900" s="617"/>
      <c r="F900" s="617"/>
      <c r="G900" s="617"/>
      <c r="H900" s="617"/>
      <c r="I900" s="617"/>
      <c r="J900" s="617"/>
      <c r="K900" s="617"/>
      <c r="L900" s="617"/>
      <c r="M900" s="617"/>
      <c r="N900" s="617"/>
      <c r="O900" s="617"/>
      <c r="P900" s="617"/>
      <c r="Q900" s="617"/>
      <c r="R900" s="617"/>
      <c r="S900" s="617"/>
      <c r="T900" s="617"/>
      <c r="U900" s="617"/>
      <c r="V900" s="617"/>
      <c r="W900" s="617"/>
      <c r="X900" s="617"/>
    </row>
    <row r="901" ht="18.75" customHeight="1">
      <c r="A901" s="617"/>
      <c r="B901" s="617"/>
      <c r="C901" s="617"/>
      <c r="D901" s="617"/>
      <c r="E901" s="617"/>
      <c r="F901" s="617"/>
      <c r="G901" s="617"/>
      <c r="H901" s="617"/>
      <c r="I901" s="617"/>
      <c r="J901" s="617"/>
      <c r="K901" s="617"/>
      <c r="L901" s="617"/>
      <c r="M901" s="617"/>
      <c r="N901" s="617"/>
      <c r="O901" s="617"/>
      <c r="P901" s="617"/>
      <c r="Q901" s="617"/>
      <c r="R901" s="617"/>
      <c r="S901" s="617"/>
      <c r="T901" s="617"/>
      <c r="U901" s="617"/>
      <c r="V901" s="617"/>
      <c r="W901" s="617"/>
      <c r="X901" s="617"/>
    </row>
    <row r="902" ht="18.75" customHeight="1">
      <c r="A902" s="617"/>
      <c r="B902" s="617"/>
      <c r="C902" s="617"/>
      <c r="D902" s="617"/>
      <c r="E902" s="617"/>
      <c r="F902" s="617"/>
      <c r="G902" s="617"/>
      <c r="H902" s="617"/>
      <c r="I902" s="617"/>
      <c r="J902" s="617"/>
      <c r="K902" s="617"/>
      <c r="L902" s="617"/>
      <c r="M902" s="617"/>
      <c r="N902" s="617"/>
      <c r="O902" s="617"/>
      <c r="P902" s="617"/>
      <c r="Q902" s="617"/>
      <c r="R902" s="617"/>
      <c r="S902" s="617"/>
      <c r="T902" s="617"/>
      <c r="U902" s="617"/>
      <c r="V902" s="617"/>
      <c r="W902" s="617"/>
      <c r="X902" s="617"/>
    </row>
    <row r="903" ht="18.75" customHeight="1">
      <c r="A903" s="617"/>
      <c r="B903" s="617"/>
      <c r="C903" s="617"/>
      <c r="D903" s="617"/>
      <c r="E903" s="617"/>
      <c r="F903" s="617"/>
      <c r="G903" s="617"/>
      <c r="H903" s="617"/>
      <c r="I903" s="617"/>
      <c r="J903" s="617"/>
      <c r="K903" s="617"/>
      <c r="L903" s="617"/>
      <c r="M903" s="617"/>
      <c r="N903" s="617"/>
      <c r="O903" s="617"/>
      <c r="P903" s="617"/>
      <c r="Q903" s="617"/>
      <c r="R903" s="617"/>
      <c r="S903" s="617"/>
      <c r="T903" s="617"/>
      <c r="U903" s="617"/>
      <c r="V903" s="617"/>
      <c r="W903" s="617"/>
      <c r="X903" s="617"/>
    </row>
    <row r="904" ht="18.75" customHeight="1">
      <c r="A904" s="617"/>
      <c r="B904" s="617"/>
      <c r="C904" s="617"/>
      <c r="D904" s="617"/>
      <c r="E904" s="617"/>
      <c r="F904" s="617"/>
      <c r="G904" s="617"/>
      <c r="H904" s="617"/>
      <c r="I904" s="617"/>
      <c r="J904" s="617"/>
      <c r="K904" s="617"/>
      <c r="L904" s="617"/>
      <c r="M904" s="617"/>
      <c r="N904" s="617"/>
      <c r="O904" s="617"/>
      <c r="P904" s="617"/>
      <c r="Q904" s="617"/>
      <c r="R904" s="617"/>
      <c r="S904" s="617"/>
      <c r="T904" s="617"/>
      <c r="U904" s="617"/>
      <c r="V904" s="617"/>
      <c r="W904" s="617"/>
      <c r="X904" s="617"/>
    </row>
    <row r="905" ht="18.75" customHeight="1">
      <c r="A905" s="617"/>
      <c r="B905" s="617"/>
      <c r="C905" s="617"/>
      <c r="D905" s="617"/>
      <c r="E905" s="617"/>
      <c r="F905" s="617"/>
      <c r="G905" s="617"/>
      <c r="H905" s="617"/>
      <c r="I905" s="617"/>
      <c r="J905" s="617"/>
      <c r="K905" s="617"/>
      <c r="L905" s="617"/>
      <c r="M905" s="617"/>
      <c r="N905" s="617"/>
      <c r="O905" s="617"/>
      <c r="P905" s="617"/>
      <c r="Q905" s="617"/>
      <c r="R905" s="617"/>
      <c r="S905" s="617"/>
      <c r="T905" s="617"/>
      <c r="U905" s="617"/>
      <c r="V905" s="617"/>
      <c r="W905" s="617"/>
      <c r="X905" s="617"/>
    </row>
    <row r="906" ht="18.75" customHeight="1">
      <c r="A906" s="617"/>
      <c r="B906" s="617"/>
      <c r="C906" s="617"/>
      <c r="D906" s="617"/>
      <c r="E906" s="617"/>
      <c r="F906" s="617"/>
      <c r="G906" s="617"/>
      <c r="H906" s="617"/>
      <c r="I906" s="617"/>
      <c r="J906" s="617"/>
      <c r="K906" s="617"/>
      <c r="L906" s="617"/>
      <c r="M906" s="617"/>
      <c r="N906" s="617"/>
      <c r="O906" s="617"/>
      <c r="P906" s="617"/>
      <c r="Q906" s="617"/>
      <c r="R906" s="617"/>
      <c r="S906" s="617"/>
      <c r="T906" s="617"/>
      <c r="U906" s="617"/>
      <c r="V906" s="617"/>
      <c r="W906" s="617"/>
      <c r="X906" s="617"/>
    </row>
    <row r="907" ht="18.75" customHeight="1">
      <c r="A907" s="617"/>
      <c r="B907" s="617"/>
      <c r="C907" s="617"/>
      <c r="D907" s="617"/>
      <c r="E907" s="617"/>
      <c r="F907" s="617"/>
      <c r="G907" s="617"/>
      <c r="H907" s="617"/>
      <c r="I907" s="617"/>
      <c r="J907" s="617"/>
      <c r="K907" s="617"/>
      <c r="L907" s="617"/>
      <c r="M907" s="617"/>
      <c r="N907" s="617"/>
      <c r="O907" s="617"/>
      <c r="P907" s="617"/>
      <c r="Q907" s="617"/>
      <c r="R907" s="617"/>
      <c r="S907" s="617"/>
      <c r="T907" s="617"/>
      <c r="U907" s="617"/>
      <c r="V907" s="617"/>
      <c r="W907" s="617"/>
      <c r="X907" s="617"/>
    </row>
    <row r="908" ht="18.75" customHeight="1">
      <c r="A908" s="617"/>
      <c r="B908" s="617"/>
      <c r="C908" s="617"/>
      <c r="D908" s="617"/>
      <c r="E908" s="617"/>
      <c r="F908" s="617"/>
      <c r="G908" s="617"/>
      <c r="H908" s="617"/>
      <c r="I908" s="617"/>
      <c r="J908" s="617"/>
      <c r="K908" s="617"/>
      <c r="L908" s="617"/>
      <c r="M908" s="617"/>
      <c r="N908" s="617"/>
      <c r="O908" s="617"/>
      <c r="P908" s="617"/>
      <c r="Q908" s="617"/>
      <c r="R908" s="617"/>
      <c r="S908" s="617"/>
      <c r="T908" s="617"/>
      <c r="U908" s="617"/>
      <c r="V908" s="617"/>
      <c r="W908" s="617"/>
      <c r="X908" s="617"/>
    </row>
    <row r="909" ht="18.75" customHeight="1">
      <c r="A909" s="617"/>
      <c r="B909" s="617"/>
      <c r="C909" s="617"/>
      <c r="D909" s="617"/>
      <c r="E909" s="617"/>
      <c r="F909" s="617"/>
      <c r="G909" s="617"/>
      <c r="H909" s="617"/>
      <c r="I909" s="617"/>
      <c r="J909" s="617"/>
      <c r="K909" s="617"/>
      <c r="L909" s="617"/>
      <c r="M909" s="617"/>
      <c r="N909" s="617"/>
      <c r="O909" s="617"/>
      <c r="P909" s="617"/>
      <c r="Q909" s="617"/>
      <c r="R909" s="617"/>
      <c r="S909" s="617"/>
      <c r="T909" s="617"/>
      <c r="U909" s="617"/>
      <c r="V909" s="617"/>
      <c r="W909" s="617"/>
      <c r="X909" s="617"/>
    </row>
    <row r="910" ht="18.75" customHeight="1">
      <c r="A910" s="617"/>
      <c r="B910" s="617"/>
      <c r="C910" s="617"/>
      <c r="D910" s="617"/>
      <c r="E910" s="617"/>
      <c r="F910" s="617"/>
      <c r="G910" s="617"/>
      <c r="H910" s="617"/>
      <c r="I910" s="617"/>
      <c r="J910" s="617"/>
      <c r="K910" s="617"/>
      <c r="L910" s="617"/>
      <c r="M910" s="617"/>
      <c r="N910" s="617"/>
      <c r="O910" s="617"/>
      <c r="P910" s="617"/>
      <c r="Q910" s="617"/>
      <c r="R910" s="617"/>
      <c r="S910" s="617"/>
      <c r="T910" s="617"/>
      <c r="U910" s="617"/>
      <c r="V910" s="617"/>
      <c r="W910" s="617"/>
      <c r="X910" s="617"/>
    </row>
    <row r="911" ht="18.75" customHeight="1">
      <c r="A911" s="617"/>
      <c r="B911" s="617"/>
      <c r="C911" s="617"/>
      <c r="D911" s="617"/>
      <c r="E911" s="617"/>
      <c r="F911" s="617"/>
      <c r="G911" s="617"/>
      <c r="H911" s="617"/>
      <c r="I911" s="617"/>
      <c r="J911" s="617"/>
      <c r="K911" s="617"/>
      <c r="L911" s="617"/>
      <c r="M911" s="617"/>
      <c r="N911" s="617"/>
      <c r="O911" s="617"/>
      <c r="P911" s="617"/>
      <c r="Q911" s="617"/>
      <c r="R911" s="617"/>
      <c r="S911" s="617"/>
      <c r="T911" s="617"/>
      <c r="U911" s="617"/>
      <c r="V911" s="617"/>
      <c r="W911" s="617"/>
      <c r="X911" s="617"/>
    </row>
    <row r="912" ht="18.75" customHeight="1">
      <c r="A912" s="617"/>
      <c r="B912" s="617"/>
      <c r="C912" s="617"/>
      <c r="D912" s="617"/>
      <c r="E912" s="617"/>
      <c r="F912" s="617"/>
      <c r="G912" s="617"/>
      <c r="H912" s="617"/>
      <c r="I912" s="617"/>
      <c r="J912" s="617"/>
      <c r="K912" s="617"/>
      <c r="L912" s="617"/>
      <c r="M912" s="617"/>
      <c r="N912" s="617"/>
      <c r="O912" s="617"/>
      <c r="P912" s="617"/>
      <c r="Q912" s="617"/>
      <c r="R912" s="617"/>
      <c r="S912" s="617"/>
      <c r="T912" s="617"/>
      <c r="U912" s="617"/>
      <c r="V912" s="617"/>
      <c r="W912" s="617"/>
      <c r="X912" s="617"/>
    </row>
    <row r="913" ht="18.75" customHeight="1">
      <c r="A913" s="617"/>
      <c r="B913" s="617"/>
      <c r="C913" s="617"/>
      <c r="D913" s="617"/>
      <c r="E913" s="617"/>
      <c r="F913" s="617"/>
      <c r="G913" s="617"/>
      <c r="H913" s="617"/>
      <c r="I913" s="617"/>
      <c r="J913" s="617"/>
      <c r="K913" s="617"/>
      <c r="L913" s="617"/>
      <c r="M913" s="617"/>
      <c r="N913" s="617"/>
      <c r="O913" s="617"/>
      <c r="P913" s="617"/>
      <c r="Q913" s="617"/>
      <c r="R913" s="617"/>
      <c r="S913" s="617"/>
      <c r="T913" s="617"/>
      <c r="U913" s="617"/>
      <c r="V913" s="617"/>
      <c r="W913" s="617"/>
      <c r="X913" s="617"/>
    </row>
    <row r="914" ht="18.75" customHeight="1">
      <c r="A914" s="617"/>
      <c r="B914" s="617"/>
      <c r="C914" s="617"/>
      <c r="D914" s="617"/>
      <c r="E914" s="617"/>
      <c r="F914" s="617"/>
      <c r="G914" s="617"/>
      <c r="H914" s="617"/>
      <c r="I914" s="617"/>
      <c r="J914" s="617"/>
      <c r="K914" s="617"/>
      <c r="L914" s="617"/>
      <c r="M914" s="617"/>
      <c r="N914" s="617"/>
      <c r="O914" s="617"/>
      <c r="P914" s="617"/>
      <c r="Q914" s="617"/>
      <c r="R914" s="617"/>
      <c r="S914" s="617"/>
      <c r="T914" s="617"/>
      <c r="U914" s="617"/>
      <c r="V914" s="617"/>
      <c r="W914" s="617"/>
      <c r="X914" s="617"/>
    </row>
    <row r="915" ht="18.75" customHeight="1">
      <c r="A915" s="617"/>
      <c r="B915" s="617"/>
      <c r="C915" s="617"/>
      <c r="D915" s="617"/>
      <c r="E915" s="617"/>
      <c r="F915" s="617"/>
      <c r="G915" s="617"/>
      <c r="H915" s="617"/>
      <c r="I915" s="617"/>
      <c r="J915" s="617"/>
      <c r="K915" s="617"/>
      <c r="L915" s="617"/>
      <c r="M915" s="617"/>
      <c r="N915" s="617"/>
      <c r="O915" s="617"/>
      <c r="P915" s="617"/>
      <c r="Q915" s="617"/>
      <c r="R915" s="617"/>
      <c r="S915" s="617"/>
      <c r="T915" s="617"/>
      <c r="U915" s="617"/>
      <c r="V915" s="617"/>
      <c r="W915" s="617"/>
      <c r="X915" s="617"/>
    </row>
    <row r="916" ht="18.75" customHeight="1">
      <c r="A916" s="617"/>
      <c r="B916" s="617"/>
      <c r="C916" s="617"/>
      <c r="D916" s="617"/>
      <c r="E916" s="617"/>
      <c r="F916" s="617"/>
      <c r="G916" s="617"/>
      <c r="H916" s="617"/>
      <c r="I916" s="617"/>
      <c r="J916" s="617"/>
      <c r="K916" s="617"/>
      <c r="L916" s="617"/>
      <c r="M916" s="617"/>
      <c r="N916" s="617"/>
      <c r="O916" s="617"/>
      <c r="P916" s="617"/>
      <c r="Q916" s="617"/>
      <c r="R916" s="617"/>
      <c r="S916" s="617"/>
      <c r="T916" s="617"/>
      <c r="U916" s="617"/>
      <c r="V916" s="617"/>
      <c r="W916" s="617"/>
      <c r="X916" s="617"/>
    </row>
    <row r="917" ht="18.75" customHeight="1">
      <c r="A917" s="617"/>
      <c r="B917" s="617"/>
      <c r="C917" s="617"/>
      <c r="D917" s="617"/>
      <c r="E917" s="617"/>
      <c r="F917" s="617"/>
      <c r="G917" s="617"/>
      <c r="H917" s="617"/>
      <c r="I917" s="617"/>
      <c r="J917" s="617"/>
      <c r="K917" s="617"/>
      <c r="L917" s="617"/>
      <c r="M917" s="617"/>
      <c r="N917" s="617"/>
      <c r="O917" s="617"/>
      <c r="P917" s="617"/>
      <c r="Q917" s="617"/>
      <c r="R917" s="617"/>
      <c r="S917" s="617"/>
      <c r="T917" s="617"/>
      <c r="U917" s="617"/>
      <c r="V917" s="617"/>
      <c r="W917" s="617"/>
      <c r="X917" s="617"/>
    </row>
    <row r="918" ht="18.75" customHeight="1">
      <c r="A918" s="617"/>
      <c r="B918" s="617"/>
      <c r="C918" s="617"/>
      <c r="D918" s="617"/>
      <c r="E918" s="617"/>
      <c r="F918" s="617"/>
      <c r="G918" s="617"/>
      <c r="H918" s="617"/>
      <c r="I918" s="617"/>
      <c r="J918" s="617"/>
      <c r="K918" s="617"/>
      <c r="L918" s="617"/>
      <c r="M918" s="617"/>
      <c r="N918" s="617"/>
      <c r="O918" s="617"/>
      <c r="P918" s="617"/>
      <c r="Q918" s="617"/>
      <c r="R918" s="617"/>
      <c r="S918" s="617"/>
      <c r="T918" s="617"/>
      <c r="U918" s="617"/>
      <c r="V918" s="617"/>
      <c r="W918" s="617"/>
      <c r="X918" s="617"/>
    </row>
    <row r="919" ht="18.75" customHeight="1">
      <c r="A919" s="617"/>
      <c r="B919" s="617"/>
      <c r="C919" s="617"/>
      <c r="D919" s="617"/>
      <c r="E919" s="617"/>
      <c r="F919" s="617"/>
      <c r="G919" s="617"/>
      <c r="H919" s="617"/>
      <c r="I919" s="617"/>
      <c r="J919" s="617"/>
      <c r="K919" s="617"/>
      <c r="L919" s="617"/>
      <c r="M919" s="617"/>
      <c r="N919" s="617"/>
      <c r="O919" s="617"/>
      <c r="P919" s="617"/>
      <c r="Q919" s="617"/>
      <c r="R919" s="617"/>
      <c r="S919" s="617"/>
      <c r="T919" s="617"/>
      <c r="U919" s="617"/>
      <c r="V919" s="617"/>
      <c r="W919" s="617"/>
      <c r="X919" s="617"/>
    </row>
    <row r="920" ht="18.75" customHeight="1">
      <c r="A920" s="617"/>
      <c r="B920" s="617"/>
      <c r="C920" s="617"/>
      <c r="D920" s="617"/>
      <c r="E920" s="617"/>
      <c r="F920" s="617"/>
      <c r="G920" s="617"/>
      <c r="H920" s="617"/>
      <c r="I920" s="617"/>
      <c r="J920" s="617"/>
      <c r="K920" s="617"/>
      <c r="L920" s="617"/>
      <c r="M920" s="617"/>
      <c r="N920" s="617"/>
      <c r="O920" s="617"/>
      <c r="P920" s="617"/>
      <c r="Q920" s="617"/>
      <c r="R920" s="617"/>
      <c r="S920" s="617"/>
      <c r="T920" s="617"/>
      <c r="U920" s="617"/>
      <c r="V920" s="617"/>
      <c r="W920" s="617"/>
      <c r="X920" s="617"/>
    </row>
    <row r="921" ht="18.75" customHeight="1">
      <c r="A921" s="617"/>
      <c r="B921" s="617"/>
      <c r="C921" s="617"/>
      <c r="D921" s="617"/>
      <c r="E921" s="617"/>
      <c r="F921" s="617"/>
      <c r="G921" s="617"/>
      <c r="H921" s="617"/>
      <c r="I921" s="617"/>
      <c r="J921" s="617"/>
      <c r="K921" s="617"/>
      <c r="L921" s="617"/>
      <c r="M921" s="617"/>
      <c r="N921" s="617"/>
      <c r="O921" s="617"/>
      <c r="P921" s="617"/>
      <c r="Q921" s="617"/>
      <c r="R921" s="617"/>
      <c r="S921" s="617"/>
      <c r="T921" s="617"/>
      <c r="U921" s="617"/>
      <c r="V921" s="617"/>
      <c r="W921" s="617"/>
      <c r="X921" s="617"/>
    </row>
    <row r="922" ht="18.75" customHeight="1">
      <c r="A922" s="617"/>
      <c r="B922" s="617"/>
      <c r="C922" s="617"/>
      <c r="D922" s="617"/>
      <c r="E922" s="617"/>
      <c r="F922" s="617"/>
      <c r="G922" s="617"/>
      <c r="H922" s="617"/>
      <c r="I922" s="617"/>
      <c r="J922" s="617"/>
      <c r="K922" s="617"/>
      <c r="L922" s="617"/>
      <c r="M922" s="617"/>
      <c r="N922" s="617"/>
      <c r="O922" s="617"/>
      <c r="P922" s="617"/>
      <c r="Q922" s="617"/>
      <c r="R922" s="617"/>
      <c r="S922" s="617"/>
      <c r="T922" s="617"/>
      <c r="U922" s="617"/>
      <c r="V922" s="617"/>
      <c r="W922" s="617"/>
      <c r="X922" s="617"/>
    </row>
    <row r="923" ht="18.75" customHeight="1">
      <c r="A923" s="617"/>
      <c r="B923" s="617"/>
      <c r="C923" s="617"/>
      <c r="D923" s="617"/>
      <c r="E923" s="617"/>
      <c r="F923" s="617"/>
      <c r="G923" s="617"/>
      <c r="H923" s="617"/>
      <c r="I923" s="617"/>
      <c r="J923" s="617"/>
      <c r="K923" s="617"/>
      <c r="L923" s="617"/>
      <c r="M923" s="617"/>
      <c r="N923" s="617"/>
      <c r="O923" s="617"/>
      <c r="P923" s="617"/>
      <c r="Q923" s="617"/>
      <c r="R923" s="617"/>
      <c r="S923" s="617"/>
      <c r="T923" s="617"/>
      <c r="U923" s="617"/>
      <c r="V923" s="617"/>
      <c r="W923" s="617"/>
      <c r="X923" s="617"/>
    </row>
    <row r="924" ht="18.75" customHeight="1">
      <c r="A924" s="617"/>
      <c r="B924" s="617"/>
      <c r="C924" s="617"/>
      <c r="D924" s="617"/>
      <c r="E924" s="617"/>
      <c r="F924" s="617"/>
      <c r="G924" s="617"/>
      <c r="H924" s="617"/>
      <c r="I924" s="617"/>
      <c r="J924" s="617"/>
      <c r="K924" s="617"/>
      <c r="L924" s="617"/>
      <c r="M924" s="617"/>
      <c r="N924" s="617"/>
      <c r="O924" s="617"/>
      <c r="P924" s="617"/>
      <c r="Q924" s="617"/>
      <c r="R924" s="617"/>
      <c r="S924" s="617"/>
      <c r="T924" s="617"/>
      <c r="U924" s="617"/>
      <c r="V924" s="617"/>
      <c r="W924" s="617"/>
      <c r="X924" s="617"/>
    </row>
    <row r="925" ht="18.75" customHeight="1">
      <c r="A925" s="617"/>
      <c r="B925" s="617"/>
      <c r="C925" s="617"/>
      <c r="D925" s="617"/>
      <c r="E925" s="617"/>
      <c r="F925" s="617"/>
      <c r="G925" s="617"/>
      <c r="H925" s="617"/>
      <c r="I925" s="617"/>
      <c r="J925" s="617"/>
      <c r="K925" s="617"/>
      <c r="L925" s="617"/>
      <c r="M925" s="617"/>
      <c r="N925" s="617"/>
      <c r="O925" s="617"/>
      <c r="P925" s="617"/>
      <c r="Q925" s="617"/>
      <c r="R925" s="617"/>
      <c r="S925" s="617"/>
      <c r="T925" s="617"/>
      <c r="U925" s="617"/>
      <c r="V925" s="617"/>
      <c r="W925" s="617"/>
      <c r="X925" s="617"/>
    </row>
    <row r="926" ht="18.75" customHeight="1">
      <c r="A926" s="617"/>
      <c r="B926" s="617"/>
      <c r="C926" s="617"/>
      <c r="D926" s="617"/>
      <c r="E926" s="617"/>
      <c r="F926" s="617"/>
      <c r="G926" s="617"/>
      <c r="H926" s="617"/>
      <c r="I926" s="617"/>
      <c r="J926" s="617"/>
      <c r="K926" s="617"/>
      <c r="L926" s="617"/>
      <c r="M926" s="617"/>
      <c r="N926" s="617"/>
      <c r="O926" s="617"/>
      <c r="P926" s="617"/>
      <c r="Q926" s="617"/>
      <c r="R926" s="617"/>
      <c r="S926" s="617"/>
      <c r="T926" s="617"/>
      <c r="U926" s="617"/>
      <c r="V926" s="617"/>
      <c r="W926" s="617"/>
      <c r="X926" s="617"/>
    </row>
    <row r="927" ht="18.75" customHeight="1">
      <c r="A927" s="617"/>
      <c r="B927" s="617"/>
      <c r="C927" s="617"/>
      <c r="D927" s="617"/>
      <c r="E927" s="617"/>
      <c r="F927" s="617"/>
      <c r="G927" s="617"/>
      <c r="H927" s="617"/>
      <c r="I927" s="617"/>
      <c r="J927" s="617"/>
      <c r="K927" s="617"/>
      <c r="L927" s="617"/>
      <c r="M927" s="617"/>
      <c r="N927" s="617"/>
      <c r="O927" s="617"/>
      <c r="P927" s="617"/>
      <c r="Q927" s="617"/>
      <c r="R927" s="617"/>
      <c r="S927" s="617"/>
      <c r="T927" s="617"/>
      <c r="U927" s="617"/>
      <c r="V927" s="617"/>
      <c r="W927" s="617"/>
      <c r="X927" s="617"/>
    </row>
    <row r="928" ht="18.75" customHeight="1">
      <c r="A928" s="617"/>
      <c r="B928" s="617"/>
      <c r="C928" s="617"/>
      <c r="D928" s="617"/>
      <c r="E928" s="617"/>
      <c r="F928" s="617"/>
      <c r="G928" s="617"/>
      <c r="H928" s="617"/>
      <c r="I928" s="617"/>
      <c r="J928" s="617"/>
      <c r="K928" s="617"/>
      <c r="L928" s="617"/>
      <c r="M928" s="617"/>
      <c r="N928" s="617"/>
      <c r="O928" s="617"/>
      <c r="P928" s="617"/>
      <c r="Q928" s="617"/>
      <c r="R928" s="617"/>
      <c r="S928" s="617"/>
      <c r="T928" s="617"/>
      <c r="U928" s="617"/>
      <c r="V928" s="617"/>
      <c r="W928" s="617"/>
      <c r="X928" s="617"/>
    </row>
    <row r="929" ht="18.75" customHeight="1">
      <c r="A929" s="617"/>
      <c r="B929" s="617"/>
      <c r="C929" s="617"/>
      <c r="D929" s="617"/>
      <c r="E929" s="617"/>
      <c r="F929" s="617"/>
      <c r="G929" s="617"/>
      <c r="H929" s="617"/>
      <c r="I929" s="617"/>
      <c r="J929" s="617"/>
      <c r="K929" s="617"/>
      <c r="L929" s="617"/>
      <c r="M929" s="617"/>
      <c r="N929" s="617"/>
      <c r="O929" s="617"/>
      <c r="P929" s="617"/>
      <c r="Q929" s="617"/>
      <c r="R929" s="617"/>
      <c r="S929" s="617"/>
      <c r="T929" s="617"/>
      <c r="U929" s="617"/>
      <c r="V929" s="617"/>
      <c r="W929" s="617"/>
      <c r="X929" s="617"/>
    </row>
    <row r="930" ht="18.75" customHeight="1">
      <c r="A930" s="617"/>
      <c r="B930" s="617"/>
      <c r="C930" s="617"/>
      <c r="D930" s="617"/>
      <c r="E930" s="617"/>
      <c r="F930" s="617"/>
      <c r="G930" s="617"/>
      <c r="H930" s="617"/>
      <c r="I930" s="617"/>
      <c r="J930" s="617"/>
      <c r="K930" s="617"/>
      <c r="L930" s="617"/>
      <c r="M930" s="617"/>
      <c r="N930" s="617"/>
      <c r="O930" s="617"/>
      <c r="P930" s="617"/>
      <c r="Q930" s="617"/>
      <c r="R930" s="617"/>
      <c r="S930" s="617"/>
      <c r="T930" s="617"/>
      <c r="U930" s="617"/>
      <c r="V930" s="617"/>
      <c r="W930" s="617"/>
      <c r="X930" s="617"/>
    </row>
    <row r="931" ht="18.75" customHeight="1">
      <c r="A931" s="617"/>
      <c r="B931" s="617"/>
      <c r="C931" s="617"/>
      <c r="D931" s="617"/>
      <c r="E931" s="617"/>
      <c r="F931" s="617"/>
      <c r="G931" s="617"/>
      <c r="H931" s="617"/>
      <c r="I931" s="617"/>
      <c r="J931" s="617"/>
      <c r="K931" s="617"/>
      <c r="L931" s="617"/>
      <c r="M931" s="617"/>
      <c r="N931" s="617"/>
      <c r="O931" s="617"/>
      <c r="P931" s="617"/>
      <c r="Q931" s="617"/>
      <c r="R931" s="617"/>
      <c r="S931" s="617"/>
      <c r="T931" s="617"/>
      <c r="U931" s="617"/>
      <c r="V931" s="617"/>
      <c r="W931" s="617"/>
      <c r="X931" s="617"/>
    </row>
    <row r="932" ht="18.75" customHeight="1">
      <c r="A932" s="617"/>
      <c r="B932" s="617"/>
      <c r="C932" s="617"/>
      <c r="D932" s="617"/>
      <c r="E932" s="617"/>
      <c r="F932" s="617"/>
      <c r="G932" s="617"/>
      <c r="H932" s="617"/>
      <c r="I932" s="617"/>
      <c r="J932" s="617"/>
      <c r="K932" s="617"/>
      <c r="L932" s="617"/>
      <c r="M932" s="617"/>
      <c r="N932" s="617"/>
      <c r="O932" s="617"/>
      <c r="P932" s="617"/>
      <c r="Q932" s="617"/>
      <c r="R932" s="617"/>
      <c r="S932" s="617"/>
      <c r="T932" s="617"/>
      <c r="U932" s="617"/>
      <c r="V932" s="617"/>
      <c r="W932" s="617"/>
      <c r="X932" s="617"/>
    </row>
    <row r="933" ht="18.75" customHeight="1">
      <c r="A933" s="617"/>
      <c r="B933" s="617"/>
      <c r="C933" s="617"/>
      <c r="D933" s="617"/>
      <c r="E933" s="617"/>
      <c r="F933" s="617"/>
      <c r="G933" s="617"/>
      <c r="H933" s="617"/>
      <c r="I933" s="617"/>
      <c r="J933" s="617"/>
      <c r="K933" s="617"/>
      <c r="L933" s="617"/>
      <c r="M933" s="617"/>
      <c r="N933" s="617"/>
      <c r="O933" s="617"/>
      <c r="P933" s="617"/>
      <c r="Q933" s="617"/>
      <c r="R933" s="617"/>
      <c r="S933" s="617"/>
      <c r="T933" s="617"/>
      <c r="U933" s="617"/>
      <c r="V933" s="617"/>
      <c r="W933" s="617"/>
      <c r="X933" s="617"/>
    </row>
    <row r="934" ht="18.75" customHeight="1">
      <c r="A934" s="617"/>
      <c r="B934" s="617"/>
      <c r="C934" s="617"/>
      <c r="D934" s="617"/>
      <c r="E934" s="617"/>
      <c r="F934" s="617"/>
      <c r="G934" s="617"/>
      <c r="H934" s="617"/>
      <c r="I934" s="617"/>
      <c r="J934" s="617"/>
      <c r="K934" s="617"/>
      <c r="L934" s="617"/>
      <c r="M934" s="617"/>
      <c r="N934" s="617"/>
      <c r="O934" s="617"/>
      <c r="P934" s="617"/>
      <c r="Q934" s="617"/>
      <c r="R934" s="617"/>
      <c r="S934" s="617"/>
      <c r="T934" s="617"/>
      <c r="U934" s="617"/>
      <c r="V934" s="617"/>
      <c r="W934" s="617"/>
      <c r="X934" s="617"/>
    </row>
    <row r="935" ht="18.75" customHeight="1">
      <c r="A935" s="617"/>
      <c r="B935" s="617"/>
      <c r="C935" s="617"/>
      <c r="D935" s="617"/>
      <c r="E935" s="617"/>
      <c r="F935" s="617"/>
      <c r="G935" s="617"/>
      <c r="H935" s="617"/>
      <c r="I935" s="617"/>
      <c r="J935" s="617"/>
      <c r="K935" s="617"/>
      <c r="L935" s="617"/>
      <c r="M935" s="617"/>
      <c r="N935" s="617"/>
      <c r="O935" s="617"/>
      <c r="P935" s="617"/>
      <c r="Q935" s="617"/>
      <c r="R935" s="617"/>
      <c r="S935" s="617"/>
      <c r="T935" s="617"/>
      <c r="U935" s="617"/>
      <c r="V935" s="617"/>
      <c r="W935" s="617"/>
      <c r="X935" s="617"/>
    </row>
    <row r="936" ht="18.75" customHeight="1">
      <c r="A936" s="617"/>
      <c r="B936" s="617"/>
      <c r="C936" s="617"/>
      <c r="D936" s="617"/>
      <c r="E936" s="617"/>
      <c r="F936" s="617"/>
      <c r="G936" s="617"/>
      <c r="H936" s="617"/>
      <c r="I936" s="617"/>
      <c r="J936" s="617"/>
      <c r="K936" s="617"/>
      <c r="L936" s="617"/>
      <c r="M936" s="617"/>
      <c r="N936" s="617"/>
      <c r="O936" s="617"/>
      <c r="P936" s="617"/>
      <c r="Q936" s="617"/>
      <c r="R936" s="617"/>
      <c r="S936" s="617"/>
      <c r="T936" s="617"/>
      <c r="U936" s="617"/>
      <c r="V936" s="617"/>
      <c r="W936" s="617"/>
      <c r="X936" s="617"/>
    </row>
    <row r="937" ht="18.75" customHeight="1">
      <c r="A937" s="617"/>
      <c r="B937" s="617"/>
      <c r="C937" s="617"/>
      <c r="D937" s="617"/>
      <c r="E937" s="617"/>
      <c r="F937" s="617"/>
      <c r="G937" s="617"/>
      <c r="H937" s="617"/>
      <c r="I937" s="617"/>
      <c r="J937" s="617"/>
      <c r="K937" s="617"/>
      <c r="L937" s="617"/>
      <c r="M937" s="617"/>
      <c r="N937" s="617"/>
      <c r="O937" s="617"/>
      <c r="P937" s="617"/>
      <c r="Q937" s="617"/>
      <c r="R937" s="617"/>
      <c r="S937" s="617"/>
      <c r="T937" s="617"/>
      <c r="U937" s="617"/>
      <c r="V937" s="617"/>
      <c r="W937" s="617"/>
      <c r="X937" s="617"/>
    </row>
    <row r="938" ht="18.75" customHeight="1">
      <c r="A938" s="617"/>
      <c r="B938" s="617"/>
      <c r="C938" s="617"/>
      <c r="D938" s="617"/>
      <c r="E938" s="617"/>
      <c r="F938" s="617"/>
      <c r="G938" s="617"/>
      <c r="H938" s="617"/>
      <c r="I938" s="617"/>
      <c r="J938" s="617"/>
      <c r="K938" s="617"/>
      <c r="L938" s="617"/>
      <c r="M938" s="617"/>
      <c r="N938" s="617"/>
      <c r="O938" s="617"/>
      <c r="P938" s="617"/>
      <c r="Q938" s="617"/>
      <c r="R938" s="617"/>
      <c r="S938" s="617"/>
      <c r="T938" s="617"/>
      <c r="U938" s="617"/>
      <c r="V938" s="617"/>
      <c r="W938" s="617"/>
      <c r="X938" s="617"/>
    </row>
    <row r="939" ht="18.75" customHeight="1">
      <c r="A939" s="617"/>
      <c r="B939" s="617"/>
      <c r="C939" s="617"/>
      <c r="D939" s="617"/>
      <c r="E939" s="617"/>
      <c r="F939" s="617"/>
      <c r="G939" s="617"/>
      <c r="H939" s="617"/>
      <c r="I939" s="617"/>
      <c r="J939" s="617"/>
      <c r="K939" s="617"/>
      <c r="L939" s="617"/>
      <c r="M939" s="617"/>
      <c r="N939" s="617"/>
      <c r="O939" s="617"/>
      <c r="P939" s="617"/>
      <c r="Q939" s="617"/>
      <c r="R939" s="617"/>
      <c r="S939" s="617"/>
      <c r="T939" s="617"/>
      <c r="U939" s="617"/>
      <c r="V939" s="617"/>
      <c r="W939" s="617"/>
      <c r="X939" s="617"/>
    </row>
    <row r="940" ht="18.75" customHeight="1">
      <c r="A940" s="617"/>
      <c r="B940" s="617"/>
      <c r="C940" s="617"/>
      <c r="D940" s="617"/>
      <c r="E940" s="617"/>
      <c r="F940" s="617"/>
      <c r="G940" s="617"/>
      <c r="H940" s="617"/>
      <c r="I940" s="617"/>
      <c r="J940" s="617"/>
      <c r="K940" s="617"/>
      <c r="L940" s="617"/>
      <c r="M940" s="617"/>
      <c r="N940" s="617"/>
      <c r="O940" s="617"/>
      <c r="P940" s="617"/>
      <c r="Q940" s="617"/>
      <c r="R940" s="617"/>
      <c r="S940" s="617"/>
      <c r="T940" s="617"/>
      <c r="U940" s="617"/>
      <c r="V940" s="617"/>
      <c r="W940" s="617"/>
      <c r="X940" s="617"/>
    </row>
    <row r="941" ht="18.75" customHeight="1">
      <c r="A941" s="617"/>
      <c r="B941" s="617"/>
      <c r="C941" s="617"/>
      <c r="D941" s="617"/>
      <c r="E941" s="617"/>
      <c r="F941" s="617"/>
      <c r="G941" s="617"/>
      <c r="H941" s="617"/>
      <c r="I941" s="617"/>
      <c r="J941" s="617"/>
      <c r="K941" s="617"/>
      <c r="L941" s="617"/>
      <c r="M941" s="617"/>
      <c r="N941" s="617"/>
      <c r="O941" s="617"/>
      <c r="P941" s="617"/>
      <c r="Q941" s="617"/>
      <c r="R941" s="617"/>
      <c r="S941" s="617"/>
      <c r="T941" s="617"/>
      <c r="U941" s="617"/>
      <c r="V941" s="617"/>
      <c r="W941" s="617"/>
      <c r="X941" s="617"/>
    </row>
    <row r="942" ht="18.75" customHeight="1">
      <c r="A942" s="617"/>
      <c r="B942" s="617"/>
      <c r="C942" s="617"/>
      <c r="D942" s="617"/>
      <c r="E942" s="617"/>
      <c r="F942" s="617"/>
      <c r="G942" s="617"/>
      <c r="H942" s="617"/>
      <c r="I942" s="617"/>
      <c r="J942" s="617"/>
      <c r="K942" s="617"/>
      <c r="L942" s="617"/>
      <c r="M942" s="617"/>
      <c r="N942" s="617"/>
      <c r="O942" s="617"/>
      <c r="P942" s="617"/>
      <c r="Q942" s="617"/>
      <c r="R942" s="617"/>
      <c r="S942" s="617"/>
      <c r="T942" s="617"/>
      <c r="U942" s="617"/>
      <c r="V942" s="617"/>
      <c r="W942" s="617"/>
      <c r="X942" s="617"/>
    </row>
    <row r="943" ht="18.75" customHeight="1">
      <c r="A943" s="617"/>
      <c r="B943" s="617"/>
      <c r="C943" s="617"/>
      <c r="D943" s="617"/>
      <c r="E943" s="617"/>
      <c r="F943" s="617"/>
      <c r="G943" s="617"/>
      <c r="H943" s="617"/>
      <c r="I943" s="617"/>
      <c r="J943" s="617"/>
      <c r="K943" s="617"/>
      <c r="L943" s="617"/>
      <c r="M943" s="617"/>
      <c r="N943" s="617"/>
      <c r="O943" s="617"/>
      <c r="P943" s="617"/>
      <c r="Q943" s="617"/>
      <c r="R943" s="617"/>
      <c r="S943" s="617"/>
      <c r="T943" s="617"/>
      <c r="U943" s="617"/>
      <c r="V943" s="617"/>
      <c r="W943" s="617"/>
      <c r="X943" s="617"/>
    </row>
    <row r="944" ht="18.75" customHeight="1">
      <c r="A944" s="617"/>
      <c r="B944" s="617"/>
      <c r="C944" s="617"/>
      <c r="D944" s="617"/>
      <c r="E944" s="617"/>
      <c r="F944" s="617"/>
      <c r="G944" s="617"/>
      <c r="H944" s="617"/>
      <c r="I944" s="617"/>
      <c r="J944" s="617"/>
      <c r="K944" s="617"/>
      <c r="L944" s="617"/>
      <c r="M944" s="617"/>
      <c r="N944" s="617"/>
      <c r="O944" s="617"/>
      <c r="P944" s="617"/>
      <c r="Q944" s="617"/>
      <c r="R944" s="617"/>
      <c r="S944" s="617"/>
      <c r="T944" s="617"/>
      <c r="U944" s="617"/>
      <c r="V944" s="617"/>
      <c r="W944" s="617"/>
      <c r="X944" s="617"/>
    </row>
    <row r="945" ht="18.75" customHeight="1">
      <c r="A945" s="617"/>
      <c r="B945" s="617"/>
      <c r="C945" s="617"/>
      <c r="D945" s="617"/>
      <c r="E945" s="617"/>
      <c r="F945" s="617"/>
      <c r="G945" s="617"/>
      <c r="H945" s="617"/>
      <c r="I945" s="617"/>
      <c r="J945" s="617"/>
      <c r="K945" s="617"/>
      <c r="L945" s="617"/>
      <c r="M945" s="617"/>
      <c r="N945" s="617"/>
      <c r="O945" s="617"/>
      <c r="P945" s="617"/>
      <c r="Q945" s="617"/>
      <c r="R945" s="617"/>
      <c r="S945" s="617"/>
      <c r="T945" s="617"/>
      <c r="U945" s="617"/>
      <c r="V945" s="617"/>
      <c r="W945" s="617"/>
      <c r="X945" s="617"/>
    </row>
    <row r="946" ht="18.75" customHeight="1">
      <c r="A946" s="617"/>
      <c r="B946" s="617"/>
      <c r="C946" s="617"/>
      <c r="D946" s="617"/>
      <c r="E946" s="617"/>
      <c r="F946" s="617"/>
      <c r="G946" s="617"/>
      <c r="H946" s="617"/>
      <c r="I946" s="617"/>
      <c r="J946" s="617"/>
      <c r="K946" s="617"/>
      <c r="L946" s="617"/>
      <c r="M946" s="617"/>
      <c r="N946" s="617"/>
      <c r="O946" s="617"/>
      <c r="P946" s="617"/>
      <c r="Q946" s="617"/>
      <c r="R946" s="617"/>
      <c r="S946" s="617"/>
      <c r="T946" s="617"/>
      <c r="U946" s="617"/>
      <c r="V946" s="617"/>
      <c r="W946" s="617"/>
      <c r="X946" s="617"/>
    </row>
    <row r="947" ht="18.75" customHeight="1">
      <c r="A947" s="617"/>
      <c r="B947" s="617"/>
      <c r="C947" s="617"/>
      <c r="D947" s="617"/>
      <c r="E947" s="617"/>
      <c r="F947" s="617"/>
      <c r="G947" s="617"/>
      <c r="H947" s="617"/>
      <c r="I947" s="617"/>
      <c r="J947" s="617"/>
      <c r="K947" s="617"/>
      <c r="L947" s="617"/>
      <c r="M947" s="617"/>
      <c r="N947" s="617"/>
      <c r="O947" s="617"/>
      <c r="P947" s="617"/>
      <c r="Q947" s="617"/>
      <c r="R947" s="617"/>
      <c r="S947" s="617"/>
      <c r="T947" s="617"/>
      <c r="U947" s="617"/>
      <c r="V947" s="617"/>
      <c r="W947" s="617"/>
      <c r="X947" s="617"/>
    </row>
    <row r="948" ht="18.75" customHeight="1">
      <c r="A948" s="617"/>
      <c r="B948" s="617"/>
      <c r="C948" s="617"/>
      <c r="D948" s="617"/>
      <c r="E948" s="617"/>
      <c r="F948" s="617"/>
      <c r="G948" s="617"/>
      <c r="H948" s="617"/>
      <c r="I948" s="617"/>
      <c r="J948" s="617"/>
      <c r="K948" s="617"/>
      <c r="L948" s="617"/>
      <c r="M948" s="617"/>
      <c r="N948" s="617"/>
      <c r="O948" s="617"/>
      <c r="P948" s="617"/>
      <c r="Q948" s="617"/>
      <c r="R948" s="617"/>
      <c r="S948" s="617"/>
      <c r="T948" s="617"/>
      <c r="U948" s="617"/>
      <c r="V948" s="617"/>
      <c r="W948" s="617"/>
      <c r="X948" s="617"/>
    </row>
    <row r="949" ht="18.75" customHeight="1">
      <c r="A949" s="617"/>
      <c r="B949" s="617"/>
      <c r="C949" s="617"/>
      <c r="D949" s="617"/>
      <c r="E949" s="617"/>
      <c r="F949" s="617"/>
      <c r="G949" s="617"/>
      <c r="H949" s="617"/>
      <c r="I949" s="617"/>
      <c r="J949" s="617"/>
      <c r="K949" s="617"/>
      <c r="L949" s="617"/>
      <c r="M949" s="617"/>
      <c r="N949" s="617"/>
      <c r="O949" s="617"/>
      <c r="P949" s="617"/>
      <c r="Q949" s="617"/>
      <c r="R949" s="617"/>
      <c r="S949" s="617"/>
      <c r="T949" s="617"/>
      <c r="U949" s="617"/>
      <c r="V949" s="617"/>
      <c r="W949" s="617"/>
      <c r="X949" s="617"/>
    </row>
    <row r="950" ht="18.75" customHeight="1">
      <c r="A950" s="617"/>
      <c r="B950" s="617"/>
      <c r="C950" s="617"/>
      <c r="D950" s="617"/>
      <c r="E950" s="617"/>
      <c r="F950" s="617"/>
      <c r="G950" s="617"/>
      <c r="H950" s="617"/>
      <c r="I950" s="617"/>
      <c r="J950" s="617"/>
      <c r="K950" s="617"/>
      <c r="L950" s="617"/>
      <c r="M950" s="617"/>
      <c r="N950" s="617"/>
      <c r="O950" s="617"/>
      <c r="P950" s="617"/>
      <c r="Q950" s="617"/>
      <c r="R950" s="617"/>
      <c r="S950" s="617"/>
      <c r="T950" s="617"/>
      <c r="U950" s="617"/>
      <c r="V950" s="617"/>
      <c r="W950" s="617"/>
      <c r="X950" s="617"/>
    </row>
    <row r="951" ht="18.75" customHeight="1">
      <c r="A951" s="617"/>
      <c r="B951" s="617"/>
      <c r="C951" s="617"/>
      <c r="D951" s="617"/>
      <c r="E951" s="617"/>
      <c r="F951" s="617"/>
      <c r="G951" s="617"/>
      <c r="H951" s="617"/>
      <c r="I951" s="617"/>
      <c r="J951" s="617"/>
      <c r="K951" s="617"/>
      <c r="L951" s="617"/>
      <c r="M951" s="617"/>
      <c r="N951" s="617"/>
      <c r="O951" s="617"/>
      <c r="P951" s="617"/>
      <c r="Q951" s="617"/>
      <c r="R951" s="617"/>
      <c r="S951" s="617"/>
      <c r="T951" s="617"/>
      <c r="U951" s="617"/>
      <c r="V951" s="617"/>
      <c r="W951" s="617"/>
      <c r="X951" s="617"/>
    </row>
    <row r="952" ht="18.75" customHeight="1">
      <c r="A952" s="617"/>
      <c r="B952" s="617"/>
      <c r="C952" s="617"/>
      <c r="D952" s="617"/>
      <c r="E952" s="617"/>
      <c r="F952" s="617"/>
      <c r="G952" s="617"/>
      <c r="H952" s="617"/>
      <c r="I952" s="617"/>
      <c r="J952" s="617"/>
      <c r="K952" s="617"/>
      <c r="L952" s="617"/>
      <c r="M952" s="617"/>
      <c r="N952" s="617"/>
      <c r="O952" s="617"/>
      <c r="P952" s="617"/>
      <c r="Q952" s="617"/>
      <c r="R952" s="617"/>
      <c r="S952" s="617"/>
      <c r="T952" s="617"/>
      <c r="U952" s="617"/>
      <c r="V952" s="617"/>
      <c r="W952" s="617"/>
      <c r="X952" s="617"/>
    </row>
    <row r="953" ht="18.75" customHeight="1">
      <c r="A953" s="617"/>
      <c r="B953" s="617"/>
      <c r="C953" s="617"/>
      <c r="D953" s="617"/>
      <c r="E953" s="617"/>
      <c r="F953" s="617"/>
      <c r="G953" s="617"/>
      <c r="H953" s="617"/>
      <c r="I953" s="617"/>
      <c r="J953" s="617"/>
      <c r="K953" s="617"/>
      <c r="L953" s="617"/>
      <c r="M953" s="617"/>
      <c r="N953" s="617"/>
      <c r="O953" s="617"/>
      <c r="P953" s="617"/>
      <c r="Q953" s="617"/>
      <c r="R953" s="617"/>
      <c r="S953" s="617"/>
      <c r="T953" s="617"/>
      <c r="U953" s="617"/>
      <c r="V953" s="617"/>
      <c r="W953" s="617"/>
      <c r="X953" s="617"/>
    </row>
    <row r="954" ht="18.75" customHeight="1">
      <c r="A954" s="617"/>
      <c r="B954" s="617"/>
      <c r="C954" s="617"/>
      <c r="D954" s="617"/>
      <c r="E954" s="617"/>
      <c r="F954" s="617"/>
      <c r="G954" s="617"/>
      <c r="H954" s="617"/>
      <c r="I954" s="617"/>
      <c r="J954" s="617"/>
      <c r="K954" s="617"/>
      <c r="L954" s="617"/>
      <c r="M954" s="617"/>
      <c r="N954" s="617"/>
      <c r="O954" s="617"/>
      <c r="P954" s="617"/>
      <c r="Q954" s="617"/>
      <c r="R954" s="617"/>
      <c r="S954" s="617"/>
      <c r="T954" s="617"/>
      <c r="U954" s="617"/>
      <c r="V954" s="617"/>
      <c r="W954" s="617"/>
      <c r="X954" s="617"/>
    </row>
    <row r="955" ht="18.75" customHeight="1">
      <c r="A955" s="617"/>
      <c r="B955" s="617"/>
      <c r="C955" s="617"/>
      <c r="D955" s="617"/>
      <c r="E955" s="617"/>
      <c r="F955" s="617"/>
      <c r="G955" s="617"/>
      <c r="H955" s="617"/>
      <c r="I955" s="617"/>
      <c r="J955" s="617"/>
      <c r="K955" s="617"/>
      <c r="L955" s="617"/>
      <c r="M955" s="617"/>
      <c r="N955" s="617"/>
      <c r="O955" s="617"/>
      <c r="P955" s="617"/>
      <c r="Q955" s="617"/>
      <c r="R955" s="617"/>
      <c r="S955" s="617"/>
      <c r="T955" s="617"/>
      <c r="U955" s="617"/>
      <c r="V955" s="617"/>
      <c r="W955" s="617"/>
      <c r="X955" s="617"/>
    </row>
    <row r="956" ht="18.75" customHeight="1">
      <c r="A956" s="617"/>
      <c r="B956" s="617"/>
      <c r="C956" s="617"/>
      <c r="D956" s="617"/>
      <c r="E956" s="617"/>
      <c r="F956" s="617"/>
      <c r="G956" s="617"/>
      <c r="H956" s="617"/>
      <c r="I956" s="617"/>
      <c r="J956" s="617"/>
      <c r="K956" s="617"/>
      <c r="L956" s="617"/>
      <c r="M956" s="617"/>
      <c r="N956" s="617"/>
      <c r="O956" s="617"/>
      <c r="P956" s="617"/>
      <c r="Q956" s="617"/>
      <c r="R956" s="617"/>
      <c r="S956" s="617"/>
      <c r="T956" s="617"/>
      <c r="U956" s="617"/>
      <c r="V956" s="617"/>
      <c r="W956" s="617"/>
      <c r="X956" s="617"/>
    </row>
    <row r="957" ht="18.75" customHeight="1">
      <c r="A957" s="617"/>
      <c r="B957" s="617"/>
      <c r="C957" s="617"/>
      <c r="D957" s="617"/>
      <c r="E957" s="617"/>
      <c r="F957" s="617"/>
      <c r="G957" s="617"/>
      <c r="H957" s="617"/>
      <c r="I957" s="617"/>
      <c r="J957" s="617"/>
      <c r="K957" s="617"/>
      <c r="L957" s="617"/>
      <c r="M957" s="617"/>
      <c r="N957" s="617"/>
      <c r="O957" s="617"/>
      <c r="P957" s="617"/>
      <c r="Q957" s="617"/>
      <c r="R957" s="617"/>
      <c r="S957" s="617"/>
      <c r="T957" s="617"/>
      <c r="U957" s="617"/>
      <c r="V957" s="617"/>
      <c r="W957" s="617"/>
      <c r="X957" s="617"/>
    </row>
    <row r="958" ht="18.75" customHeight="1">
      <c r="A958" s="617"/>
      <c r="B958" s="617"/>
      <c r="C958" s="617"/>
      <c r="D958" s="617"/>
      <c r="E958" s="617"/>
      <c r="F958" s="617"/>
      <c r="G958" s="617"/>
      <c r="H958" s="617"/>
      <c r="I958" s="617"/>
      <c r="J958" s="617"/>
      <c r="K958" s="617"/>
      <c r="L958" s="617"/>
      <c r="M958" s="617"/>
      <c r="N958" s="617"/>
      <c r="O958" s="617"/>
      <c r="P958" s="617"/>
      <c r="Q958" s="617"/>
      <c r="R958" s="617"/>
      <c r="S958" s="617"/>
      <c r="T958" s="617"/>
      <c r="U958" s="617"/>
      <c r="V958" s="617"/>
      <c r="W958" s="617"/>
      <c r="X958" s="617"/>
    </row>
    <row r="959" ht="18.75" customHeight="1">
      <c r="A959" s="617"/>
      <c r="B959" s="617"/>
      <c r="C959" s="617"/>
      <c r="D959" s="617"/>
      <c r="E959" s="617"/>
      <c r="F959" s="617"/>
      <c r="G959" s="617"/>
      <c r="H959" s="617"/>
      <c r="I959" s="617"/>
      <c r="J959" s="617"/>
      <c r="K959" s="617"/>
      <c r="L959" s="617"/>
      <c r="M959" s="617"/>
      <c r="N959" s="617"/>
      <c r="O959" s="617"/>
      <c r="P959" s="617"/>
      <c r="Q959" s="617"/>
      <c r="R959" s="617"/>
      <c r="S959" s="617"/>
      <c r="T959" s="617"/>
      <c r="U959" s="617"/>
      <c r="V959" s="617"/>
      <c r="W959" s="617"/>
      <c r="X959" s="617"/>
    </row>
    <row r="960" ht="18.75" customHeight="1">
      <c r="A960" s="617"/>
      <c r="B960" s="617"/>
      <c r="C960" s="617"/>
      <c r="D960" s="617"/>
      <c r="E960" s="617"/>
      <c r="F960" s="617"/>
      <c r="G960" s="617"/>
      <c r="H960" s="617"/>
      <c r="I960" s="617"/>
      <c r="J960" s="617"/>
      <c r="K960" s="617"/>
      <c r="L960" s="617"/>
      <c r="M960" s="617"/>
      <c r="N960" s="617"/>
      <c r="O960" s="617"/>
      <c r="P960" s="617"/>
      <c r="Q960" s="617"/>
      <c r="R960" s="617"/>
      <c r="S960" s="617"/>
      <c r="T960" s="617"/>
      <c r="U960" s="617"/>
      <c r="V960" s="617"/>
      <c r="W960" s="617"/>
      <c r="X960" s="617"/>
    </row>
    <row r="961" ht="18.75" customHeight="1">
      <c r="A961" s="617"/>
      <c r="B961" s="617"/>
      <c r="C961" s="617"/>
      <c r="D961" s="617"/>
      <c r="E961" s="617"/>
      <c r="F961" s="617"/>
      <c r="G961" s="617"/>
      <c r="H961" s="617"/>
      <c r="I961" s="617"/>
      <c r="J961" s="617"/>
      <c r="K961" s="617"/>
      <c r="L961" s="617"/>
      <c r="M961" s="617"/>
      <c r="N961" s="617"/>
      <c r="O961" s="617"/>
      <c r="P961" s="617"/>
      <c r="Q961" s="617"/>
      <c r="R961" s="617"/>
      <c r="S961" s="617"/>
      <c r="T961" s="617"/>
      <c r="U961" s="617"/>
      <c r="V961" s="617"/>
      <c r="W961" s="617"/>
      <c r="X961" s="617"/>
    </row>
    <row r="962" ht="18.75" customHeight="1">
      <c r="A962" s="617"/>
      <c r="B962" s="617"/>
      <c r="C962" s="617"/>
      <c r="D962" s="617"/>
      <c r="E962" s="617"/>
      <c r="F962" s="617"/>
      <c r="G962" s="617"/>
      <c r="H962" s="617"/>
      <c r="I962" s="617"/>
      <c r="J962" s="617"/>
      <c r="K962" s="617"/>
      <c r="L962" s="617"/>
      <c r="M962" s="617"/>
      <c r="N962" s="617"/>
      <c r="O962" s="617"/>
      <c r="P962" s="617"/>
      <c r="Q962" s="617"/>
      <c r="R962" s="617"/>
      <c r="S962" s="617"/>
      <c r="T962" s="617"/>
      <c r="U962" s="617"/>
      <c r="V962" s="617"/>
      <c r="W962" s="617"/>
      <c r="X962" s="617"/>
    </row>
    <row r="963" ht="18.75" customHeight="1">
      <c r="A963" s="617"/>
      <c r="B963" s="617"/>
      <c r="C963" s="617"/>
      <c r="D963" s="617"/>
      <c r="E963" s="617"/>
      <c r="F963" s="617"/>
      <c r="G963" s="617"/>
      <c r="H963" s="617"/>
      <c r="I963" s="617"/>
      <c r="J963" s="617"/>
      <c r="K963" s="617"/>
      <c r="L963" s="617"/>
      <c r="M963" s="617"/>
      <c r="N963" s="617"/>
      <c r="O963" s="617"/>
      <c r="P963" s="617"/>
      <c r="Q963" s="617"/>
      <c r="R963" s="617"/>
      <c r="S963" s="617"/>
      <c r="T963" s="617"/>
      <c r="U963" s="617"/>
      <c r="V963" s="617"/>
      <c r="W963" s="617"/>
      <c r="X963" s="617"/>
    </row>
    <row r="964" ht="18.75" customHeight="1">
      <c r="A964" s="617"/>
      <c r="B964" s="617"/>
      <c r="C964" s="617"/>
      <c r="D964" s="617"/>
      <c r="E964" s="617"/>
      <c r="F964" s="617"/>
      <c r="G964" s="617"/>
      <c r="H964" s="617"/>
      <c r="I964" s="617"/>
      <c r="J964" s="617"/>
      <c r="K964" s="617"/>
      <c r="L964" s="617"/>
      <c r="M964" s="617"/>
      <c r="N964" s="617"/>
      <c r="O964" s="617"/>
      <c r="P964" s="617"/>
      <c r="Q964" s="617"/>
      <c r="R964" s="617"/>
      <c r="S964" s="617"/>
      <c r="T964" s="617"/>
      <c r="U964" s="617"/>
      <c r="V964" s="617"/>
      <c r="W964" s="617"/>
      <c r="X964" s="617"/>
    </row>
    <row r="965" ht="18.75" customHeight="1">
      <c r="A965" s="617"/>
      <c r="B965" s="617"/>
      <c r="C965" s="617"/>
      <c r="D965" s="617"/>
      <c r="E965" s="617"/>
      <c r="F965" s="617"/>
      <c r="G965" s="617"/>
      <c r="H965" s="617"/>
      <c r="I965" s="617"/>
      <c r="J965" s="617"/>
      <c r="K965" s="617"/>
      <c r="L965" s="617"/>
      <c r="M965" s="617"/>
      <c r="N965" s="617"/>
      <c r="O965" s="617"/>
      <c r="P965" s="617"/>
      <c r="Q965" s="617"/>
      <c r="R965" s="617"/>
      <c r="S965" s="617"/>
      <c r="T965" s="617"/>
      <c r="U965" s="617"/>
      <c r="V965" s="617"/>
      <c r="W965" s="617"/>
      <c r="X965" s="617"/>
    </row>
    <row r="966" ht="18.75" customHeight="1">
      <c r="A966" s="617"/>
      <c r="B966" s="617"/>
      <c r="C966" s="617"/>
      <c r="D966" s="617"/>
      <c r="E966" s="617"/>
      <c r="F966" s="617"/>
      <c r="G966" s="617"/>
      <c r="H966" s="617"/>
      <c r="I966" s="617"/>
      <c r="J966" s="617"/>
      <c r="K966" s="617"/>
      <c r="L966" s="617"/>
      <c r="M966" s="617"/>
      <c r="N966" s="617"/>
      <c r="O966" s="617"/>
      <c r="P966" s="617"/>
      <c r="Q966" s="617"/>
      <c r="R966" s="617"/>
      <c r="S966" s="617"/>
      <c r="T966" s="617"/>
      <c r="U966" s="617"/>
      <c r="V966" s="617"/>
      <c r="W966" s="617"/>
      <c r="X966" s="617"/>
    </row>
    <row r="967" ht="18.75" customHeight="1">
      <c r="A967" s="617"/>
      <c r="B967" s="617"/>
      <c r="C967" s="617"/>
      <c r="D967" s="617"/>
      <c r="E967" s="617"/>
      <c r="F967" s="617"/>
      <c r="G967" s="617"/>
      <c r="H967" s="617"/>
      <c r="I967" s="617"/>
      <c r="J967" s="617"/>
      <c r="K967" s="617"/>
      <c r="L967" s="617"/>
      <c r="M967" s="617"/>
      <c r="N967" s="617"/>
      <c r="O967" s="617"/>
      <c r="P967" s="617"/>
      <c r="Q967" s="617"/>
      <c r="R967" s="617"/>
      <c r="S967" s="617"/>
      <c r="T967" s="617"/>
      <c r="U967" s="617"/>
      <c r="V967" s="617"/>
      <c r="W967" s="617"/>
      <c r="X967" s="617"/>
    </row>
    <row r="968" ht="18.75" customHeight="1">
      <c r="A968" s="617"/>
      <c r="B968" s="617"/>
      <c r="C968" s="617"/>
      <c r="D968" s="617"/>
      <c r="E968" s="617"/>
      <c r="F968" s="617"/>
      <c r="G968" s="617"/>
      <c r="H968" s="617"/>
      <c r="I968" s="617"/>
      <c r="J968" s="617"/>
      <c r="K968" s="617"/>
      <c r="L968" s="617"/>
      <c r="M968" s="617"/>
      <c r="N968" s="617"/>
      <c r="O968" s="617"/>
      <c r="P968" s="617"/>
      <c r="Q968" s="617"/>
      <c r="R968" s="617"/>
      <c r="S968" s="617"/>
      <c r="T968" s="617"/>
      <c r="U968" s="617"/>
      <c r="V968" s="617"/>
      <c r="W968" s="617"/>
      <c r="X968" s="617"/>
    </row>
    <row r="969" ht="18.75" customHeight="1">
      <c r="A969" s="617"/>
      <c r="B969" s="617"/>
      <c r="C969" s="617"/>
      <c r="D969" s="617"/>
      <c r="E969" s="617"/>
      <c r="F969" s="617"/>
      <c r="G969" s="617"/>
      <c r="H969" s="617"/>
      <c r="I969" s="617"/>
      <c r="J969" s="617"/>
      <c r="K969" s="617"/>
      <c r="L969" s="617"/>
      <c r="M969" s="617"/>
      <c r="N969" s="617"/>
      <c r="O969" s="617"/>
      <c r="P969" s="617"/>
      <c r="Q969" s="617"/>
      <c r="R969" s="617"/>
      <c r="S969" s="617"/>
      <c r="T969" s="617"/>
      <c r="U969" s="617"/>
      <c r="V969" s="617"/>
      <c r="W969" s="617"/>
      <c r="X969" s="617"/>
    </row>
    <row r="970" ht="18.75" customHeight="1">
      <c r="A970" s="617"/>
      <c r="B970" s="617"/>
      <c r="C970" s="617"/>
      <c r="D970" s="617"/>
      <c r="E970" s="617"/>
      <c r="F970" s="617"/>
      <c r="G970" s="617"/>
      <c r="H970" s="617"/>
      <c r="I970" s="617"/>
      <c r="J970" s="617"/>
      <c r="K970" s="617"/>
      <c r="L970" s="617"/>
      <c r="M970" s="617"/>
      <c r="N970" s="617"/>
      <c r="O970" s="617"/>
      <c r="P970" s="617"/>
      <c r="Q970" s="617"/>
      <c r="R970" s="617"/>
      <c r="S970" s="617"/>
      <c r="T970" s="617"/>
      <c r="U970" s="617"/>
      <c r="V970" s="617"/>
      <c r="W970" s="617"/>
      <c r="X970" s="617"/>
    </row>
    <row r="971" ht="18.75" customHeight="1">
      <c r="A971" s="617"/>
      <c r="B971" s="617"/>
      <c r="C971" s="617"/>
      <c r="D971" s="617"/>
      <c r="E971" s="617"/>
      <c r="F971" s="617"/>
      <c r="G971" s="617"/>
      <c r="H971" s="617"/>
      <c r="I971" s="617"/>
      <c r="J971" s="617"/>
      <c r="K971" s="617"/>
      <c r="L971" s="617"/>
      <c r="M971" s="617"/>
      <c r="N971" s="617"/>
      <c r="O971" s="617"/>
      <c r="P971" s="617"/>
      <c r="Q971" s="617"/>
      <c r="R971" s="617"/>
      <c r="S971" s="617"/>
      <c r="T971" s="617"/>
      <c r="U971" s="617"/>
      <c r="V971" s="617"/>
      <c r="W971" s="617"/>
      <c r="X971" s="617"/>
    </row>
    <row r="972" ht="18.75" customHeight="1">
      <c r="A972" s="617"/>
      <c r="B972" s="617"/>
      <c r="C972" s="617"/>
      <c r="D972" s="617"/>
      <c r="E972" s="617"/>
      <c r="F972" s="617"/>
      <c r="G972" s="617"/>
      <c r="H972" s="617"/>
      <c r="I972" s="617"/>
      <c r="J972" s="617"/>
      <c r="K972" s="617"/>
      <c r="L972" s="617"/>
      <c r="M972" s="617"/>
      <c r="N972" s="617"/>
      <c r="O972" s="617"/>
      <c r="P972" s="617"/>
      <c r="Q972" s="617"/>
      <c r="R972" s="617"/>
      <c r="S972" s="617"/>
      <c r="T972" s="617"/>
      <c r="U972" s="617"/>
      <c r="V972" s="617"/>
      <c r="W972" s="617"/>
      <c r="X972" s="617"/>
    </row>
    <row r="973" ht="18.75" customHeight="1">
      <c r="A973" s="617"/>
      <c r="B973" s="617"/>
      <c r="C973" s="617"/>
      <c r="D973" s="617"/>
      <c r="E973" s="617"/>
      <c r="F973" s="617"/>
      <c r="G973" s="617"/>
      <c r="H973" s="617"/>
      <c r="I973" s="617"/>
      <c r="J973" s="617"/>
      <c r="K973" s="617"/>
      <c r="L973" s="617"/>
      <c r="M973" s="617"/>
      <c r="N973" s="617"/>
      <c r="O973" s="617"/>
      <c r="P973" s="617"/>
      <c r="Q973" s="617"/>
      <c r="R973" s="617"/>
      <c r="S973" s="617"/>
      <c r="T973" s="617"/>
      <c r="U973" s="617"/>
      <c r="V973" s="617"/>
      <c r="W973" s="617"/>
      <c r="X973" s="617"/>
    </row>
    <row r="974" ht="18.75" customHeight="1">
      <c r="A974" s="617"/>
      <c r="B974" s="617"/>
      <c r="C974" s="617"/>
      <c r="D974" s="617"/>
      <c r="E974" s="617"/>
      <c r="F974" s="617"/>
      <c r="G974" s="617"/>
      <c r="H974" s="617"/>
      <c r="I974" s="617"/>
      <c r="J974" s="617"/>
      <c r="K974" s="617"/>
      <c r="L974" s="617"/>
      <c r="M974" s="617"/>
      <c r="N974" s="617"/>
      <c r="O974" s="617"/>
      <c r="P974" s="617"/>
      <c r="Q974" s="617"/>
      <c r="R974" s="617"/>
      <c r="S974" s="617"/>
      <c r="T974" s="617"/>
      <c r="U974" s="617"/>
      <c r="V974" s="617"/>
      <c r="W974" s="617"/>
      <c r="X974" s="617"/>
    </row>
    <row r="975" ht="18.75" customHeight="1">
      <c r="A975" s="617"/>
      <c r="B975" s="617"/>
      <c r="C975" s="617"/>
      <c r="D975" s="617"/>
      <c r="E975" s="617"/>
      <c r="F975" s="617"/>
      <c r="G975" s="617"/>
      <c r="H975" s="617"/>
      <c r="I975" s="617"/>
      <c r="J975" s="617"/>
      <c r="K975" s="617"/>
      <c r="L975" s="617"/>
      <c r="M975" s="617"/>
      <c r="N975" s="617"/>
      <c r="O975" s="617"/>
      <c r="P975" s="617"/>
      <c r="Q975" s="617"/>
      <c r="R975" s="617"/>
      <c r="S975" s="617"/>
      <c r="T975" s="617"/>
      <c r="U975" s="617"/>
      <c r="V975" s="617"/>
      <c r="W975" s="617"/>
      <c r="X975" s="617"/>
    </row>
    <row r="976" ht="18.75" customHeight="1">
      <c r="A976" s="617"/>
      <c r="B976" s="617"/>
      <c r="C976" s="617"/>
      <c r="D976" s="617"/>
      <c r="E976" s="617"/>
      <c r="F976" s="617"/>
      <c r="G976" s="617"/>
      <c r="H976" s="617"/>
      <c r="I976" s="617"/>
      <c r="J976" s="617"/>
      <c r="K976" s="617"/>
      <c r="L976" s="617"/>
      <c r="M976" s="617"/>
      <c r="N976" s="617"/>
      <c r="O976" s="617"/>
      <c r="P976" s="617"/>
      <c r="Q976" s="617"/>
      <c r="R976" s="617"/>
      <c r="S976" s="617"/>
      <c r="T976" s="617"/>
      <c r="U976" s="617"/>
      <c r="V976" s="617"/>
      <c r="W976" s="617"/>
      <c r="X976" s="617"/>
    </row>
    <row r="977" ht="18.75" customHeight="1">
      <c r="A977" s="617"/>
      <c r="B977" s="617"/>
      <c r="C977" s="617"/>
      <c r="D977" s="617"/>
      <c r="E977" s="617"/>
      <c r="F977" s="617"/>
      <c r="G977" s="617"/>
      <c r="H977" s="617"/>
      <c r="I977" s="617"/>
      <c r="J977" s="617"/>
      <c r="K977" s="617"/>
      <c r="L977" s="617"/>
      <c r="M977" s="617"/>
      <c r="N977" s="617"/>
      <c r="O977" s="617"/>
      <c r="P977" s="617"/>
      <c r="Q977" s="617"/>
      <c r="R977" s="617"/>
      <c r="S977" s="617"/>
      <c r="T977" s="617"/>
      <c r="U977" s="617"/>
      <c r="V977" s="617"/>
      <c r="W977" s="617"/>
      <c r="X977" s="617"/>
    </row>
    <row r="978" ht="18.75" customHeight="1">
      <c r="A978" s="617"/>
      <c r="B978" s="617"/>
      <c r="C978" s="617"/>
      <c r="D978" s="617"/>
      <c r="E978" s="617"/>
      <c r="F978" s="617"/>
      <c r="G978" s="617"/>
      <c r="H978" s="617"/>
      <c r="I978" s="617"/>
      <c r="J978" s="617"/>
      <c r="K978" s="617"/>
      <c r="L978" s="617"/>
      <c r="M978" s="617"/>
      <c r="N978" s="617"/>
      <c r="O978" s="617"/>
      <c r="P978" s="617"/>
      <c r="Q978" s="617"/>
      <c r="R978" s="617"/>
      <c r="S978" s="617"/>
      <c r="T978" s="617"/>
      <c r="U978" s="617"/>
      <c r="V978" s="617"/>
      <c r="W978" s="617"/>
      <c r="X978" s="617"/>
    </row>
    <row r="979" ht="18.75" customHeight="1">
      <c r="A979" s="617"/>
      <c r="B979" s="617"/>
      <c r="C979" s="617"/>
      <c r="D979" s="617"/>
      <c r="E979" s="617"/>
      <c r="F979" s="617"/>
      <c r="G979" s="617"/>
      <c r="H979" s="617"/>
      <c r="I979" s="617"/>
      <c r="J979" s="617"/>
      <c r="K979" s="617"/>
      <c r="L979" s="617"/>
      <c r="M979" s="617"/>
      <c r="N979" s="617"/>
      <c r="O979" s="617"/>
      <c r="P979" s="617"/>
      <c r="Q979" s="617"/>
      <c r="R979" s="617"/>
      <c r="S979" s="617"/>
      <c r="T979" s="617"/>
      <c r="U979" s="617"/>
      <c r="V979" s="617"/>
      <c r="W979" s="617"/>
      <c r="X979" s="617"/>
    </row>
    <row r="980" ht="18.75" customHeight="1">
      <c r="A980" s="617"/>
      <c r="B980" s="617"/>
      <c r="C980" s="617"/>
      <c r="D980" s="617"/>
      <c r="E980" s="617"/>
      <c r="F980" s="617"/>
      <c r="G980" s="617"/>
      <c r="H980" s="617"/>
      <c r="I980" s="617"/>
      <c r="J980" s="617"/>
      <c r="K980" s="617"/>
      <c r="L980" s="617"/>
      <c r="M980" s="617"/>
      <c r="N980" s="617"/>
      <c r="O980" s="617"/>
      <c r="P980" s="617"/>
      <c r="Q980" s="617"/>
      <c r="R980" s="617"/>
      <c r="S980" s="617"/>
      <c r="T980" s="617"/>
      <c r="U980" s="617"/>
      <c r="V980" s="617"/>
      <c r="W980" s="617"/>
      <c r="X980" s="617"/>
    </row>
    <row r="981" ht="18.75" customHeight="1">
      <c r="A981" s="617"/>
      <c r="B981" s="617"/>
      <c r="C981" s="617"/>
      <c r="D981" s="617"/>
      <c r="E981" s="617"/>
      <c r="F981" s="617"/>
      <c r="G981" s="617"/>
      <c r="H981" s="617"/>
      <c r="I981" s="617"/>
      <c r="J981" s="617"/>
      <c r="K981" s="617"/>
      <c r="L981" s="617"/>
      <c r="M981" s="617"/>
      <c r="N981" s="617"/>
      <c r="O981" s="617"/>
      <c r="P981" s="617"/>
      <c r="Q981" s="617"/>
      <c r="R981" s="617"/>
      <c r="S981" s="617"/>
      <c r="T981" s="617"/>
      <c r="U981" s="617"/>
      <c r="V981" s="617"/>
      <c r="W981" s="617"/>
      <c r="X981" s="617"/>
    </row>
    <row r="982" ht="18.75" customHeight="1">
      <c r="A982" s="617"/>
      <c r="B982" s="617"/>
      <c r="C982" s="617"/>
      <c r="D982" s="617"/>
      <c r="E982" s="617"/>
      <c r="F982" s="617"/>
      <c r="G982" s="617"/>
      <c r="H982" s="617"/>
      <c r="I982" s="617"/>
      <c r="J982" s="617"/>
      <c r="K982" s="617"/>
      <c r="L982" s="617"/>
      <c r="M982" s="617"/>
      <c r="N982" s="617"/>
      <c r="O982" s="617"/>
      <c r="P982" s="617"/>
      <c r="Q982" s="617"/>
      <c r="R982" s="617"/>
      <c r="S982" s="617"/>
      <c r="T982" s="617"/>
      <c r="U982" s="617"/>
      <c r="V982" s="617"/>
      <c r="W982" s="617"/>
      <c r="X982" s="617"/>
    </row>
    <row r="983" ht="18.75" customHeight="1">
      <c r="A983" s="617"/>
      <c r="B983" s="617"/>
      <c r="C983" s="617"/>
      <c r="D983" s="617"/>
      <c r="E983" s="617"/>
      <c r="F983" s="617"/>
      <c r="G983" s="617"/>
      <c r="H983" s="617"/>
      <c r="I983" s="617"/>
      <c r="J983" s="617"/>
      <c r="K983" s="617"/>
      <c r="L983" s="617"/>
      <c r="M983" s="617"/>
      <c r="N983" s="617"/>
      <c r="O983" s="617"/>
      <c r="P983" s="617"/>
      <c r="Q983" s="617"/>
      <c r="R983" s="617"/>
      <c r="S983" s="617"/>
      <c r="T983" s="617"/>
      <c r="U983" s="617"/>
      <c r="V983" s="617"/>
      <c r="W983" s="617"/>
      <c r="X983" s="617"/>
    </row>
    <row r="984" ht="18.75" customHeight="1">
      <c r="A984" s="617"/>
      <c r="B984" s="617"/>
      <c r="C984" s="617"/>
      <c r="D984" s="617"/>
      <c r="E984" s="617"/>
      <c r="F984" s="617"/>
      <c r="G984" s="617"/>
      <c r="H984" s="617"/>
      <c r="I984" s="617"/>
      <c r="J984" s="617"/>
      <c r="K984" s="617"/>
      <c r="L984" s="617"/>
      <c r="M984" s="617"/>
      <c r="N984" s="617"/>
      <c r="O984" s="617"/>
      <c r="P984" s="617"/>
      <c r="Q984" s="617"/>
      <c r="R984" s="617"/>
      <c r="S984" s="617"/>
      <c r="T984" s="617"/>
      <c r="U984" s="617"/>
      <c r="V984" s="617"/>
      <c r="W984" s="617"/>
      <c r="X984" s="617"/>
    </row>
    <row r="985" ht="18.75" customHeight="1">
      <c r="A985" s="617"/>
      <c r="B985" s="617"/>
      <c r="C985" s="617"/>
      <c r="D985" s="617"/>
      <c r="E985" s="617"/>
      <c r="F985" s="617"/>
      <c r="G985" s="617"/>
      <c r="H985" s="617"/>
      <c r="I985" s="617"/>
      <c r="J985" s="617"/>
      <c r="K985" s="617"/>
      <c r="L985" s="617"/>
      <c r="M985" s="617"/>
      <c r="N985" s="617"/>
      <c r="O985" s="617"/>
      <c r="P985" s="617"/>
      <c r="Q985" s="617"/>
      <c r="R985" s="617"/>
      <c r="S985" s="617"/>
      <c r="T985" s="617"/>
      <c r="U985" s="617"/>
      <c r="V985" s="617"/>
      <c r="W985" s="617"/>
      <c r="X985" s="617"/>
    </row>
    <row r="986" ht="18.75" customHeight="1">
      <c r="A986" s="617"/>
      <c r="B986" s="617"/>
      <c r="C986" s="617"/>
      <c r="D986" s="617"/>
      <c r="E986" s="617"/>
      <c r="F986" s="617"/>
      <c r="G986" s="617"/>
      <c r="H986" s="617"/>
      <c r="I986" s="617"/>
      <c r="J986" s="617"/>
      <c r="K986" s="617"/>
      <c r="L986" s="617"/>
      <c r="M986" s="617"/>
      <c r="N986" s="617"/>
      <c r="O986" s="617"/>
      <c r="P986" s="617"/>
      <c r="Q986" s="617"/>
      <c r="R986" s="617"/>
      <c r="S986" s="617"/>
      <c r="T986" s="617"/>
      <c r="U986" s="617"/>
      <c r="V986" s="617"/>
      <c r="W986" s="617"/>
      <c r="X986" s="617"/>
    </row>
    <row r="987" ht="18.75" customHeight="1">
      <c r="A987" s="617"/>
      <c r="B987" s="617"/>
      <c r="C987" s="617"/>
      <c r="D987" s="617"/>
      <c r="E987" s="617"/>
      <c r="F987" s="617"/>
      <c r="G987" s="617"/>
      <c r="H987" s="617"/>
      <c r="I987" s="617"/>
      <c r="J987" s="617"/>
      <c r="K987" s="617"/>
      <c r="L987" s="617"/>
      <c r="M987" s="617"/>
      <c r="N987" s="617"/>
      <c r="O987" s="617"/>
      <c r="P987" s="617"/>
      <c r="Q987" s="617"/>
      <c r="R987" s="617"/>
      <c r="S987" s="617"/>
      <c r="T987" s="617"/>
      <c r="U987" s="617"/>
      <c r="V987" s="617"/>
      <c r="W987" s="617"/>
      <c r="X987" s="617"/>
    </row>
  </sheetData>
  <mergeCells count="2">
    <mergeCell ref="A1:G1"/>
    <mergeCell ref="A9:G9"/>
  </mergeCells>
  <printOptions gridLines="1" horizontalCentered="1"/>
  <pageMargins bottom="0.23385826771653548" footer="0.0" header="0.0" left="0.21586917019987892" right="0.3526434195725535" top="0.19788007268322233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8.57"/>
  </cols>
  <sheetData>
    <row r="1" ht="18.0" customHeight="1">
      <c r="A1" s="622"/>
      <c r="B1" s="623"/>
      <c r="C1" s="624" t="s">
        <v>804</v>
      </c>
      <c r="D1" s="196"/>
      <c r="E1" s="196"/>
      <c r="F1" s="196"/>
      <c r="G1" s="196"/>
      <c r="H1" s="196"/>
      <c r="I1" s="196"/>
      <c r="J1" s="197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</row>
    <row r="2" ht="18.0" customHeight="1">
      <c r="A2" s="626" t="s">
        <v>0</v>
      </c>
      <c r="B2" s="627" t="s">
        <v>805</v>
      </c>
      <c r="C2" s="628">
        <v>6.0</v>
      </c>
      <c r="E2" s="628">
        <v>13.0</v>
      </c>
      <c r="G2" s="628">
        <v>21.0</v>
      </c>
      <c r="I2" s="628">
        <v>28.0</v>
      </c>
      <c r="J2" s="502"/>
      <c r="K2" s="625"/>
      <c r="L2" s="625"/>
      <c r="M2" s="625"/>
      <c r="N2" s="625"/>
      <c r="O2" s="625"/>
      <c r="P2" s="625"/>
      <c r="Q2" s="625"/>
      <c r="R2" s="625"/>
      <c r="S2" s="625"/>
      <c r="T2" s="625"/>
      <c r="U2" s="625"/>
      <c r="V2" s="625"/>
      <c r="W2" s="625"/>
      <c r="X2" s="625"/>
      <c r="Y2" s="625"/>
      <c r="Z2" s="625"/>
      <c r="AA2" s="625"/>
      <c r="AB2" s="625"/>
      <c r="AC2" s="625"/>
    </row>
    <row r="3" ht="18.0" customHeight="1">
      <c r="A3" s="626" t="s">
        <v>187</v>
      </c>
      <c r="C3" s="629" t="s">
        <v>62</v>
      </c>
      <c r="D3" s="630" t="s">
        <v>806</v>
      </c>
      <c r="E3" s="629" t="s">
        <v>62</v>
      </c>
      <c r="F3" s="630" t="s">
        <v>806</v>
      </c>
      <c r="G3" s="629" t="s">
        <v>62</v>
      </c>
      <c r="H3" s="630" t="s">
        <v>806</v>
      </c>
      <c r="I3" s="629" t="s">
        <v>62</v>
      </c>
      <c r="J3" s="631" t="s">
        <v>806</v>
      </c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 ht="18.0" customHeight="1">
      <c r="A4" s="632" t="s">
        <v>109</v>
      </c>
      <c r="B4" s="633">
        <f t="shared" ref="B4:B11" si="1">SUM(C4:J4)</f>
        <v>42000</v>
      </c>
      <c r="C4" s="634">
        <v>0.0</v>
      </c>
      <c r="D4" s="635">
        <v>7000.0</v>
      </c>
      <c r="E4" s="636">
        <v>7000.0</v>
      </c>
      <c r="F4" s="637">
        <v>7000.0</v>
      </c>
      <c r="G4" s="638"/>
      <c r="H4" s="637">
        <v>7000.0</v>
      </c>
      <c r="I4" s="636">
        <v>7000.0</v>
      </c>
      <c r="J4" s="637">
        <v>7000.0</v>
      </c>
      <c r="K4" s="639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 ht="18.0" customHeight="1">
      <c r="A5" s="640" t="s">
        <v>2</v>
      </c>
      <c r="B5" s="641">
        <f t="shared" si="1"/>
        <v>36000</v>
      </c>
      <c r="C5" s="642">
        <v>0.0</v>
      </c>
      <c r="D5" s="642">
        <v>6000.0</v>
      </c>
      <c r="E5" s="643">
        <v>0.0</v>
      </c>
      <c r="F5" s="644">
        <v>6000.0</v>
      </c>
      <c r="G5" s="645">
        <v>6000.0</v>
      </c>
      <c r="H5" s="646">
        <v>6000.0</v>
      </c>
      <c r="I5" s="645">
        <v>6000.0</v>
      </c>
      <c r="J5" s="646">
        <v>6000.0</v>
      </c>
      <c r="K5" s="639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 ht="18.0" customHeight="1">
      <c r="A6" s="640" t="s">
        <v>3</v>
      </c>
      <c r="B6" s="641">
        <f t="shared" si="1"/>
        <v>30000</v>
      </c>
      <c r="C6" s="642">
        <v>0.0</v>
      </c>
      <c r="D6" s="642">
        <v>5000.0</v>
      </c>
      <c r="E6" s="643">
        <v>0.0</v>
      </c>
      <c r="F6" s="644">
        <v>5000.0</v>
      </c>
      <c r="G6" s="645">
        <v>5000.0</v>
      </c>
      <c r="H6" s="646">
        <v>5000.0</v>
      </c>
      <c r="I6" s="645">
        <v>5000.0</v>
      </c>
      <c r="J6" s="646">
        <v>5000.0</v>
      </c>
      <c r="K6" s="639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</row>
    <row r="7" ht="18.0" customHeight="1">
      <c r="A7" s="640" t="s">
        <v>4</v>
      </c>
      <c r="B7" s="641">
        <f t="shared" si="1"/>
        <v>24600</v>
      </c>
      <c r="C7" s="642">
        <v>0.0</v>
      </c>
      <c r="D7" s="642">
        <v>4100.0</v>
      </c>
      <c r="E7" s="643">
        <v>0.0</v>
      </c>
      <c r="F7" s="644">
        <v>4100.0</v>
      </c>
      <c r="G7" s="645">
        <v>4100.0</v>
      </c>
      <c r="H7" s="646">
        <v>4100.0</v>
      </c>
      <c r="I7" s="645">
        <v>4100.0</v>
      </c>
      <c r="J7" s="646">
        <v>4100.0</v>
      </c>
      <c r="K7" s="639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 ht="18.0" customHeight="1">
      <c r="A8" s="640" t="s">
        <v>9</v>
      </c>
      <c r="B8" s="641">
        <f t="shared" si="1"/>
        <v>33000</v>
      </c>
      <c r="C8" s="642">
        <v>0.0</v>
      </c>
      <c r="D8" s="647">
        <v>7000.0</v>
      </c>
      <c r="E8" s="645">
        <v>5000.0</v>
      </c>
      <c r="F8" s="646">
        <v>14000.0</v>
      </c>
      <c r="G8" s="648"/>
      <c r="H8" s="644">
        <v>0.0</v>
      </c>
      <c r="I8" s="648"/>
      <c r="J8" s="646">
        <v>7000.0</v>
      </c>
      <c r="K8" s="639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 ht="18.0" customHeight="1">
      <c r="A9" s="640" t="s">
        <v>6</v>
      </c>
      <c r="B9" s="641">
        <f t="shared" si="1"/>
        <v>24000</v>
      </c>
      <c r="C9" s="642">
        <v>0.0</v>
      </c>
      <c r="D9" s="642">
        <v>4800.0</v>
      </c>
      <c r="E9" s="643">
        <v>0.0</v>
      </c>
      <c r="F9" s="644">
        <v>4800.0</v>
      </c>
      <c r="G9" s="644">
        <v>0.0</v>
      </c>
      <c r="H9" s="646">
        <v>4800.0</v>
      </c>
      <c r="I9" s="645">
        <v>4800.0</v>
      </c>
      <c r="J9" s="646">
        <v>4800.0</v>
      </c>
      <c r="K9" s="639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 ht="18.0" customHeight="1">
      <c r="A10" s="640" t="s">
        <v>5</v>
      </c>
      <c r="B10" s="641">
        <f t="shared" si="1"/>
        <v>27600</v>
      </c>
      <c r="C10" s="642">
        <v>0.0</v>
      </c>
      <c r="D10" s="644">
        <v>9600.0</v>
      </c>
      <c r="E10" s="643">
        <v>0.0</v>
      </c>
      <c r="F10" s="644">
        <v>0.0</v>
      </c>
      <c r="G10" s="644">
        <v>0.0</v>
      </c>
      <c r="H10" s="646">
        <v>9600.0</v>
      </c>
      <c r="I10" s="645">
        <v>3600.0</v>
      </c>
      <c r="J10" s="646">
        <v>4800.0</v>
      </c>
      <c r="K10" s="639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</row>
    <row r="11" ht="18.0" customHeight="1">
      <c r="A11" s="649" t="s">
        <v>10</v>
      </c>
      <c r="B11" s="650">
        <f t="shared" si="1"/>
        <v>16000</v>
      </c>
      <c r="C11" s="651">
        <v>0.0</v>
      </c>
      <c r="D11" s="652">
        <v>4000.0</v>
      </c>
      <c r="E11" s="653">
        <v>0.0</v>
      </c>
      <c r="F11" s="652">
        <v>4000.0</v>
      </c>
      <c r="G11" s="652">
        <v>0.0</v>
      </c>
      <c r="H11" s="654">
        <v>4000.0</v>
      </c>
      <c r="I11" s="653">
        <v>0.0</v>
      </c>
      <c r="J11" s="654">
        <v>4000.0</v>
      </c>
      <c r="K11" s="639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 ht="18.0" customHeight="1">
      <c r="A12" s="37"/>
      <c r="B12" s="655"/>
      <c r="C12" s="656">
        <f>SUM(C4:D11)</f>
        <v>47500</v>
      </c>
      <c r="D12" s="132"/>
      <c r="E12" s="657">
        <f>SUM(E4:F11)</f>
        <v>56900</v>
      </c>
      <c r="F12" s="197"/>
      <c r="G12" s="657">
        <f>SUM(G4:H11)</f>
        <v>55600</v>
      </c>
      <c r="H12" s="197"/>
      <c r="I12" s="657">
        <f>SUM(I4:J11)</f>
        <v>73200</v>
      </c>
      <c r="J12" s="19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 ht="18.0" customHeight="1">
      <c r="A13" s="37"/>
      <c r="B13" s="38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 ht="18.0" customHeight="1">
      <c r="A14" s="37"/>
      <c r="B14" s="38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 ht="18.0" customHeight="1">
      <c r="A15" s="37"/>
      <c r="B15" s="38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 ht="18.0" customHeight="1">
      <c r="A16" s="37"/>
      <c r="B16" s="38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 ht="18.0" customHeight="1">
      <c r="A17" s="37"/>
      <c r="B17" s="38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 ht="18.0" customHeight="1">
      <c r="A18" s="37"/>
      <c r="B18" s="38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ht="18.0" customHeight="1">
      <c r="A19" s="37"/>
      <c r="B19" s="38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ht="18.0" customHeight="1">
      <c r="A20" s="37"/>
      <c r="B20" s="38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ht="18.0" customHeight="1">
      <c r="A21" s="37"/>
      <c r="B21" s="38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 ht="18.0" customHeight="1">
      <c r="A22" s="37"/>
      <c r="B22" s="38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 ht="18.0" customHeight="1">
      <c r="A23" s="37"/>
      <c r="B23" s="38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 ht="18.0" customHeight="1">
      <c r="A24" s="37"/>
      <c r="B24" s="38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 ht="18.0" customHeight="1">
      <c r="A25" s="37"/>
      <c r="B25" s="38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 ht="18.0" customHeight="1">
      <c r="A26" s="37"/>
      <c r="B26" s="38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 ht="18.0" customHeight="1">
      <c r="A27" s="37"/>
      <c r="B27" s="38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 ht="18.0" customHeight="1">
      <c r="A28" s="37"/>
      <c r="B28" s="38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 ht="18.0" customHeight="1">
      <c r="A29" s="37"/>
      <c r="B29" s="38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</row>
    <row r="30" ht="18.0" customHeight="1">
      <c r="A30" s="37"/>
      <c r="B30" s="38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 ht="18.0" customHeight="1">
      <c r="A31" s="37"/>
      <c r="B31" s="38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 ht="18.0" customHeight="1">
      <c r="A32" s="37"/>
      <c r="B32" s="38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 ht="18.0" customHeight="1">
      <c r="A33" s="37"/>
      <c r="B33" s="38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 ht="18.0" customHeight="1">
      <c r="A34" s="37"/>
      <c r="B34" s="38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 ht="18.0" customHeight="1">
      <c r="A35" s="37"/>
      <c r="B35" s="38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 ht="18.0" customHeight="1">
      <c r="A36" s="37"/>
      <c r="B36" s="38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 ht="18.0" customHeight="1">
      <c r="A37" s="37"/>
      <c r="B37" s="38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</row>
    <row r="38" ht="18.0" customHeight="1">
      <c r="A38" s="37"/>
      <c r="B38" s="38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 ht="18.0" customHeight="1">
      <c r="A39" s="37"/>
      <c r="B39" s="38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 ht="18.0" customHeight="1">
      <c r="A40" s="37"/>
      <c r="B40" s="38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 ht="18.0" customHeight="1">
      <c r="A41" s="37"/>
      <c r="B41" s="38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ht="18.0" customHeight="1">
      <c r="A42" s="37"/>
      <c r="B42" s="38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</row>
    <row r="43" ht="18.0" customHeight="1">
      <c r="A43" s="37"/>
      <c r="B43" s="38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</row>
    <row r="44" ht="18.0" customHeight="1">
      <c r="A44" s="37"/>
      <c r="B44" s="38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</row>
    <row r="45" ht="18.0" customHeight="1">
      <c r="A45" s="37"/>
      <c r="B45" s="38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</row>
    <row r="46" ht="18.0" customHeight="1">
      <c r="A46" s="37"/>
      <c r="B46" s="38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</row>
    <row r="47" ht="18.0" customHeight="1">
      <c r="A47" s="37"/>
      <c r="B47" s="38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 ht="18.0" customHeight="1">
      <c r="A48" s="37"/>
      <c r="B48" s="38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</row>
    <row r="49" ht="18.0" customHeight="1">
      <c r="A49" s="37"/>
      <c r="B49" s="38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</row>
    <row r="50" ht="18.0" customHeight="1">
      <c r="A50" s="37"/>
      <c r="B50" s="38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</row>
    <row r="51" ht="18.0" customHeight="1">
      <c r="A51" s="37"/>
      <c r="B51" s="38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</row>
    <row r="52" ht="18.0" customHeight="1">
      <c r="A52" s="37"/>
      <c r="B52" s="38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</row>
    <row r="53" ht="18.0" customHeight="1">
      <c r="A53" s="37"/>
      <c r="B53" s="38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</row>
    <row r="54" ht="18.0" customHeight="1">
      <c r="A54" s="37"/>
      <c r="B54" s="38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</row>
    <row r="55" ht="18.0" customHeight="1">
      <c r="A55" s="37"/>
      <c r="B55" s="38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</row>
    <row r="56" ht="18.0" customHeight="1">
      <c r="A56" s="37"/>
      <c r="B56" s="38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</row>
    <row r="57" ht="18.0" customHeight="1">
      <c r="A57" s="37"/>
      <c r="B57" s="38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</row>
    <row r="58" ht="18.0" customHeight="1">
      <c r="A58" s="37"/>
      <c r="B58" s="38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  <row r="59" ht="18.0" customHeight="1">
      <c r="A59" s="37"/>
      <c r="B59" s="38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</row>
    <row r="60" ht="18.0" customHeight="1">
      <c r="A60" s="37"/>
      <c r="B60" s="38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</row>
    <row r="61" ht="18.0" customHeight="1">
      <c r="A61" s="37"/>
      <c r="B61" s="38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</row>
    <row r="62" ht="18.0" customHeight="1">
      <c r="A62" s="37"/>
      <c r="B62" s="38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 ht="18.0" customHeight="1">
      <c r="A63" s="37"/>
      <c r="B63" s="38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</row>
    <row r="64" ht="18.0" customHeight="1">
      <c r="A64" s="37"/>
      <c r="B64" s="38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 ht="18.0" customHeight="1">
      <c r="A65" s="37"/>
      <c r="B65" s="38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</row>
    <row r="66" ht="18.0" customHeight="1">
      <c r="A66" s="37"/>
      <c r="B66" s="38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 ht="18.0" customHeight="1">
      <c r="A67" s="37"/>
      <c r="B67" s="38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 ht="18.0" customHeight="1">
      <c r="A68" s="37"/>
      <c r="B68" s="38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 ht="18.0" customHeight="1">
      <c r="A69" s="37"/>
      <c r="B69" s="38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</row>
    <row r="70" ht="18.0" customHeight="1">
      <c r="A70" s="37"/>
      <c r="B70" s="38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</row>
    <row r="71" ht="18.0" customHeight="1">
      <c r="A71" s="37"/>
      <c r="B71" s="38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</row>
    <row r="72" ht="18.0" customHeight="1">
      <c r="A72" s="37"/>
      <c r="B72" s="38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</row>
    <row r="73" ht="18.0" customHeight="1">
      <c r="A73" s="37"/>
      <c r="B73" s="38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</row>
    <row r="74" ht="18.0" customHeight="1">
      <c r="A74" s="37"/>
      <c r="B74" s="38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</row>
    <row r="75" ht="18.0" customHeight="1">
      <c r="A75" s="37"/>
      <c r="B75" s="38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</row>
    <row r="76" ht="18.0" customHeight="1">
      <c r="A76" s="37"/>
      <c r="B76" s="38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</row>
    <row r="77" ht="18.0" customHeight="1">
      <c r="A77" s="37"/>
      <c r="B77" s="38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</row>
    <row r="78" ht="18.0" customHeight="1">
      <c r="A78" s="37"/>
      <c r="B78" s="38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</row>
    <row r="79" ht="18.0" customHeight="1">
      <c r="A79" s="37"/>
      <c r="B79" s="38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</row>
    <row r="80" ht="18.0" customHeight="1">
      <c r="A80" s="37"/>
      <c r="B80" s="38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</row>
    <row r="81" ht="18.0" customHeight="1">
      <c r="A81" s="37"/>
      <c r="B81" s="38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</row>
    <row r="82" ht="18.0" customHeight="1">
      <c r="A82" s="37"/>
      <c r="B82" s="38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</row>
    <row r="83" ht="18.0" customHeight="1">
      <c r="A83" s="37"/>
      <c r="B83" s="38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</row>
    <row r="84" ht="18.0" customHeight="1">
      <c r="A84" s="37"/>
      <c r="B84" s="38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</row>
    <row r="85" ht="18.0" customHeight="1">
      <c r="A85" s="37"/>
      <c r="B85" s="38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</row>
    <row r="86" ht="18.0" customHeight="1">
      <c r="A86" s="37"/>
      <c r="B86" s="38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</row>
    <row r="87" ht="18.0" customHeight="1">
      <c r="A87" s="37"/>
      <c r="B87" s="38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</row>
    <row r="88" ht="18.0" customHeight="1">
      <c r="A88" s="37"/>
      <c r="B88" s="38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</row>
    <row r="89" ht="18.0" customHeight="1">
      <c r="A89" s="37"/>
      <c r="B89" s="38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</row>
    <row r="90" ht="18.0" customHeight="1">
      <c r="A90" s="37"/>
      <c r="B90" s="38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</row>
    <row r="91" ht="18.0" customHeight="1">
      <c r="A91" s="37"/>
      <c r="B91" s="38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</row>
    <row r="92" ht="18.0" customHeight="1">
      <c r="A92" s="37"/>
      <c r="B92" s="38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</row>
    <row r="93" ht="18.0" customHeight="1">
      <c r="A93" s="37"/>
      <c r="B93" s="38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</row>
    <row r="94" ht="18.0" customHeight="1">
      <c r="A94" s="37"/>
      <c r="B94" s="38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</row>
    <row r="95" ht="18.0" customHeight="1">
      <c r="A95" s="37"/>
      <c r="B95" s="38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</row>
    <row r="96" ht="18.0" customHeight="1">
      <c r="A96" s="37"/>
      <c r="B96" s="38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</row>
    <row r="97" ht="18.0" customHeight="1">
      <c r="A97" s="37"/>
      <c r="B97" s="38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</row>
    <row r="98" ht="18.0" customHeight="1">
      <c r="A98" s="37"/>
      <c r="B98" s="38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</row>
    <row r="99" ht="18.0" customHeight="1">
      <c r="A99" s="37"/>
      <c r="B99" s="38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</row>
    <row r="100" ht="18.0" customHeight="1">
      <c r="A100" s="37"/>
      <c r="B100" s="38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</row>
    <row r="101" ht="18.0" customHeight="1">
      <c r="A101" s="37"/>
      <c r="B101" s="38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</row>
    <row r="102" ht="18.0" customHeight="1">
      <c r="A102" s="37"/>
      <c r="B102" s="38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</row>
    <row r="103" ht="18.0" customHeight="1">
      <c r="A103" s="37"/>
      <c r="B103" s="38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</row>
    <row r="104" ht="18.0" customHeight="1">
      <c r="A104" s="37"/>
      <c r="B104" s="38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</row>
    <row r="105" ht="18.0" customHeight="1">
      <c r="A105" s="37"/>
      <c r="B105" s="38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</row>
    <row r="106" ht="18.0" customHeight="1">
      <c r="A106" s="37"/>
      <c r="B106" s="38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</row>
    <row r="107" ht="18.0" customHeight="1">
      <c r="A107" s="37"/>
      <c r="B107" s="38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</row>
    <row r="108" ht="18.0" customHeight="1">
      <c r="A108" s="37"/>
      <c r="B108" s="38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</row>
    <row r="109" ht="18.0" customHeight="1">
      <c r="A109" s="37"/>
      <c r="B109" s="38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</row>
    <row r="110" ht="18.0" customHeight="1">
      <c r="A110" s="37"/>
      <c r="B110" s="38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</row>
    <row r="111" ht="18.0" customHeight="1">
      <c r="A111" s="37"/>
      <c r="B111" s="38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</row>
    <row r="112" ht="18.0" customHeight="1">
      <c r="A112" s="37"/>
      <c r="B112" s="38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</row>
    <row r="113" ht="18.0" customHeight="1">
      <c r="A113" s="37"/>
      <c r="B113" s="38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</row>
    <row r="114" ht="18.0" customHeight="1">
      <c r="A114" s="37"/>
      <c r="B114" s="38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</row>
    <row r="115" ht="18.0" customHeight="1">
      <c r="A115" s="37"/>
      <c r="B115" s="38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</row>
    <row r="116" ht="18.0" customHeight="1">
      <c r="A116" s="37"/>
      <c r="B116" s="38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</row>
    <row r="117" ht="18.0" customHeight="1">
      <c r="A117" s="37"/>
      <c r="B117" s="38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</row>
    <row r="118" ht="18.0" customHeight="1">
      <c r="A118" s="37"/>
      <c r="B118" s="38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</row>
    <row r="119" ht="18.0" customHeight="1">
      <c r="A119" s="37"/>
      <c r="B119" s="38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</row>
    <row r="120" ht="18.0" customHeight="1">
      <c r="A120" s="37"/>
      <c r="B120" s="38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</row>
    <row r="121" ht="18.0" customHeight="1">
      <c r="A121" s="37"/>
      <c r="B121" s="38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</row>
    <row r="122" ht="18.0" customHeight="1">
      <c r="A122" s="37"/>
      <c r="B122" s="38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</row>
    <row r="123" ht="18.0" customHeight="1">
      <c r="A123" s="37"/>
      <c r="B123" s="38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</row>
    <row r="124" ht="18.0" customHeight="1">
      <c r="A124" s="37"/>
      <c r="B124" s="38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</row>
    <row r="125" ht="18.0" customHeight="1">
      <c r="A125" s="37"/>
      <c r="B125" s="38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</row>
    <row r="126" ht="18.0" customHeight="1">
      <c r="A126" s="37"/>
      <c r="B126" s="38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</row>
    <row r="127" ht="18.0" customHeight="1">
      <c r="A127" s="37"/>
      <c r="B127" s="38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</row>
    <row r="128" ht="18.0" customHeight="1">
      <c r="A128" s="37"/>
      <c r="B128" s="38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</row>
    <row r="129" ht="18.0" customHeight="1">
      <c r="A129" s="37"/>
      <c r="B129" s="38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</row>
    <row r="130" ht="18.0" customHeight="1">
      <c r="A130" s="37"/>
      <c r="B130" s="38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</row>
    <row r="131" ht="18.0" customHeight="1">
      <c r="A131" s="37"/>
      <c r="B131" s="38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</row>
    <row r="132" ht="18.0" customHeight="1">
      <c r="A132" s="37"/>
      <c r="B132" s="38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</row>
    <row r="133" ht="18.0" customHeight="1">
      <c r="A133" s="37"/>
      <c r="B133" s="38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</row>
    <row r="134" ht="18.0" customHeight="1">
      <c r="A134" s="37"/>
      <c r="B134" s="38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</row>
    <row r="135" ht="18.0" customHeight="1">
      <c r="A135" s="37"/>
      <c r="B135" s="38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</row>
    <row r="136" ht="18.0" customHeight="1">
      <c r="A136" s="37"/>
      <c r="B136" s="38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</row>
    <row r="137" ht="18.0" customHeight="1">
      <c r="A137" s="37"/>
      <c r="B137" s="38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</row>
    <row r="138" ht="18.0" customHeight="1">
      <c r="A138" s="37"/>
      <c r="B138" s="38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</row>
    <row r="139" ht="18.0" customHeight="1">
      <c r="A139" s="37"/>
      <c r="B139" s="38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</row>
    <row r="140" ht="18.0" customHeight="1">
      <c r="A140" s="37"/>
      <c r="B140" s="38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</row>
    <row r="141" ht="18.0" customHeight="1">
      <c r="A141" s="37"/>
      <c r="B141" s="38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</row>
    <row r="142" ht="18.0" customHeight="1">
      <c r="A142" s="37"/>
      <c r="B142" s="38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</row>
    <row r="143" ht="18.0" customHeight="1">
      <c r="A143" s="37"/>
      <c r="B143" s="38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</row>
    <row r="144" ht="18.0" customHeight="1">
      <c r="A144" s="37"/>
      <c r="B144" s="38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</row>
    <row r="145" ht="18.0" customHeight="1">
      <c r="A145" s="37"/>
      <c r="B145" s="38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</row>
    <row r="146" ht="18.0" customHeight="1">
      <c r="A146" s="37"/>
      <c r="B146" s="38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</row>
    <row r="147" ht="18.0" customHeight="1">
      <c r="A147" s="37"/>
      <c r="B147" s="38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</row>
    <row r="148" ht="18.0" customHeight="1">
      <c r="A148" s="37"/>
      <c r="B148" s="38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</row>
    <row r="149" ht="18.0" customHeight="1">
      <c r="A149" s="37"/>
      <c r="B149" s="38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</row>
    <row r="150" ht="18.0" customHeight="1">
      <c r="A150" s="37"/>
      <c r="B150" s="38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</row>
    <row r="151" ht="18.0" customHeight="1">
      <c r="A151" s="37"/>
      <c r="B151" s="38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</row>
    <row r="152" ht="18.0" customHeight="1">
      <c r="A152" s="37"/>
      <c r="B152" s="38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</row>
    <row r="153" ht="18.0" customHeight="1">
      <c r="A153" s="37"/>
      <c r="B153" s="38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</row>
    <row r="154" ht="18.0" customHeight="1">
      <c r="A154" s="37"/>
      <c r="B154" s="38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</row>
    <row r="155" ht="18.0" customHeight="1">
      <c r="A155" s="37"/>
      <c r="B155" s="38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</row>
    <row r="156" ht="18.0" customHeight="1">
      <c r="A156" s="37"/>
      <c r="B156" s="38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</row>
    <row r="157" ht="18.0" customHeight="1">
      <c r="A157" s="37"/>
      <c r="B157" s="38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</row>
    <row r="158" ht="18.0" customHeight="1">
      <c r="A158" s="37"/>
      <c r="B158" s="38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</row>
    <row r="159" ht="18.0" customHeight="1">
      <c r="A159" s="37"/>
      <c r="B159" s="38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</row>
    <row r="160" ht="18.0" customHeight="1">
      <c r="A160" s="37"/>
      <c r="B160" s="38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</row>
    <row r="161" ht="18.0" customHeight="1">
      <c r="A161" s="37"/>
      <c r="B161" s="38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</row>
    <row r="162" ht="18.0" customHeight="1">
      <c r="A162" s="37"/>
      <c r="B162" s="38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</row>
    <row r="163" ht="18.0" customHeight="1">
      <c r="A163" s="37"/>
      <c r="B163" s="38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</row>
    <row r="164" ht="18.0" customHeight="1">
      <c r="A164" s="37"/>
      <c r="B164" s="38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</row>
    <row r="165" ht="18.0" customHeight="1">
      <c r="A165" s="37"/>
      <c r="B165" s="38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</row>
    <row r="166" ht="18.0" customHeight="1">
      <c r="A166" s="37"/>
      <c r="B166" s="38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</row>
    <row r="167" ht="18.0" customHeight="1">
      <c r="A167" s="37"/>
      <c r="B167" s="38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</row>
    <row r="168" ht="18.0" customHeight="1">
      <c r="A168" s="37"/>
      <c r="B168" s="38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</row>
    <row r="169" ht="18.0" customHeight="1">
      <c r="A169" s="37"/>
      <c r="B169" s="38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</row>
    <row r="170" ht="18.0" customHeight="1">
      <c r="A170" s="37"/>
      <c r="B170" s="38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</row>
    <row r="171" ht="18.0" customHeight="1">
      <c r="A171" s="37"/>
      <c r="B171" s="38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</row>
    <row r="172" ht="18.0" customHeight="1">
      <c r="A172" s="37"/>
      <c r="B172" s="38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</row>
    <row r="173" ht="18.0" customHeight="1">
      <c r="A173" s="37"/>
      <c r="B173" s="38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</row>
    <row r="174" ht="18.0" customHeight="1">
      <c r="A174" s="37"/>
      <c r="B174" s="38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</row>
    <row r="175" ht="18.0" customHeight="1">
      <c r="A175" s="37"/>
      <c r="B175" s="38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</row>
    <row r="176" ht="18.0" customHeight="1">
      <c r="A176" s="37"/>
      <c r="B176" s="38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</row>
    <row r="177" ht="18.0" customHeight="1">
      <c r="A177" s="37"/>
      <c r="B177" s="38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</row>
    <row r="178" ht="18.0" customHeight="1">
      <c r="A178" s="37"/>
      <c r="B178" s="38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</row>
    <row r="179" ht="18.0" customHeight="1">
      <c r="A179" s="37"/>
      <c r="B179" s="38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</row>
    <row r="180" ht="18.0" customHeight="1">
      <c r="A180" s="37"/>
      <c r="B180" s="38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</row>
    <row r="181" ht="18.0" customHeight="1">
      <c r="A181" s="37"/>
      <c r="B181" s="38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</row>
    <row r="182" ht="18.0" customHeight="1">
      <c r="A182" s="37"/>
      <c r="B182" s="38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</row>
    <row r="183" ht="18.0" customHeight="1">
      <c r="A183" s="37"/>
      <c r="B183" s="38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</row>
    <row r="184" ht="18.0" customHeight="1">
      <c r="A184" s="37"/>
      <c r="B184" s="38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</row>
    <row r="185" ht="18.0" customHeight="1">
      <c r="A185" s="37"/>
      <c r="B185" s="38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</row>
    <row r="186" ht="18.0" customHeight="1">
      <c r="A186" s="37"/>
      <c r="B186" s="38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</row>
    <row r="187" ht="18.0" customHeight="1">
      <c r="A187" s="37"/>
      <c r="B187" s="38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</row>
    <row r="188" ht="18.0" customHeight="1">
      <c r="A188" s="37"/>
      <c r="B188" s="38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</row>
    <row r="189" ht="18.0" customHeight="1">
      <c r="A189" s="37"/>
      <c r="B189" s="38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</row>
    <row r="190" ht="18.0" customHeight="1">
      <c r="A190" s="37"/>
      <c r="B190" s="38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</row>
    <row r="191" ht="18.0" customHeight="1">
      <c r="A191" s="37"/>
      <c r="B191" s="38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</row>
    <row r="192" ht="18.0" customHeight="1">
      <c r="A192" s="37"/>
      <c r="B192" s="38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</row>
    <row r="193" ht="18.0" customHeight="1">
      <c r="A193" s="37"/>
      <c r="B193" s="38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</row>
    <row r="194" ht="18.0" customHeight="1">
      <c r="A194" s="37"/>
      <c r="B194" s="38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</row>
    <row r="195" ht="18.0" customHeight="1">
      <c r="A195" s="37"/>
      <c r="B195" s="38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</row>
    <row r="196" ht="18.0" customHeight="1">
      <c r="A196" s="37"/>
      <c r="B196" s="38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</row>
    <row r="197" ht="18.0" customHeight="1">
      <c r="A197" s="37"/>
      <c r="B197" s="38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</row>
    <row r="198" ht="18.0" customHeight="1">
      <c r="A198" s="37"/>
      <c r="B198" s="38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</row>
    <row r="199" ht="18.0" customHeight="1">
      <c r="A199" s="37"/>
      <c r="B199" s="38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</row>
    <row r="200" ht="18.0" customHeight="1">
      <c r="A200" s="37"/>
      <c r="B200" s="38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</row>
    <row r="201" ht="18.0" customHeight="1">
      <c r="A201" s="37"/>
      <c r="B201" s="38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</row>
    <row r="202" ht="18.0" customHeight="1">
      <c r="A202" s="37"/>
      <c r="B202" s="38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</row>
    <row r="203" ht="18.0" customHeight="1">
      <c r="A203" s="37"/>
      <c r="B203" s="38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</row>
    <row r="204" ht="18.0" customHeight="1">
      <c r="A204" s="37"/>
      <c r="B204" s="38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</row>
    <row r="205" ht="18.0" customHeight="1">
      <c r="A205" s="37"/>
      <c r="B205" s="38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</row>
    <row r="206" ht="18.0" customHeight="1">
      <c r="A206" s="37"/>
      <c r="B206" s="38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</row>
    <row r="207" ht="18.0" customHeight="1">
      <c r="A207" s="37"/>
      <c r="B207" s="38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</row>
    <row r="208" ht="18.0" customHeight="1">
      <c r="A208" s="37"/>
      <c r="B208" s="38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</row>
    <row r="209" ht="18.0" customHeight="1">
      <c r="A209" s="37"/>
      <c r="B209" s="38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</row>
    <row r="210" ht="18.0" customHeight="1">
      <c r="A210" s="37"/>
      <c r="B210" s="38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</row>
    <row r="211" ht="18.0" customHeight="1">
      <c r="A211" s="37"/>
      <c r="B211" s="38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</row>
    <row r="212" ht="18.0" customHeight="1">
      <c r="A212" s="37"/>
      <c r="B212" s="38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</row>
    <row r="213" ht="18.0" customHeight="1">
      <c r="A213" s="37"/>
      <c r="B213" s="38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</row>
    <row r="214" ht="18.0" customHeight="1">
      <c r="A214" s="37"/>
      <c r="B214" s="38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</row>
    <row r="215" ht="18.0" customHeight="1">
      <c r="A215" s="37"/>
      <c r="B215" s="38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</row>
    <row r="216" ht="18.0" customHeight="1">
      <c r="A216" s="37"/>
      <c r="B216" s="38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</row>
    <row r="217" ht="18.0" customHeight="1">
      <c r="A217" s="37"/>
      <c r="B217" s="38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</row>
    <row r="218" ht="18.0" customHeight="1">
      <c r="A218" s="37"/>
      <c r="B218" s="38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</row>
    <row r="219" ht="18.0" customHeight="1">
      <c r="A219" s="37"/>
      <c r="B219" s="38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</row>
    <row r="220" ht="18.0" customHeight="1">
      <c r="A220" s="37"/>
      <c r="B220" s="38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</row>
    <row r="221" ht="18.0" customHeight="1">
      <c r="A221" s="37"/>
      <c r="B221" s="38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</row>
    <row r="222" ht="18.0" customHeight="1">
      <c r="A222" s="37"/>
      <c r="B222" s="38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</row>
    <row r="223" ht="18.0" customHeight="1">
      <c r="A223" s="37"/>
      <c r="B223" s="38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</row>
    <row r="224" ht="18.0" customHeight="1">
      <c r="A224" s="37"/>
      <c r="B224" s="38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</row>
    <row r="225" ht="18.0" customHeight="1">
      <c r="A225" s="37"/>
      <c r="B225" s="38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</row>
    <row r="226" ht="18.0" customHeight="1">
      <c r="A226" s="37"/>
      <c r="B226" s="38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</row>
    <row r="227" ht="18.0" customHeight="1">
      <c r="A227" s="37"/>
      <c r="B227" s="38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</row>
    <row r="228" ht="18.0" customHeight="1">
      <c r="A228" s="37"/>
      <c r="B228" s="38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</row>
    <row r="229" ht="18.0" customHeight="1">
      <c r="A229" s="37"/>
      <c r="B229" s="38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</row>
    <row r="230" ht="18.0" customHeight="1">
      <c r="A230" s="37"/>
      <c r="B230" s="38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</row>
    <row r="231" ht="18.0" customHeight="1">
      <c r="A231" s="37"/>
      <c r="B231" s="38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</row>
    <row r="232" ht="18.0" customHeight="1">
      <c r="A232" s="37"/>
      <c r="B232" s="38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</row>
    <row r="233" ht="18.0" customHeight="1">
      <c r="A233" s="37"/>
      <c r="B233" s="38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</row>
    <row r="234" ht="18.0" customHeight="1">
      <c r="A234" s="37"/>
      <c r="B234" s="38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</row>
    <row r="235" ht="18.0" customHeight="1">
      <c r="A235" s="37"/>
      <c r="B235" s="38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</row>
    <row r="236" ht="18.0" customHeight="1">
      <c r="A236" s="37"/>
      <c r="B236" s="38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</row>
    <row r="237" ht="18.0" customHeight="1">
      <c r="A237" s="37"/>
      <c r="B237" s="38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</row>
    <row r="238" ht="18.0" customHeight="1">
      <c r="A238" s="37"/>
      <c r="B238" s="38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</row>
    <row r="239" ht="18.0" customHeight="1">
      <c r="A239" s="37"/>
      <c r="B239" s="38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</row>
    <row r="240" ht="18.0" customHeight="1">
      <c r="A240" s="37"/>
      <c r="B240" s="38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</row>
    <row r="241" ht="18.0" customHeight="1">
      <c r="A241" s="37"/>
      <c r="B241" s="38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</row>
    <row r="242" ht="18.0" customHeight="1">
      <c r="A242" s="37"/>
      <c r="B242" s="38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</row>
    <row r="243" ht="18.0" customHeight="1">
      <c r="A243" s="37"/>
      <c r="B243" s="38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</row>
    <row r="244" ht="18.0" customHeight="1">
      <c r="A244" s="37"/>
      <c r="B244" s="38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</row>
    <row r="245" ht="18.0" customHeight="1">
      <c r="A245" s="37"/>
      <c r="B245" s="38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</row>
    <row r="246" ht="18.0" customHeight="1">
      <c r="A246" s="37"/>
      <c r="B246" s="38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</row>
    <row r="247" ht="18.0" customHeight="1">
      <c r="A247" s="37"/>
      <c r="B247" s="38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</row>
    <row r="248" ht="18.0" customHeight="1">
      <c r="A248" s="37"/>
      <c r="B248" s="38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</row>
    <row r="249" ht="18.0" customHeight="1">
      <c r="A249" s="37"/>
      <c r="B249" s="38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</row>
    <row r="250" ht="18.0" customHeight="1">
      <c r="A250" s="37"/>
      <c r="B250" s="38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</row>
    <row r="251" ht="18.0" customHeight="1">
      <c r="A251" s="37"/>
      <c r="B251" s="38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</row>
    <row r="252" ht="18.0" customHeight="1">
      <c r="A252" s="37"/>
      <c r="B252" s="38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</row>
    <row r="253" ht="18.0" customHeight="1">
      <c r="A253" s="37"/>
      <c r="B253" s="38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</row>
    <row r="254" ht="18.0" customHeight="1">
      <c r="A254" s="37"/>
      <c r="B254" s="38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</row>
    <row r="255" ht="18.0" customHeight="1">
      <c r="A255" s="37"/>
      <c r="B255" s="38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</row>
    <row r="256" ht="18.0" customHeight="1">
      <c r="A256" s="37"/>
      <c r="B256" s="38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</row>
    <row r="257" ht="18.0" customHeight="1">
      <c r="A257" s="37"/>
      <c r="B257" s="38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</row>
    <row r="258" ht="18.0" customHeight="1">
      <c r="A258" s="37"/>
      <c r="B258" s="38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</row>
    <row r="259" ht="18.0" customHeight="1">
      <c r="A259" s="37"/>
      <c r="B259" s="38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</row>
    <row r="260" ht="18.0" customHeight="1">
      <c r="A260" s="37"/>
      <c r="B260" s="38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</row>
    <row r="261" ht="18.0" customHeight="1">
      <c r="A261" s="37"/>
      <c r="B261" s="38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</row>
    <row r="262" ht="18.0" customHeight="1">
      <c r="A262" s="37"/>
      <c r="B262" s="38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</row>
    <row r="263" ht="18.0" customHeight="1">
      <c r="A263" s="37"/>
      <c r="B263" s="38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</row>
    <row r="264" ht="18.0" customHeight="1">
      <c r="A264" s="37"/>
      <c r="B264" s="38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</row>
    <row r="265" ht="18.0" customHeight="1">
      <c r="A265" s="37"/>
      <c r="B265" s="38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</row>
    <row r="266" ht="18.0" customHeight="1">
      <c r="A266" s="37"/>
      <c r="B266" s="38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</row>
    <row r="267" ht="18.0" customHeight="1">
      <c r="A267" s="37"/>
      <c r="B267" s="38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</row>
    <row r="268" ht="18.0" customHeight="1">
      <c r="A268" s="37"/>
      <c r="B268" s="38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</row>
    <row r="269" ht="18.0" customHeight="1">
      <c r="A269" s="37"/>
      <c r="B269" s="38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</row>
    <row r="270" ht="18.0" customHeight="1">
      <c r="A270" s="37"/>
      <c r="B270" s="38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</row>
    <row r="271" ht="18.0" customHeight="1">
      <c r="A271" s="37"/>
      <c r="B271" s="38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</row>
    <row r="272" ht="18.0" customHeight="1">
      <c r="A272" s="37"/>
      <c r="B272" s="38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</row>
    <row r="273" ht="18.0" customHeight="1">
      <c r="A273" s="37"/>
      <c r="B273" s="38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</row>
    <row r="274" ht="18.0" customHeight="1">
      <c r="A274" s="37"/>
      <c r="B274" s="38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</row>
    <row r="275" ht="18.0" customHeight="1">
      <c r="A275" s="37"/>
      <c r="B275" s="38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</row>
    <row r="276" ht="18.0" customHeight="1">
      <c r="A276" s="37"/>
      <c r="B276" s="38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</row>
    <row r="277" ht="18.0" customHeight="1">
      <c r="A277" s="37"/>
      <c r="B277" s="38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</row>
    <row r="278" ht="18.0" customHeight="1">
      <c r="A278" s="37"/>
      <c r="B278" s="38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</row>
    <row r="279" ht="18.0" customHeight="1">
      <c r="A279" s="37"/>
      <c r="B279" s="38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</row>
    <row r="280" ht="18.0" customHeight="1">
      <c r="A280" s="37"/>
      <c r="B280" s="38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</row>
    <row r="281" ht="18.0" customHeight="1">
      <c r="A281" s="37"/>
      <c r="B281" s="38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</row>
    <row r="282" ht="18.0" customHeight="1">
      <c r="A282" s="37"/>
      <c r="B282" s="38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</row>
    <row r="283" ht="18.0" customHeight="1">
      <c r="A283" s="37"/>
      <c r="B283" s="38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</row>
    <row r="284" ht="18.0" customHeight="1">
      <c r="A284" s="37"/>
      <c r="B284" s="38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</row>
    <row r="285" ht="18.0" customHeight="1">
      <c r="A285" s="37"/>
      <c r="B285" s="38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</row>
    <row r="286" ht="18.0" customHeight="1">
      <c r="A286" s="37"/>
      <c r="B286" s="38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</row>
    <row r="287" ht="18.0" customHeight="1">
      <c r="A287" s="37"/>
      <c r="B287" s="38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</row>
    <row r="288" ht="18.0" customHeight="1">
      <c r="A288" s="37"/>
      <c r="B288" s="38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</row>
    <row r="289" ht="18.0" customHeight="1">
      <c r="A289" s="37"/>
      <c r="B289" s="38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</row>
    <row r="290" ht="18.0" customHeight="1">
      <c r="A290" s="37"/>
      <c r="B290" s="38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</row>
    <row r="291" ht="18.0" customHeight="1">
      <c r="A291" s="37"/>
      <c r="B291" s="38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</row>
    <row r="292" ht="18.0" customHeight="1">
      <c r="A292" s="37"/>
      <c r="B292" s="38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</row>
    <row r="293" ht="18.0" customHeight="1">
      <c r="A293" s="37"/>
      <c r="B293" s="38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</row>
    <row r="294" ht="18.0" customHeight="1">
      <c r="A294" s="37"/>
      <c r="B294" s="38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</row>
    <row r="295" ht="18.0" customHeight="1">
      <c r="A295" s="37"/>
      <c r="B295" s="38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</row>
    <row r="296" ht="18.0" customHeight="1">
      <c r="A296" s="37"/>
      <c r="B296" s="38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</row>
    <row r="297" ht="18.0" customHeight="1">
      <c r="A297" s="37"/>
      <c r="B297" s="38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</row>
    <row r="298" ht="18.0" customHeight="1">
      <c r="A298" s="37"/>
      <c r="B298" s="38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</row>
    <row r="299" ht="18.0" customHeight="1">
      <c r="A299" s="37"/>
      <c r="B299" s="38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</row>
    <row r="300" ht="18.0" customHeight="1">
      <c r="A300" s="37"/>
      <c r="B300" s="38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</row>
    <row r="301" ht="18.0" customHeight="1">
      <c r="A301" s="37"/>
      <c r="B301" s="38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</row>
    <row r="302" ht="18.0" customHeight="1">
      <c r="A302" s="37"/>
      <c r="B302" s="38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</row>
    <row r="303" ht="18.0" customHeight="1">
      <c r="A303" s="37"/>
      <c r="B303" s="38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</row>
    <row r="304" ht="18.0" customHeight="1">
      <c r="A304" s="37"/>
      <c r="B304" s="38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</row>
    <row r="305" ht="18.0" customHeight="1">
      <c r="A305" s="37"/>
      <c r="B305" s="38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</row>
    <row r="306" ht="18.0" customHeight="1">
      <c r="A306" s="37"/>
      <c r="B306" s="38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</row>
    <row r="307" ht="18.0" customHeight="1">
      <c r="A307" s="37"/>
      <c r="B307" s="38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</row>
    <row r="308" ht="18.0" customHeight="1">
      <c r="A308" s="37"/>
      <c r="B308" s="38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</row>
    <row r="309" ht="18.0" customHeight="1">
      <c r="A309" s="37"/>
      <c r="B309" s="38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</row>
    <row r="310" ht="18.0" customHeight="1">
      <c r="A310" s="37"/>
      <c r="B310" s="38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</row>
    <row r="311" ht="18.0" customHeight="1">
      <c r="A311" s="37"/>
      <c r="B311" s="38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</row>
    <row r="312" ht="18.0" customHeight="1">
      <c r="A312" s="37"/>
      <c r="B312" s="38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</row>
    <row r="313" ht="18.0" customHeight="1">
      <c r="A313" s="37"/>
      <c r="B313" s="38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</row>
    <row r="314" ht="18.0" customHeight="1">
      <c r="A314" s="37"/>
      <c r="B314" s="38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</row>
    <row r="315" ht="18.0" customHeight="1">
      <c r="A315" s="37"/>
      <c r="B315" s="38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</row>
    <row r="316" ht="18.0" customHeight="1">
      <c r="A316" s="37"/>
      <c r="B316" s="38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</row>
    <row r="317" ht="18.0" customHeight="1">
      <c r="A317" s="37"/>
      <c r="B317" s="38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</row>
    <row r="318" ht="18.0" customHeight="1">
      <c r="A318" s="37"/>
      <c r="B318" s="38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</row>
    <row r="319" ht="18.0" customHeight="1">
      <c r="A319" s="37"/>
      <c r="B319" s="38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</row>
    <row r="320" ht="18.0" customHeight="1">
      <c r="A320" s="37"/>
      <c r="B320" s="38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</row>
    <row r="321" ht="18.0" customHeight="1">
      <c r="A321" s="37"/>
      <c r="B321" s="38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</row>
    <row r="322" ht="18.0" customHeight="1">
      <c r="A322" s="37"/>
      <c r="B322" s="38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</row>
    <row r="323" ht="18.0" customHeight="1">
      <c r="A323" s="37"/>
      <c r="B323" s="38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</row>
    <row r="324" ht="18.0" customHeight="1">
      <c r="A324" s="37"/>
      <c r="B324" s="38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</row>
    <row r="325" ht="18.0" customHeight="1">
      <c r="A325" s="37"/>
      <c r="B325" s="38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</row>
    <row r="326" ht="18.0" customHeight="1">
      <c r="A326" s="37"/>
      <c r="B326" s="38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</row>
    <row r="327" ht="18.0" customHeight="1">
      <c r="A327" s="37"/>
      <c r="B327" s="38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</row>
    <row r="328" ht="18.0" customHeight="1">
      <c r="A328" s="37"/>
      <c r="B328" s="38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</row>
    <row r="329" ht="18.0" customHeight="1">
      <c r="A329" s="37"/>
      <c r="B329" s="38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</row>
    <row r="330" ht="18.0" customHeight="1">
      <c r="A330" s="37"/>
      <c r="B330" s="38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</row>
    <row r="331" ht="18.0" customHeight="1">
      <c r="A331" s="37"/>
      <c r="B331" s="38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</row>
    <row r="332" ht="18.0" customHeight="1">
      <c r="A332" s="37"/>
      <c r="B332" s="38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</row>
    <row r="333" ht="18.0" customHeight="1">
      <c r="A333" s="37"/>
      <c r="B333" s="38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</row>
    <row r="334" ht="18.0" customHeight="1">
      <c r="A334" s="37"/>
      <c r="B334" s="38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</row>
    <row r="335" ht="18.0" customHeight="1">
      <c r="A335" s="37"/>
      <c r="B335" s="38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</row>
    <row r="336" ht="18.0" customHeight="1">
      <c r="A336" s="37"/>
      <c r="B336" s="38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</row>
    <row r="337" ht="18.0" customHeight="1">
      <c r="A337" s="37"/>
      <c r="B337" s="38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</row>
    <row r="338" ht="18.0" customHeight="1">
      <c r="A338" s="37"/>
      <c r="B338" s="38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</row>
    <row r="339" ht="18.0" customHeight="1">
      <c r="A339" s="37"/>
      <c r="B339" s="38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</row>
    <row r="340" ht="18.0" customHeight="1">
      <c r="A340" s="37"/>
      <c r="B340" s="38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</row>
    <row r="341" ht="18.0" customHeight="1">
      <c r="A341" s="37"/>
      <c r="B341" s="38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</row>
    <row r="342" ht="18.0" customHeight="1">
      <c r="A342" s="37"/>
      <c r="B342" s="38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</row>
    <row r="343" ht="18.0" customHeight="1">
      <c r="A343" s="37"/>
      <c r="B343" s="38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</row>
    <row r="344" ht="18.0" customHeight="1">
      <c r="A344" s="37"/>
      <c r="B344" s="38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</row>
    <row r="345" ht="18.0" customHeight="1">
      <c r="A345" s="37"/>
      <c r="B345" s="38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</row>
    <row r="346" ht="18.0" customHeight="1">
      <c r="A346" s="37"/>
      <c r="B346" s="38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</row>
    <row r="347" ht="18.0" customHeight="1">
      <c r="A347" s="37"/>
      <c r="B347" s="38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</row>
    <row r="348" ht="18.0" customHeight="1">
      <c r="A348" s="37"/>
      <c r="B348" s="38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</row>
    <row r="349" ht="18.0" customHeight="1">
      <c r="A349" s="37"/>
      <c r="B349" s="38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</row>
    <row r="350" ht="18.0" customHeight="1">
      <c r="A350" s="37"/>
      <c r="B350" s="38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</row>
    <row r="351" ht="18.0" customHeight="1">
      <c r="A351" s="37"/>
      <c r="B351" s="38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</row>
    <row r="352" ht="18.0" customHeight="1">
      <c r="A352" s="37"/>
      <c r="B352" s="38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</row>
    <row r="353" ht="18.0" customHeight="1">
      <c r="A353" s="37"/>
      <c r="B353" s="38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</row>
    <row r="354" ht="18.0" customHeight="1">
      <c r="A354" s="37"/>
      <c r="B354" s="38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</row>
    <row r="355" ht="18.0" customHeight="1">
      <c r="A355" s="37"/>
      <c r="B355" s="38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</row>
    <row r="356" ht="18.0" customHeight="1">
      <c r="A356" s="37"/>
      <c r="B356" s="38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</row>
    <row r="357" ht="18.0" customHeight="1">
      <c r="A357" s="37"/>
      <c r="B357" s="38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</row>
    <row r="358" ht="18.0" customHeight="1">
      <c r="A358" s="37"/>
      <c r="B358" s="38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</row>
    <row r="359" ht="18.0" customHeight="1">
      <c r="A359" s="37"/>
      <c r="B359" s="38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</row>
    <row r="360" ht="18.0" customHeight="1">
      <c r="A360" s="37"/>
      <c r="B360" s="38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</row>
    <row r="361" ht="18.0" customHeight="1">
      <c r="A361" s="37"/>
      <c r="B361" s="38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</row>
    <row r="362" ht="18.0" customHeight="1">
      <c r="A362" s="37"/>
      <c r="B362" s="38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</row>
    <row r="363" ht="18.0" customHeight="1">
      <c r="A363" s="37"/>
      <c r="B363" s="38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</row>
    <row r="364" ht="18.0" customHeight="1">
      <c r="A364" s="37"/>
      <c r="B364" s="38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</row>
    <row r="365" ht="18.0" customHeight="1">
      <c r="A365" s="37"/>
      <c r="B365" s="38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</row>
    <row r="366" ht="18.0" customHeight="1">
      <c r="A366" s="37"/>
      <c r="B366" s="38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</row>
    <row r="367" ht="18.0" customHeight="1">
      <c r="A367" s="37"/>
      <c r="B367" s="38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</row>
    <row r="368" ht="18.0" customHeight="1">
      <c r="A368" s="37"/>
      <c r="B368" s="38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</row>
    <row r="369" ht="18.0" customHeight="1">
      <c r="A369" s="37"/>
      <c r="B369" s="38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</row>
    <row r="370" ht="18.0" customHeight="1">
      <c r="A370" s="37"/>
      <c r="B370" s="38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</row>
    <row r="371" ht="18.0" customHeight="1">
      <c r="A371" s="37"/>
      <c r="B371" s="38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</row>
    <row r="372" ht="18.0" customHeight="1">
      <c r="A372" s="37"/>
      <c r="B372" s="38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</row>
    <row r="373" ht="18.0" customHeight="1">
      <c r="A373" s="37"/>
      <c r="B373" s="38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</row>
    <row r="374" ht="18.0" customHeight="1">
      <c r="A374" s="37"/>
      <c r="B374" s="38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</row>
    <row r="375" ht="18.0" customHeight="1">
      <c r="A375" s="37"/>
      <c r="B375" s="38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</row>
    <row r="376" ht="18.0" customHeight="1">
      <c r="A376" s="37"/>
      <c r="B376" s="38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</row>
    <row r="377" ht="18.0" customHeight="1">
      <c r="A377" s="37"/>
      <c r="B377" s="38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</row>
    <row r="378" ht="18.0" customHeight="1">
      <c r="A378" s="37"/>
      <c r="B378" s="38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</row>
    <row r="379" ht="18.0" customHeight="1">
      <c r="A379" s="37"/>
      <c r="B379" s="38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</row>
    <row r="380" ht="18.0" customHeight="1">
      <c r="A380" s="37"/>
      <c r="B380" s="38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</row>
    <row r="381" ht="18.0" customHeight="1">
      <c r="A381" s="37"/>
      <c r="B381" s="38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</row>
    <row r="382" ht="18.0" customHeight="1">
      <c r="A382" s="37"/>
      <c r="B382" s="38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</row>
    <row r="383" ht="18.0" customHeight="1">
      <c r="A383" s="37"/>
      <c r="B383" s="38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</row>
    <row r="384" ht="18.0" customHeight="1">
      <c r="A384" s="37"/>
      <c r="B384" s="38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</row>
    <row r="385" ht="18.0" customHeight="1">
      <c r="A385" s="37"/>
      <c r="B385" s="38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</row>
    <row r="386" ht="18.0" customHeight="1">
      <c r="A386" s="37"/>
      <c r="B386" s="38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</row>
    <row r="387" ht="18.0" customHeight="1">
      <c r="A387" s="37"/>
      <c r="B387" s="38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</row>
    <row r="388" ht="18.0" customHeight="1">
      <c r="A388" s="37"/>
      <c r="B388" s="38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</row>
    <row r="389" ht="18.0" customHeight="1">
      <c r="A389" s="37"/>
      <c r="B389" s="38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</row>
    <row r="390" ht="18.0" customHeight="1">
      <c r="A390" s="37"/>
      <c r="B390" s="38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</row>
    <row r="391" ht="18.0" customHeight="1">
      <c r="A391" s="37"/>
      <c r="B391" s="38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</row>
    <row r="392" ht="18.0" customHeight="1">
      <c r="A392" s="37"/>
      <c r="B392" s="38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</row>
    <row r="393" ht="18.0" customHeight="1">
      <c r="A393" s="37"/>
      <c r="B393" s="38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</row>
    <row r="394" ht="18.0" customHeight="1">
      <c r="A394" s="37"/>
      <c r="B394" s="38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</row>
    <row r="395" ht="18.0" customHeight="1">
      <c r="A395" s="37"/>
      <c r="B395" s="38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</row>
    <row r="396" ht="18.0" customHeight="1">
      <c r="A396" s="37"/>
      <c r="B396" s="38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</row>
    <row r="397" ht="18.0" customHeight="1">
      <c r="A397" s="37"/>
      <c r="B397" s="38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</row>
    <row r="398" ht="18.0" customHeight="1">
      <c r="A398" s="37"/>
      <c r="B398" s="38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</row>
    <row r="399" ht="18.0" customHeight="1">
      <c r="A399" s="37"/>
      <c r="B399" s="38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</row>
    <row r="400" ht="18.0" customHeight="1">
      <c r="A400" s="37"/>
      <c r="B400" s="38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</row>
    <row r="401" ht="18.0" customHeight="1">
      <c r="A401" s="37"/>
      <c r="B401" s="38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</row>
    <row r="402" ht="18.0" customHeight="1">
      <c r="A402" s="37"/>
      <c r="B402" s="38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</row>
    <row r="403" ht="18.0" customHeight="1">
      <c r="A403" s="37"/>
      <c r="B403" s="38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</row>
    <row r="404" ht="18.0" customHeight="1">
      <c r="A404" s="37"/>
      <c r="B404" s="38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</row>
    <row r="405" ht="18.0" customHeight="1">
      <c r="A405" s="37"/>
      <c r="B405" s="38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</row>
    <row r="406" ht="18.0" customHeight="1">
      <c r="A406" s="37"/>
      <c r="B406" s="38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</row>
    <row r="407" ht="18.0" customHeight="1">
      <c r="A407" s="37"/>
      <c r="B407" s="38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</row>
    <row r="408" ht="18.0" customHeight="1">
      <c r="A408" s="37"/>
      <c r="B408" s="38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</row>
    <row r="409" ht="18.0" customHeight="1">
      <c r="A409" s="37"/>
      <c r="B409" s="38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</row>
    <row r="410" ht="18.0" customHeight="1">
      <c r="A410" s="37"/>
      <c r="B410" s="38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</row>
    <row r="411" ht="18.0" customHeight="1">
      <c r="A411" s="37"/>
      <c r="B411" s="38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</row>
    <row r="412" ht="18.0" customHeight="1">
      <c r="A412" s="37"/>
      <c r="B412" s="38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</row>
    <row r="413" ht="18.0" customHeight="1">
      <c r="A413" s="37"/>
      <c r="B413" s="38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</row>
    <row r="414" ht="18.0" customHeight="1">
      <c r="A414" s="37"/>
      <c r="B414" s="38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</row>
    <row r="415" ht="18.0" customHeight="1">
      <c r="A415" s="37"/>
      <c r="B415" s="38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</row>
    <row r="416" ht="18.0" customHeight="1">
      <c r="A416" s="37"/>
      <c r="B416" s="38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</row>
    <row r="417" ht="18.0" customHeight="1">
      <c r="A417" s="37"/>
      <c r="B417" s="38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</row>
    <row r="418" ht="18.0" customHeight="1">
      <c r="A418" s="37"/>
      <c r="B418" s="38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</row>
    <row r="419" ht="18.0" customHeight="1">
      <c r="A419" s="37"/>
      <c r="B419" s="38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</row>
    <row r="420" ht="18.0" customHeight="1">
      <c r="A420" s="37"/>
      <c r="B420" s="38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</row>
    <row r="421" ht="18.0" customHeight="1">
      <c r="A421" s="37"/>
      <c r="B421" s="38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</row>
    <row r="422" ht="18.0" customHeight="1">
      <c r="A422" s="37"/>
      <c r="B422" s="38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</row>
    <row r="423" ht="18.0" customHeight="1">
      <c r="A423" s="37"/>
      <c r="B423" s="38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</row>
    <row r="424" ht="18.0" customHeight="1">
      <c r="A424" s="37"/>
      <c r="B424" s="38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</row>
    <row r="425" ht="18.0" customHeight="1">
      <c r="A425" s="37"/>
      <c r="B425" s="38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</row>
    <row r="426" ht="18.0" customHeight="1">
      <c r="A426" s="37"/>
      <c r="B426" s="38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</row>
    <row r="427" ht="18.0" customHeight="1">
      <c r="A427" s="37"/>
      <c r="B427" s="38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</row>
    <row r="428" ht="18.0" customHeight="1">
      <c r="A428" s="37"/>
      <c r="B428" s="38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</row>
    <row r="429" ht="18.0" customHeight="1">
      <c r="A429" s="37"/>
      <c r="B429" s="38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</row>
    <row r="430" ht="18.0" customHeight="1">
      <c r="A430" s="37"/>
      <c r="B430" s="38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</row>
    <row r="431" ht="18.0" customHeight="1">
      <c r="A431" s="37"/>
      <c r="B431" s="38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</row>
    <row r="432" ht="18.0" customHeight="1">
      <c r="A432" s="37"/>
      <c r="B432" s="38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</row>
    <row r="433" ht="18.0" customHeight="1">
      <c r="A433" s="37"/>
      <c r="B433" s="38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</row>
    <row r="434" ht="18.0" customHeight="1">
      <c r="A434" s="37"/>
      <c r="B434" s="38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</row>
    <row r="435" ht="18.0" customHeight="1">
      <c r="A435" s="37"/>
      <c r="B435" s="38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</row>
    <row r="436" ht="18.0" customHeight="1">
      <c r="A436" s="37"/>
      <c r="B436" s="38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</row>
    <row r="437" ht="18.0" customHeight="1">
      <c r="A437" s="37"/>
      <c r="B437" s="38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</row>
    <row r="438" ht="18.0" customHeight="1">
      <c r="A438" s="37"/>
      <c r="B438" s="38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</row>
    <row r="439" ht="18.0" customHeight="1">
      <c r="A439" s="37"/>
      <c r="B439" s="38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</row>
    <row r="440" ht="18.0" customHeight="1">
      <c r="A440" s="37"/>
      <c r="B440" s="38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</row>
    <row r="441" ht="18.0" customHeight="1">
      <c r="A441" s="37"/>
      <c r="B441" s="38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</row>
    <row r="442" ht="18.0" customHeight="1">
      <c r="A442" s="37"/>
      <c r="B442" s="38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</row>
    <row r="443" ht="18.0" customHeight="1">
      <c r="A443" s="37"/>
      <c r="B443" s="38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</row>
    <row r="444" ht="18.0" customHeight="1">
      <c r="A444" s="37"/>
      <c r="B444" s="38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</row>
    <row r="445" ht="18.0" customHeight="1">
      <c r="A445" s="37"/>
      <c r="B445" s="38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</row>
    <row r="446" ht="18.0" customHeight="1">
      <c r="A446" s="37"/>
      <c r="B446" s="38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</row>
    <row r="447" ht="18.0" customHeight="1">
      <c r="A447" s="37"/>
      <c r="B447" s="38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</row>
    <row r="448" ht="18.0" customHeight="1">
      <c r="A448" s="37"/>
      <c r="B448" s="38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</row>
    <row r="449" ht="18.0" customHeight="1">
      <c r="A449" s="37"/>
      <c r="B449" s="38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</row>
    <row r="450" ht="18.0" customHeight="1">
      <c r="A450" s="37"/>
      <c r="B450" s="38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</row>
    <row r="451" ht="18.0" customHeight="1">
      <c r="A451" s="37"/>
      <c r="B451" s="38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</row>
    <row r="452" ht="18.0" customHeight="1">
      <c r="A452" s="37"/>
      <c r="B452" s="38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</row>
    <row r="453" ht="18.0" customHeight="1">
      <c r="A453" s="37"/>
      <c r="B453" s="38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</row>
    <row r="454" ht="18.0" customHeight="1">
      <c r="A454" s="37"/>
      <c r="B454" s="38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</row>
    <row r="455" ht="18.0" customHeight="1">
      <c r="A455" s="37"/>
      <c r="B455" s="38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</row>
    <row r="456" ht="18.0" customHeight="1">
      <c r="A456" s="37"/>
      <c r="B456" s="38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</row>
    <row r="457" ht="18.0" customHeight="1">
      <c r="A457" s="37"/>
      <c r="B457" s="38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</row>
    <row r="458" ht="18.0" customHeight="1">
      <c r="A458" s="37"/>
      <c r="B458" s="38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</row>
    <row r="459" ht="18.0" customHeight="1">
      <c r="A459" s="37"/>
      <c r="B459" s="38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</row>
    <row r="460" ht="18.0" customHeight="1">
      <c r="A460" s="37"/>
      <c r="B460" s="38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</row>
    <row r="461" ht="18.0" customHeight="1">
      <c r="A461" s="37"/>
      <c r="B461" s="38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</row>
    <row r="462" ht="18.0" customHeight="1">
      <c r="A462" s="37"/>
      <c r="B462" s="38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</row>
    <row r="463" ht="18.0" customHeight="1">
      <c r="A463" s="37"/>
      <c r="B463" s="38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</row>
    <row r="464" ht="18.0" customHeight="1">
      <c r="A464" s="37"/>
      <c r="B464" s="38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</row>
    <row r="465" ht="18.0" customHeight="1">
      <c r="A465" s="37"/>
      <c r="B465" s="38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</row>
    <row r="466" ht="18.0" customHeight="1">
      <c r="A466" s="37"/>
      <c r="B466" s="38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</row>
    <row r="467" ht="18.0" customHeight="1">
      <c r="A467" s="37"/>
      <c r="B467" s="38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</row>
    <row r="468" ht="18.0" customHeight="1">
      <c r="A468" s="37"/>
      <c r="B468" s="38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</row>
    <row r="469" ht="18.0" customHeight="1">
      <c r="A469" s="37"/>
      <c r="B469" s="38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</row>
    <row r="470" ht="18.0" customHeight="1">
      <c r="A470" s="37"/>
      <c r="B470" s="38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</row>
    <row r="471" ht="18.0" customHeight="1">
      <c r="A471" s="37"/>
      <c r="B471" s="38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</row>
    <row r="472" ht="18.0" customHeight="1">
      <c r="A472" s="37"/>
      <c r="B472" s="38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</row>
    <row r="473" ht="18.0" customHeight="1">
      <c r="A473" s="37"/>
      <c r="B473" s="38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</row>
    <row r="474" ht="18.0" customHeight="1">
      <c r="A474" s="37"/>
      <c r="B474" s="38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</row>
    <row r="475" ht="18.0" customHeight="1">
      <c r="A475" s="37"/>
      <c r="B475" s="38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</row>
    <row r="476" ht="18.0" customHeight="1">
      <c r="A476" s="37"/>
      <c r="B476" s="38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</row>
    <row r="477" ht="18.0" customHeight="1">
      <c r="A477" s="37"/>
      <c r="B477" s="38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</row>
    <row r="478" ht="18.0" customHeight="1">
      <c r="A478" s="37"/>
      <c r="B478" s="38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</row>
    <row r="479" ht="18.0" customHeight="1">
      <c r="A479" s="37"/>
      <c r="B479" s="38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</row>
    <row r="480" ht="18.0" customHeight="1">
      <c r="A480" s="37"/>
      <c r="B480" s="38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</row>
    <row r="481" ht="18.0" customHeight="1">
      <c r="A481" s="37"/>
      <c r="B481" s="38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</row>
    <row r="482" ht="18.0" customHeight="1">
      <c r="A482" s="37"/>
      <c r="B482" s="38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</row>
    <row r="483" ht="18.0" customHeight="1">
      <c r="A483" s="37"/>
      <c r="B483" s="38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</row>
    <row r="484" ht="18.0" customHeight="1">
      <c r="A484" s="37"/>
      <c r="B484" s="38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</row>
    <row r="485" ht="18.0" customHeight="1">
      <c r="A485" s="37"/>
      <c r="B485" s="38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</row>
    <row r="486" ht="18.0" customHeight="1">
      <c r="A486" s="37"/>
      <c r="B486" s="38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</row>
    <row r="487" ht="18.0" customHeight="1">
      <c r="A487" s="37"/>
      <c r="B487" s="38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</row>
    <row r="488" ht="18.0" customHeight="1">
      <c r="A488" s="37"/>
      <c r="B488" s="38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</row>
    <row r="489" ht="18.0" customHeight="1">
      <c r="A489" s="37"/>
      <c r="B489" s="38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</row>
    <row r="490" ht="18.0" customHeight="1">
      <c r="A490" s="37"/>
      <c r="B490" s="38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</row>
    <row r="491" ht="18.0" customHeight="1">
      <c r="A491" s="37"/>
      <c r="B491" s="38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</row>
    <row r="492" ht="18.0" customHeight="1">
      <c r="A492" s="37"/>
      <c r="B492" s="38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</row>
    <row r="493" ht="18.0" customHeight="1">
      <c r="A493" s="37"/>
      <c r="B493" s="38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</row>
    <row r="494" ht="18.0" customHeight="1">
      <c r="A494" s="37"/>
      <c r="B494" s="38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</row>
    <row r="495" ht="18.0" customHeight="1">
      <c r="A495" s="37"/>
      <c r="B495" s="38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</row>
    <row r="496" ht="18.0" customHeight="1">
      <c r="A496" s="37"/>
      <c r="B496" s="38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</row>
    <row r="497" ht="18.0" customHeight="1">
      <c r="A497" s="37"/>
      <c r="B497" s="38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</row>
    <row r="498" ht="18.0" customHeight="1">
      <c r="A498" s="37"/>
      <c r="B498" s="38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</row>
    <row r="499" ht="18.0" customHeight="1">
      <c r="A499" s="37"/>
      <c r="B499" s="38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</row>
    <row r="500" ht="18.0" customHeight="1">
      <c r="A500" s="37"/>
      <c r="B500" s="38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</row>
    <row r="501" ht="18.0" customHeight="1">
      <c r="A501" s="37"/>
      <c r="B501" s="38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</row>
    <row r="502" ht="18.0" customHeight="1">
      <c r="A502" s="37"/>
      <c r="B502" s="38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</row>
    <row r="503" ht="18.0" customHeight="1">
      <c r="A503" s="37"/>
      <c r="B503" s="38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</row>
    <row r="504" ht="18.0" customHeight="1">
      <c r="A504" s="37"/>
      <c r="B504" s="38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</row>
    <row r="505" ht="18.0" customHeight="1">
      <c r="A505" s="37"/>
      <c r="B505" s="38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</row>
    <row r="506" ht="18.0" customHeight="1">
      <c r="A506" s="37"/>
      <c r="B506" s="38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</row>
    <row r="507" ht="18.0" customHeight="1">
      <c r="A507" s="37"/>
      <c r="B507" s="38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</row>
    <row r="508" ht="18.0" customHeight="1">
      <c r="A508" s="37"/>
      <c r="B508" s="38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</row>
    <row r="509" ht="18.0" customHeight="1">
      <c r="A509" s="37"/>
      <c r="B509" s="38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</row>
    <row r="510" ht="18.0" customHeight="1">
      <c r="A510" s="37"/>
      <c r="B510" s="38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</row>
    <row r="511" ht="18.0" customHeight="1">
      <c r="A511" s="37"/>
      <c r="B511" s="38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</row>
    <row r="512" ht="18.0" customHeight="1">
      <c r="A512" s="37"/>
      <c r="B512" s="38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</row>
    <row r="513" ht="18.0" customHeight="1">
      <c r="A513" s="37"/>
      <c r="B513" s="38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</row>
    <row r="514" ht="18.0" customHeight="1">
      <c r="A514" s="37"/>
      <c r="B514" s="38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</row>
    <row r="515" ht="18.0" customHeight="1">
      <c r="A515" s="37"/>
      <c r="B515" s="38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</row>
    <row r="516" ht="18.0" customHeight="1">
      <c r="A516" s="37"/>
      <c r="B516" s="38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</row>
    <row r="517" ht="18.0" customHeight="1">
      <c r="A517" s="37"/>
      <c r="B517" s="38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</row>
    <row r="518" ht="18.0" customHeight="1">
      <c r="A518" s="37"/>
      <c r="B518" s="38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</row>
    <row r="519" ht="18.0" customHeight="1">
      <c r="A519" s="37"/>
      <c r="B519" s="38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</row>
    <row r="520" ht="18.0" customHeight="1">
      <c r="A520" s="37"/>
      <c r="B520" s="38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</row>
    <row r="521" ht="18.0" customHeight="1">
      <c r="A521" s="37"/>
      <c r="B521" s="38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</row>
    <row r="522" ht="18.0" customHeight="1">
      <c r="A522" s="37"/>
      <c r="B522" s="38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</row>
    <row r="523" ht="18.0" customHeight="1">
      <c r="A523" s="37"/>
      <c r="B523" s="38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</row>
    <row r="524" ht="18.0" customHeight="1">
      <c r="A524" s="37"/>
      <c r="B524" s="38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</row>
    <row r="525" ht="18.0" customHeight="1">
      <c r="A525" s="37"/>
      <c r="B525" s="38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</row>
    <row r="526" ht="18.0" customHeight="1">
      <c r="A526" s="37"/>
      <c r="B526" s="38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</row>
    <row r="527" ht="18.0" customHeight="1">
      <c r="A527" s="37"/>
      <c r="B527" s="38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</row>
    <row r="528" ht="18.0" customHeight="1">
      <c r="A528" s="37"/>
      <c r="B528" s="38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</row>
    <row r="529" ht="18.0" customHeight="1">
      <c r="A529" s="37"/>
      <c r="B529" s="38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</row>
    <row r="530" ht="18.0" customHeight="1">
      <c r="A530" s="37"/>
      <c r="B530" s="38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</row>
    <row r="531" ht="18.0" customHeight="1">
      <c r="A531" s="37"/>
      <c r="B531" s="38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</row>
    <row r="532" ht="18.0" customHeight="1">
      <c r="A532" s="37"/>
      <c r="B532" s="38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</row>
    <row r="533" ht="18.0" customHeight="1">
      <c r="A533" s="37"/>
      <c r="B533" s="38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</row>
    <row r="534" ht="18.0" customHeight="1">
      <c r="A534" s="37"/>
      <c r="B534" s="38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</row>
    <row r="535" ht="18.0" customHeight="1">
      <c r="A535" s="37"/>
      <c r="B535" s="38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</row>
    <row r="536" ht="18.0" customHeight="1">
      <c r="A536" s="37"/>
      <c r="B536" s="38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</row>
    <row r="537" ht="18.0" customHeight="1">
      <c r="A537" s="37"/>
      <c r="B537" s="38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</row>
    <row r="538" ht="18.0" customHeight="1">
      <c r="A538" s="37"/>
      <c r="B538" s="38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</row>
    <row r="539" ht="18.0" customHeight="1">
      <c r="A539" s="37"/>
      <c r="B539" s="38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</row>
    <row r="540" ht="18.0" customHeight="1">
      <c r="A540" s="37"/>
      <c r="B540" s="38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</row>
    <row r="541" ht="18.0" customHeight="1">
      <c r="A541" s="37"/>
      <c r="B541" s="38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</row>
    <row r="542" ht="18.0" customHeight="1">
      <c r="A542" s="37"/>
      <c r="B542" s="38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</row>
    <row r="543" ht="18.0" customHeight="1">
      <c r="A543" s="37"/>
      <c r="B543" s="38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</row>
    <row r="544" ht="18.0" customHeight="1">
      <c r="A544" s="37"/>
      <c r="B544" s="38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</row>
    <row r="545" ht="18.0" customHeight="1">
      <c r="A545" s="37"/>
      <c r="B545" s="38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</row>
    <row r="546" ht="18.0" customHeight="1">
      <c r="A546" s="37"/>
      <c r="B546" s="38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</row>
    <row r="547" ht="18.0" customHeight="1">
      <c r="A547" s="37"/>
      <c r="B547" s="38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</row>
    <row r="548" ht="18.0" customHeight="1">
      <c r="A548" s="37"/>
      <c r="B548" s="38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</row>
    <row r="549" ht="18.0" customHeight="1">
      <c r="A549" s="37"/>
      <c r="B549" s="38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</row>
    <row r="550" ht="18.0" customHeight="1">
      <c r="A550" s="37"/>
      <c r="B550" s="38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</row>
    <row r="551" ht="18.0" customHeight="1">
      <c r="A551" s="37"/>
      <c r="B551" s="38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</row>
    <row r="552" ht="18.0" customHeight="1">
      <c r="A552" s="37"/>
      <c r="B552" s="38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</row>
    <row r="553" ht="18.0" customHeight="1">
      <c r="A553" s="37"/>
      <c r="B553" s="38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</row>
    <row r="554" ht="18.0" customHeight="1">
      <c r="A554" s="37"/>
      <c r="B554" s="38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</row>
    <row r="555" ht="18.0" customHeight="1">
      <c r="A555" s="37"/>
      <c r="B555" s="38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</row>
    <row r="556" ht="18.0" customHeight="1">
      <c r="A556" s="37"/>
      <c r="B556" s="38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</row>
    <row r="557" ht="18.0" customHeight="1">
      <c r="A557" s="37"/>
      <c r="B557" s="38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</row>
    <row r="558" ht="18.0" customHeight="1">
      <c r="A558" s="37"/>
      <c r="B558" s="38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</row>
    <row r="559" ht="18.0" customHeight="1">
      <c r="A559" s="37"/>
      <c r="B559" s="38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</row>
    <row r="560" ht="18.0" customHeight="1">
      <c r="A560" s="37"/>
      <c r="B560" s="38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</row>
    <row r="561" ht="18.0" customHeight="1">
      <c r="A561" s="37"/>
      <c r="B561" s="38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</row>
    <row r="562" ht="18.0" customHeight="1">
      <c r="A562" s="37"/>
      <c r="B562" s="38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</row>
    <row r="563" ht="18.0" customHeight="1">
      <c r="A563" s="37"/>
      <c r="B563" s="38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</row>
    <row r="564" ht="18.0" customHeight="1">
      <c r="A564" s="37"/>
      <c r="B564" s="38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</row>
    <row r="565" ht="18.0" customHeight="1">
      <c r="A565" s="37"/>
      <c r="B565" s="38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</row>
    <row r="566" ht="18.0" customHeight="1">
      <c r="A566" s="37"/>
      <c r="B566" s="38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</row>
    <row r="567" ht="18.0" customHeight="1">
      <c r="A567" s="37"/>
      <c r="B567" s="38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</row>
    <row r="568" ht="18.0" customHeight="1">
      <c r="A568" s="37"/>
      <c r="B568" s="38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</row>
    <row r="569" ht="18.0" customHeight="1">
      <c r="A569" s="37"/>
      <c r="B569" s="38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</row>
    <row r="570" ht="18.0" customHeight="1">
      <c r="A570" s="37"/>
      <c r="B570" s="38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</row>
    <row r="571" ht="18.0" customHeight="1">
      <c r="A571" s="37"/>
      <c r="B571" s="38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</row>
    <row r="572" ht="18.0" customHeight="1">
      <c r="A572" s="37"/>
      <c r="B572" s="38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</row>
    <row r="573" ht="18.0" customHeight="1">
      <c r="A573" s="37"/>
      <c r="B573" s="38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</row>
    <row r="574" ht="18.0" customHeight="1">
      <c r="A574" s="37"/>
      <c r="B574" s="38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</row>
    <row r="575" ht="18.0" customHeight="1">
      <c r="A575" s="37"/>
      <c r="B575" s="38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</row>
    <row r="576" ht="18.0" customHeight="1">
      <c r="A576" s="37"/>
      <c r="B576" s="38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</row>
    <row r="577" ht="18.0" customHeight="1">
      <c r="A577" s="37"/>
      <c r="B577" s="38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</row>
    <row r="578" ht="18.0" customHeight="1">
      <c r="A578" s="37"/>
      <c r="B578" s="38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</row>
    <row r="579" ht="18.0" customHeight="1">
      <c r="A579" s="37"/>
      <c r="B579" s="38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</row>
    <row r="580" ht="18.0" customHeight="1">
      <c r="A580" s="37"/>
      <c r="B580" s="38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</row>
    <row r="581" ht="18.0" customHeight="1">
      <c r="A581" s="37"/>
      <c r="B581" s="38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</row>
    <row r="582" ht="18.0" customHeight="1">
      <c r="A582" s="37"/>
      <c r="B582" s="38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</row>
    <row r="583" ht="18.0" customHeight="1">
      <c r="A583" s="37"/>
      <c r="B583" s="38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</row>
    <row r="584" ht="18.0" customHeight="1">
      <c r="A584" s="37"/>
      <c r="B584" s="38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</row>
    <row r="585" ht="18.0" customHeight="1">
      <c r="A585" s="37"/>
      <c r="B585" s="38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</row>
    <row r="586" ht="18.0" customHeight="1">
      <c r="A586" s="37"/>
      <c r="B586" s="38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</row>
    <row r="587" ht="18.0" customHeight="1">
      <c r="A587" s="37"/>
      <c r="B587" s="38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</row>
    <row r="588" ht="18.0" customHeight="1">
      <c r="A588" s="37"/>
      <c r="B588" s="38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</row>
    <row r="589" ht="18.0" customHeight="1">
      <c r="A589" s="37"/>
      <c r="B589" s="38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</row>
    <row r="590" ht="18.0" customHeight="1">
      <c r="A590" s="37"/>
      <c r="B590" s="38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</row>
    <row r="591" ht="18.0" customHeight="1">
      <c r="A591" s="37"/>
      <c r="B591" s="38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</row>
    <row r="592" ht="18.0" customHeight="1">
      <c r="A592" s="37"/>
      <c r="B592" s="38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</row>
    <row r="593" ht="18.0" customHeight="1">
      <c r="A593" s="37"/>
      <c r="B593" s="38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</row>
    <row r="594" ht="18.0" customHeight="1">
      <c r="A594" s="37"/>
      <c r="B594" s="38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</row>
    <row r="595" ht="18.0" customHeight="1">
      <c r="A595" s="37"/>
      <c r="B595" s="38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</row>
    <row r="596" ht="18.0" customHeight="1">
      <c r="A596" s="37"/>
      <c r="B596" s="38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</row>
    <row r="597" ht="18.0" customHeight="1">
      <c r="A597" s="37"/>
      <c r="B597" s="38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</row>
    <row r="598" ht="18.0" customHeight="1">
      <c r="A598" s="37"/>
      <c r="B598" s="38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</row>
    <row r="599" ht="18.0" customHeight="1">
      <c r="A599" s="37"/>
      <c r="B599" s="38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</row>
    <row r="600" ht="18.0" customHeight="1">
      <c r="A600" s="37"/>
      <c r="B600" s="38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</row>
    <row r="601" ht="18.0" customHeight="1">
      <c r="A601" s="37"/>
      <c r="B601" s="38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</row>
    <row r="602" ht="18.0" customHeight="1">
      <c r="A602" s="37"/>
      <c r="B602" s="38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</row>
    <row r="603" ht="18.0" customHeight="1">
      <c r="A603" s="37"/>
      <c r="B603" s="38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</row>
    <row r="604" ht="18.0" customHeight="1">
      <c r="A604" s="37"/>
      <c r="B604" s="38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</row>
    <row r="605" ht="18.0" customHeight="1">
      <c r="A605" s="37"/>
      <c r="B605" s="38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</row>
    <row r="606" ht="18.0" customHeight="1">
      <c r="A606" s="37"/>
      <c r="B606" s="38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</row>
    <row r="607" ht="18.0" customHeight="1">
      <c r="A607" s="37"/>
      <c r="B607" s="38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</row>
    <row r="608" ht="18.0" customHeight="1">
      <c r="A608" s="37"/>
      <c r="B608" s="38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</row>
    <row r="609" ht="18.0" customHeight="1">
      <c r="A609" s="37"/>
      <c r="B609" s="38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</row>
    <row r="610" ht="18.0" customHeight="1">
      <c r="A610" s="37"/>
      <c r="B610" s="38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</row>
    <row r="611" ht="18.0" customHeight="1">
      <c r="A611" s="37"/>
      <c r="B611" s="38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</row>
    <row r="612" ht="18.0" customHeight="1">
      <c r="A612" s="37"/>
      <c r="B612" s="38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</row>
    <row r="613" ht="18.0" customHeight="1">
      <c r="A613" s="37"/>
      <c r="B613" s="38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</row>
    <row r="614" ht="18.0" customHeight="1">
      <c r="A614" s="37"/>
      <c r="B614" s="38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</row>
    <row r="615" ht="18.0" customHeight="1">
      <c r="A615" s="37"/>
      <c r="B615" s="38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</row>
    <row r="616" ht="18.0" customHeight="1">
      <c r="A616" s="37"/>
      <c r="B616" s="38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</row>
    <row r="617" ht="18.0" customHeight="1">
      <c r="A617" s="37"/>
      <c r="B617" s="38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</row>
    <row r="618" ht="18.0" customHeight="1">
      <c r="A618" s="37"/>
      <c r="B618" s="38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</row>
    <row r="619" ht="18.0" customHeight="1">
      <c r="A619" s="37"/>
      <c r="B619" s="38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</row>
    <row r="620" ht="18.0" customHeight="1">
      <c r="A620" s="37"/>
      <c r="B620" s="38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</row>
    <row r="621" ht="18.0" customHeight="1">
      <c r="A621" s="37"/>
      <c r="B621" s="38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</row>
    <row r="622" ht="18.0" customHeight="1">
      <c r="A622" s="37"/>
      <c r="B622" s="38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</row>
    <row r="623" ht="18.0" customHeight="1">
      <c r="A623" s="37"/>
      <c r="B623" s="38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</row>
    <row r="624" ht="18.0" customHeight="1">
      <c r="A624" s="37"/>
      <c r="B624" s="38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</row>
    <row r="625" ht="18.0" customHeight="1">
      <c r="A625" s="37"/>
      <c r="B625" s="38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</row>
    <row r="626" ht="18.0" customHeight="1">
      <c r="A626" s="37"/>
      <c r="B626" s="38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</row>
    <row r="627" ht="18.0" customHeight="1">
      <c r="A627" s="37"/>
      <c r="B627" s="38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</row>
    <row r="628" ht="18.0" customHeight="1">
      <c r="A628" s="37"/>
      <c r="B628" s="38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</row>
    <row r="629" ht="18.0" customHeight="1">
      <c r="A629" s="37"/>
      <c r="B629" s="38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</row>
    <row r="630" ht="18.0" customHeight="1">
      <c r="A630" s="37"/>
      <c r="B630" s="38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</row>
    <row r="631" ht="18.0" customHeight="1">
      <c r="A631" s="37"/>
      <c r="B631" s="38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</row>
    <row r="632" ht="18.0" customHeight="1">
      <c r="A632" s="37"/>
      <c r="B632" s="38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</row>
    <row r="633" ht="18.0" customHeight="1">
      <c r="A633" s="37"/>
      <c r="B633" s="38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</row>
    <row r="634" ht="18.0" customHeight="1">
      <c r="A634" s="37"/>
      <c r="B634" s="38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</row>
    <row r="635" ht="18.0" customHeight="1">
      <c r="A635" s="37"/>
      <c r="B635" s="38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</row>
    <row r="636" ht="18.0" customHeight="1">
      <c r="A636" s="37"/>
      <c r="B636" s="38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</row>
    <row r="637" ht="18.0" customHeight="1">
      <c r="A637" s="37"/>
      <c r="B637" s="38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</row>
    <row r="638" ht="18.0" customHeight="1">
      <c r="A638" s="37"/>
      <c r="B638" s="38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</row>
    <row r="639" ht="18.0" customHeight="1">
      <c r="A639" s="37"/>
      <c r="B639" s="38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</row>
    <row r="640" ht="18.0" customHeight="1">
      <c r="A640" s="37"/>
      <c r="B640" s="38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</row>
    <row r="641" ht="18.0" customHeight="1">
      <c r="A641" s="37"/>
      <c r="B641" s="38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</row>
    <row r="642" ht="18.0" customHeight="1">
      <c r="A642" s="37"/>
      <c r="B642" s="38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</row>
    <row r="643" ht="18.0" customHeight="1">
      <c r="A643" s="37"/>
      <c r="B643" s="38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</row>
    <row r="644" ht="18.0" customHeight="1">
      <c r="A644" s="37"/>
      <c r="B644" s="38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</row>
    <row r="645" ht="18.0" customHeight="1">
      <c r="A645" s="37"/>
      <c r="B645" s="38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</row>
    <row r="646" ht="18.0" customHeight="1">
      <c r="A646" s="37"/>
      <c r="B646" s="38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</row>
    <row r="647" ht="18.0" customHeight="1">
      <c r="A647" s="37"/>
      <c r="B647" s="38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</row>
    <row r="648" ht="18.0" customHeight="1">
      <c r="A648" s="37"/>
      <c r="B648" s="38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</row>
    <row r="649" ht="18.0" customHeight="1">
      <c r="A649" s="37"/>
      <c r="B649" s="38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</row>
    <row r="650" ht="18.0" customHeight="1">
      <c r="A650" s="37"/>
      <c r="B650" s="38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</row>
    <row r="651" ht="18.0" customHeight="1">
      <c r="A651" s="37"/>
      <c r="B651" s="38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</row>
    <row r="652" ht="18.0" customHeight="1">
      <c r="A652" s="37"/>
      <c r="B652" s="38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</row>
    <row r="653" ht="18.0" customHeight="1">
      <c r="A653" s="37"/>
      <c r="B653" s="38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</row>
    <row r="654" ht="18.0" customHeight="1">
      <c r="A654" s="37"/>
      <c r="B654" s="38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</row>
    <row r="655" ht="18.0" customHeight="1">
      <c r="A655" s="37"/>
      <c r="B655" s="38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</row>
    <row r="656" ht="18.0" customHeight="1">
      <c r="A656" s="37"/>
      <c r="B656" s="38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</row>
    <row r="657" ht="18.0" customHeight="1">
      <c r="A657" s="37"/>
      <c r="B657" s="38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</row>
    <row r="658" ht="18.0" customHeight="1">
      <c r="A658" s="37"/>
      <c r="B658" s="38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</row>
    <row r="659" ht="18.0" customHeight="1">
      <c r="A659" s="37"/>
      <c r="B659" s="38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</row>
    <row r="660" ht="18.0" customHeight="1">
      <c r="A660" s="37"/>
      <c r="B660" s="38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</row>
    <row r="661" ht="18.0" customHeight="1">
      <c r="A661" s="37"/>
      <c r="B661" s="38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</row>
    <row r="662" ht="18.0" customHeight="1">
      <c r="A662" s="37"/>
      <c r="B662" s="38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</row>
    <row r="663" ht="18.0" customHeight="1">
      <c r="A663" s="37"/>
      <c r="B663" s="38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</row>
    <row r="664" ht="18.0" customHeight="1">
      <c r="A664" s="37"/>
      <c r="B664" s="38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</row>
    <row r="665" ht="18.0" customHeight="1">
      <c r="A665" s="37"/>
      <c r="B665" s="38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</row>
    <row r="666" ht="18.0" customHeight="1">
      <c r="A666" s="37"/>
      <c r="B666" s="38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</row>
    <row r="667" ht="18.0" customHeight="1">
      <c r="A667" s="37"/>
      <c r="B667" s="38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</row>
    <row r="668" ht="18.0" customHeight="1">
      <c r="A668" s="37"/>
      <c r="B668" s="38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</row>
    <row r="669" ht="18.0" customHeight="1">
      <c r="A669" s="37"/>
      <c r="B669" s="38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</row>
    <row r="670" ht="18.0" customHeight="1">
      <c r="A670" s="37"/>
      <c r="B670" s="38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</row>
    <row r="671" ht="18.0" customHeight="1">
      <c r="A671" s="37"/>
      <c r="B671" s="38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</row>
    <row r="672" ht="18.0" customHeight="1">
      <c r="A672" s="37"/>
      <c r="B672" s="38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</row>
    <row r="673" ht="18.0" customHeight="1">
      <c r="A673" s="37"/>
      <c r="B673" s="38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</row>
    <row r="674" ht="18.0" customHeight="1">
      <c r="A674" s="37"/>
      <c r="B674" s="38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</row>
    <row r="675" ht="18.0" customHeight="1">
      <c r="A675" s="37"/>
      <c r="B675" s="38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</row>
    <row r="676" ht="18.0" customHeight="1">
      <c r="A676" s="37"/>
      <c r="B676" s="38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</row>
    <row r="677" ht="18.0" customHeight="1">
      <c r="A677" s="37"/>
      <c r="B677" s="38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</row>
    <row r="678" ht="18.0" customHeight="1">
      <c r="A678" s="37"/>
      <c r="B678" s="38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</row>
    <row r="679" ht="18.0" customHeight="1">
      <c r="A679" s="37"/>
      <c r="B679" s="38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</row>
    <row r="680" ht="18.0" customHeight="1">
      <c r="A680" s="37"/>
      <c r="B680" s="38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</row>
    <row r="681" ht="18.0" customHeight="1">
      <c r="A681" s="37"/>
      <c r="B681" s="38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</row>
    <row r="682" ht="18.0" customHeight="1">
      <c r="A682" s="37"/>
      <c r="B682" s="38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</row>
    <row r="683" ht="18.0" customHeight="1">
      <c r="A683" s="37"/>
      <c r="B683" s="38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</row>
    <row r="684" ht="18.0" customHeight="1">
      <c r="A684" s="37"/>
      <c r="B684" s="38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</row>
    <row r="685" ht="18.0" customHeight="1">
      <c r="A685" s="37"/>
      <c r="B685" s="38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</row>
    <row r="686" ht="18.0" customHeight="1">
      <c r="A686" s="37"/>
      <c r="B686" s="38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</row>
    <row r="687" ht="18.0" customHeight="1">
      <c r="A687" s="37"/>
      <c r="B687" s="38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</row>
    <row r="688" ht="18.0" customHeight="1">
      <c r="A688" s="37"/>
      <c r="B688" s="38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</row>
    <row r="689" ht="18.0" customHeight="1">
      <c r="A689" s="37"/>
      <c r="B689" s="38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</row>
    <row r="690" ht="18.0" customHeight="1">
      <c r="A690" s="37"/>
      <c r="B690" s="38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</row>
    <row r="691" ht="18.0" customHeight="1">
      <c r="A691" s="37"/>
      <c r="B691" s="38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</row>
    <row r="692" ht="18.0" customHeight="1">
      <c r="A692" s="37"/>
      <c r="B692" s="38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</row>
    <row r="693" ht="18.0" customHeight="1">
      <c r="A693" s="37"/>
      <c r="B693" s="38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</row>
    <row r="694" ht="18.0" customHeight="1">
      <c r="A694" s="37"/>
      <c r="B694" s="38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</row>
    <row r="695" ht="18.0" customHeight="1">
      <c r="A695" s="37"/>
      <c r="B695" s="38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</row>
    <row r="696" ht="18.0" customHeight="1">
      <c r="A696" s="37"/>
      <c r="B696" s="38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</row>
    <row r="697" ht="18.0" customHeight="1">
      <c r="A697" s="37"/>
      <c r="B697" s="38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</row>
    <row r="698" ht="18.0" customHeight="1">
      <c r="A698" s="37"/>
      <c r="B698" s="38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</row>
    <row r="699" ht="18.0" customHeight="1">
      <c r="A699" s="37"/>
      <c r="B699" s="38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</row>
    <row r="700" ht="18.0" customHeight="1">
      <c r="A700" s="37"/>
      <c r="B700" s="38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</row>
    <row r="701" ht="18.0" customHeight="1">
      <c r="A701" s="37"/>
      <c r="B701" s="38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</row>
    <row r="702" ht="18.0" customHeight="1">
      <c r="A702" s="37"/>
      <c r="B702" s="38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</row>
    <row r="703" ht="18.0" customHeight="1">
      <c r="A703" s="37"/>
      <c r="B703" s="38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</row>
    <row r="704" ht="18.0" customHeight="1">
      <c r="A704" s="37"/>
      <c r="B704" s="38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</row>
    <row r="705" ht="18.0" customHeight="1">
      <c r="A705" s="37"/>
      <c r="B705" s="38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</row>
    <row r="706" ht="18.0" customHeight="1">
      <c r="A706" s="37"/>
      <c r="B706" s="38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</row>
    <row r="707" ht="18.0" customHeight="1">
      <c r="A707" s="37"/>
      <c r="B707" s="38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</row>
    <row r="708" ht="18.0" customHeight="1">
      <c r="A708" s="37"/>
      <c r="B708" s="38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</row>
    <row r="709" ht="18.0" customHeight="1">
      <c r="A709" s="37"/>
      <c r="B709" s="38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</row>
    <row r="710" ht="18.0" customHeight="1">
      <c r="A710" s="37"/>
      <c r="B710" s="38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</row>
    <row r="711" ht="18.0" customHeight="1">
      <c r="A711" s="37"/>
      <c r="B711" s="38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</row>
    <row r="712" ht="18.0" customHeight="1">
      <c r="A712" s="37"/>
      <c r="B712" s="38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</row>
    <row r="713" ht="18.0" customHeight="1">
      <c r="A713" s="37"/>
      <c r="B713" s="38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</row>
    <row r="714" ht="18.0" customHeight="1">
      <c r="A714" s="37"/>
      <c r="B714" s="38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</row>
    <row r="715" ht="18.0" customHeight="1">
      <c r="A715" s="37"/>
      <c r="B715" s="38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</row>
    <row r="716" ht="18.0" customHeight="1">
      <c r="A716" s="37"/>
      <c r="B716" s="38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</row>
    <row r="717" ht="18.0" customHeight="1">
      <c r="A717" s="37"/>
      <c r="B717" s="38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</row>
    <row r="718" ht="18.0" customHeight="1">
      <c r="A718" s="37"/>
      <c r="B718" s="38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</row>
    <row r="719" ht="18.0" customHeight="1">
      <c r="A719" s="37"/>
      <c r="B719" s="38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</row>
    <row r="720" ht="18.0" customHeight="1">
      <c r="A720" s="37"/>
      <c r="B720" s="38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</row>
    <row r="721" ht="18.0" customHeight="1">
      <c r="A721" s="37"/>
      <c r="B721" s="38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</row>
    <row r="722" ht="18.0" customHeight="1">
      <c r="A722" s="37"/>
      <c r="B722" s="38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</row>
    <row r="723" ht="18.0" customHeight="1">
      <c r="A723" s="37"/>
      <c r="B723" s="38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</row>
    <row r="724" ht="18.0" customHeight="1">
      <c r="A724" s="37"/>
      <c r="B724" s="38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</row>
    <row r="725" ht="18.0" customHeight="1">
      <c r="A725" s="37"/>
      <c r="B725" s="38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</row>
    <row r="726" ht="18.0" customHeight="1">
      <c r="A726" s="37"/>
      <c r="B726" s="38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</row>
    <row r="727" ht="18.0" customHeight="1">
      <c r="A727" s="37"/>
      <c r="B727" s="38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</row>
    <row r="728" ht="18.0" customHeight="1">
      <c r="A728" s="37"/>
      <c r="B728" s="38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</row>
    <row r="729" ht="18.0" customHeight="1">
      <c r="A729" s="37"/>
      <c r="B729" s="38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</row>
    <row r="730" ht="18.0" customHeight="1">
      <c r="A730" s="37"/>
      <c r="B730" s="38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</row>
    <row r="731" ht="18.0" customHeight="1">
      <c r="A731" s="37"/>
      <c r="B731" s="38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</row>
    <row r="732" ht="18.0" customHeight="1">
      <c r="A732" s="37"/>
      <c r="B732" s="38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</row>
    <row r="733" ht="18.0" customHeight="1">
      <c r="A733" s="37"/>
      <c r="B733" s="38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</row>
    <row r="734" ht="18.0" customHeight="1">
      <c r="A734" s="37"/>
      <c r="B734" s="38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</row>
    <row r="735" ht="18.0" customHeight="1">
      <c r="A735" s="37"/>
      <c r="B735" s="38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</row>
    <row r="736" ht="18.0" customHeight="1">
      <c r="A736" s="37"/>
      <c r="B736" s="38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</row>
    <row r="737" ht="18.0" customHeight="1">
      <c r="A737" s="37"/>
      <c r="B737" s="38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</row>
    <row r="738" ht="18.0" customHeight="1">
      <c r="A738" s="37"/>
      <c r="B738" s="38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</row>
    <row r="739" ht="18.0" customHeight="1">
      <c r="A739" s="37"/>
      <c r="B739" s="38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</row>
    <row r="740" ht="18.0" customHeight="1">
      <c r="A740" s="37"/>
      <c r="B740" s="38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</row>
    <row r="741" ht="18.0" customHeight="1">
      <c r="A741" s="37"/>
      <c r="B741" s="38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</row>
    <row r="742" ht="18.0" customHeight="1">
      <c r="A742" s="37"/>
      <c r="B742" s="38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</row>
    <row r="743" ht="18.0" customHeight="1">
      <c r="A743" s="37"/>
      <c r="B743" s="38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</row>
    <row r="744" ht="18.0" customHeight="1">
      <c r="A744" s="37"/>
      <c r="B744" s="38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</row>
    <row r="745" ht="18.0" customHeight="1">
      <c r="A745" s="37"/>
      <c r="B745" s="38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</row>
    <row r="746" ht="18.0" customHeight="1">
      <c r="A746" s="37"/>
      <c r="B746" s="38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</row>
    <row r="747" ht="18.0" customHeight="1">
      <c r="A747" s="37"/>
      <c r="B747" s="38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</row>
    <row r="748" ht="18.0" customHeight="1">
      <c r="A748" s="37"/>
      <c r="B748" s="38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</row>
    <row r="749" ht="18.0" customHeight="1">
      <c r="A749" s="37"/>
      <c r="B749" s="38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</row>
    <row r="750" ht="18.0" customHeight="1">
      <c r="A750" s="37"/>
      <c r="B750" s="38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</row>
    <row r="751" ht="18.0" customHeight="1">
      <c r="A751" s="37"/>
      <c r="B751" s="38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</row>
    <row r="752" ht="18.0" customHeight="1">
      <c r="A752" s="37"/>
      <c r="B752" s="38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</row>
    <row r="753" ht="18.0" customHeight="1">
      <c r="A753" s="37"/>
      <c r="B753" s="38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</row>
    <row r="754" ht="18.0" customHeight="1">
      <c r="A754" s="37"/>
      <c r="B754" s="38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</row>
    <row r="755" ht="18.0" customHeight="1">
      <c r="A755" s="37"/>
      <c r="B755" s="38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</row>
    <row r="756" ht="18.0" customHeight="1">
      <c r="A756" s="37"/>
      <c r="B756" s="38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</row>
    <row r="757" ht="18.0" customHeight="1">
      <c r="A757" s="37"/>
      <c r="B757" s="38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</row>
    <row r="758" ht="18.0" customHeight="1">
      <c r="A758" s="37"/>
      <c r="B758" s="38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</row>
    <row r="759" ht="18.0" customHeight="1">
      <c r="A759" s="37"/>
      <c r="B759" s="38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</row>
    <row r="760" ht="18.0" customHeight="1">
      <c r="A760" s="37"/>
      <c r="B760" s="38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</row>
    <row r="761" ht="18.0" customHeight="1">
      <c r="A761" s="37"/>
      <c r="B761" s="38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</row>
    <row r="762" ht="18.0" customHeight="1">
      <c r="A762" s="37"/>
      <c r="B762" s="38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</row>
    <row r="763" ht="18.0" customHeight="1">
      <c r="A763" s="37"/>
      <c r="B763" s="38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</row>
    <row r="764" ht="18.0" customHeight="1">
      <c r="A764" s="37"/>
      <c r="B764" s="38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</row>
    <row r="765" ht="18.0" customHeight="1">
      <c r="A765" s="37"/>
      <c r="B765" s="38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</row>
    <row r="766" ht="18.0" customHeight="1">
      <c r="A766" s="37"/>
      <c r="B766" s="38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</row>
    <row r="767" ht="18.0" customHeight="1">
      <c r="A767" s="37"/>
      <c r="B767" s="38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</row>
    <row r="768" ht="18.0" customHeight="1">
      <c r="A768" s="37"/>
      <c r="B768" s="38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</row>
    <row r="769" ht="18.0" customHeight="1">
      <c r="A769" s="37"/>
      <c r="B769" s="38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</row>
    <row r="770" ht="18.0" customHeight="1">
      <c r="A770" s="37"/>
      <c r="B770" s="38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</row>
    <row r="771" ht="18.0" customHeight="1">
      <c r="A771" s="37"/>
      <c r="B771" s="38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</row>
    <row r="772" ht="18.0" customHeight="1">
      <c r="A772" s="37"/>
      <c r="B772" s="38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</row>
    <row r="773" ht="18.0" customHeight="1">
      <c r="A773" s="37"/>
      <c r="B773" s="38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</row>
    <row r="774" ht="18.0" customHeight="1">
      <c r="A774" s="37"/>
      <c r="B774" s="38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</row>
    <row r="775" ht="18.0" customHeight="1">
      <c r="A775" s="37"/>
      <c r="B775" s="38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</row>
    <row r="776" ht="18.0" customHeight="1">
      <c r="A776" s="37"/>
      <c r="B776" s="38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</row>
    <row r="777" ht="18.0" customHeight="1">
      <c r="A777" s="37"/>
      <c r="B777" s="38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</row>
    <row r="778" ht="18.0" customHeight="1">
      <c r="A778" s="37"/>
      <c r="B778" s="38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</row>
    <row r="779" ht="18.0" customHeight="1">
      <c r="A779" s="37"/>
      <c r="B779" s="38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</row>
    <row r="780" ht="18.0" customHeight="1">
      <c r="A780" s="37"/>
      <c r="B780" s="38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</row>
    <row r="781" ht="18.0" customHeight="1">
      <c r="A781" s="37"/>
      <c r="B781" s="38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</row>
    <row r="782" ht="18.0" customHeight="1">
      <c r="A782" s="37"/>
      <c r="B782" s="38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</row>
    <row r="783" ht="18.0" customHeight="1">
      <c r="A783" s="37"/>
      <c r="B783" s="38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</row>
    <row r="784" ht="18.0" customHeight="1">
      <c r="A784" s="37"/>
      <c r="B784" s="38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</row>
    <row r="785" ht="18.0" customHeight="1">
      <c r="A785" s="37"/>
      <c r="B785" s="38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</row>
    <row r="786" ht="18.0" customHeight="1">
      <c r="A786" s="37"/>
      <c r="B786" s="38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</row>
    <row r="787" ht="18.0" customHeight="1">
      <c r="A787" s="37"/>
      <c r="B787" s="38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</row>
    <row r="788" ht="18.0" customHeight="1">
      <c r="A788" s="37"/>
      <c r="B788" s="38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</row>
    <row r="789" ht="18.0" customHeight="1">
      <c r="A789" s="37"/>
      <c r="B789" s="38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</row>
    <row r="790" ht="18.0" customHeight="1">
      <c r="A790" s="37"/>
      <c r="B790" s="38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</row>
    <row r="791" ht="18.0" customHeight="1">
      <c r="A791" s="37"/>
      <c r="B791" s="38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</row>
    <row r="792" ht="18.0" customHeight="1">
      <c r="A792" s="37"/>
      <c r="B792" s="38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</row>
    <row r="793" ht="18.0" customHeight="1">
      <c r="A793" s="37"/>
      <c r="B793" s="38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</row>
    <row r="794" ht="18.0" customHeight="1">
      <c r="A794" s="37"/>
      <c r="B794" s="38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</row>
    <row r="795" ht="18.0" customHeight="1">
      <c r="A795" s="37"/>
      <c r="B795" s="38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</row>
    <row r="796" ht="18.0" customHeight="1">
      <c r="A796" s="37"/>
      <c r="B796" s="38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</row>
    <row r="797" ht="18.0" customHeight="1">
      <c r="A797" s="37"/>
      <c r="B797" s="38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</row>
    <row r="798" ht="18.0" customHeight="1">
      <c r="A798" s="37"/>
      <c r="B798" s="38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</row>
    <row r="799" ht="18.0" customHeight="1">
      <c r="A799" s="37"/>
      <c r="B799" s="38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</row>
    <row r="800" ht="18.0" customHeight="1">
      <c r="A800" s="37"/>
      <c r="B800" s="38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</row>
    <row r="801" ht="18.0" customHeight="1">
      <c r="A801" s="37"/>
      <c r="B801" s="38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</row>
    <row r="802" ht="18.0" customHeight="1">
      <c r="A802" s="37"/>
      <c r="B802" s="38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</row>
    <row r="803" ht="18.0" customHeight="1">
      <c r="A803" s="37"/>
      <c r="B803" s="38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</row>
    <row r="804" ht="18.0" customHeight="1">
      <c r="A804" s="37"/>
      <c r="B804" s="38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</row>
    <row r="805" ht="18.0" customHeight="1">
      <c r="A805" s="37"/>
      <c r="B805" s="38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</row>
    <row r="806" ht="18.0" customHeight="1">
      <c r="A806" s="37"/>
      <c r="B806" s="38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</row>
    <row r="807" ht="18.0" customHeight="1">
      <c r="A807" s="37"/>
      <c r="B807" s="38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</row>
    <row r="808" ht="18.0" customHeight="1">
      <c r="A808" s="37"/>
      <c r="B808" s="38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</row>
    <row r="809" ht="18.0" customHeight="1">
      <c r="A809" s="37"/>
      <c r="B809" s="38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</row>
    <row r="810" ht="18.0" customHeight="1">
      <c r="A810" s="37"/>
      <c r="B810" s="38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</row>
    <row r="811" ht="18.0" customHeight="1">
      <c r="A811" s="37"/>
      <c r="B811" s="38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</row>
    <row r="812" ht="18.0" customHeight="1">
      <c r="A812" s="37"/>
      <c r="B812" s="38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</row>
    <row r="813" ht="18.0" customHeight="1">
      <c r="A813" s="37"/>
      <c r="B813" s="38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</row>
    <row r="814" ht="18.0" customHeight="1">
      <c r="A814" s="37"/>
      <c r="B814" s="38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</row>
    <row r="815" ht="18.0" customHeight="1">
      <c r="A815" s="37"/>
      <c r="B815" s="38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</row>
    <row r="816" ht="18.0" customHeight="1">
      <c r="A816" s="37"/>
      <c r="B816" s="38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</row>
    <row r="817" ht="18.0" customHeight="1">
      <c r="A817" s="37"/>
      <c r="B817" s="38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</row>
    <row r="818" ht="18.0" customHeight="1">
      <c r="A818" s="37"/>
      <c r="B818" s="38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</row>
    <row r="819" ht="18.0" customHeight="1">
      <c r="A819" s="37"/>
      <c r="B819" s="38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</row>
    <row r="820" ht="18.0" customHeight="1">
      <c r="A820" s="37"/>
      <c r="B820" s="38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</row>
    <row r="821" ht="18.0" customHeight="1">
      <c r="A821" s="37"/>
      <c r="B821" s="38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</row>
    <row r="822" ht="18.0" customHeight="1">
      <c r="A822" s="37"/>
      <c r="B822" s="38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</row>
    <row r="823" ht="18.0" customHeight="1">
      <c r="A823" s="37"/>
      <c r="B823" s="38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</row>
    <row r="824" ht="18.0" customHeight="1">
      <c r="A824" s="37"/>
      <c r="B824" s="38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</row>
    <row r="825" ht="18.0" customHeight="1">
      <c r="A825" s="37"/>
      <c r="B825" s="38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</row>
    <row r="826" ht="18.0" customHeight="1">
      <c r="A826" s="37"/>
      <c r="B826" s="38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</row>
    <row r="827" ht="18.0" customHeight="1">
      <c r="A827" s="37"/>
      <c r="B827" s="38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</row>
    <row r="828" ht="18.0" customHeight="1">
      <c r="A828" s="37"/>
      <c r="B828" s="38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</row>
    <row r="829" ht="18.0" customHeight="1">
      <c r="A829" s="37"/>
      <c r="B829" s="38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</row>
    <row r="830" ht="18.0" customHeight="1">
      <c r="A830" s="37"/>
      <c r="B830" s="38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</row>
    <row r="831" ht="18.0" customHeight="1">
      <c r="A831" s="37"/>
      <c r="B831" s="38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</row>
    <row r="832" ht="18.0" customHeight="1">
      <c r="A832" s="37"/>
      <c r="B832" s="38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</row>
    <row r="833" ht="18.0" customHeight="1">
      <c r="A833" s="37"/>
      <c r="B833" s="38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</row>
    <row r="834" ht="18.0" customHeight="1">
      <c r="A834" s="37"/>
      <c r="B834" s="38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</row>
    <row r="835" ht="18.0" customHeight="1">
      <c r="A835" s="37"/>
      <c r="B835" s="38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</row>
    <row r="836" ht="18.0" customHeight="1">
      <c r="A836" s="37"/>
      <c r="B836" s="38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</row>
    <row r="837" ht="18.0" customHeight="1">
      <c r="A837" s="37"/>
      <c r="B837" s="38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</row>
    <row r="838" ht="18.0" customHeight="1">
      <c r="A838" s="37"/>
      <c r="B838" s="38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</row>
    <row r="839" ht="18.0" customHeight="1">
      <c r="A839" s="37"/>
      <c r="B839" s="38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</row>
    <row r="840" ht="18.0" customHeight="1">
      <c r="A840" s="37"/>
      <c r="B840" s="38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</row>
    <row r="841" ht="18.0" customHeight="1">
      <c r="A841" s="37"/>
      <c r="B841" s="38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</row>
    <row r="842" ht="18.0" customHeight="1">
      <c r="A842" s="37"/>
      <c r="B842" s="38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</row>
    <row r="843" ht="18.0" customHeight="1">
      <c r="A843" s="37"/>
      <c r="B843" s="38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</row>
    <row r="844" ht="18.0" customHeight="1">
      <c r="A844" s="37"/>
      <c r="B844" s="38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</row>
    <row r="845" ht="18.0" customHeight="1">
      <c r="A845" s="37"/>
      <c r="B845" s="38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</row>
    <row r="846" ht="18.0" customHeight="1">
      <c r="A846" s="37"/>
      <c r="B846" s="38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</row>
    <row r="847" ht="18.0" customHeight="1">
      <c r="A847" s="37"/>
      <c r="B847" s="38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</row>
    <row r="848" ht="18.0" customHeight="1">
      <c r="A848" s="37"/>
      <c r="B848" s="38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</row>
    <row r="849" ht="18.0" customHeight="1">
      <c r="A849" s="37"/>
      <c r="B849" s="38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</row>
    <row r="850" ht="18.0" customHeight="1">
      <c r="A850" s="37"/>
      <c r="B850" s="38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</row>
    <row r="851" ht="18.0" customHeight="1">
      <c r="A851" s="37"/>
      <c r="B851" s="38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</row>
    <row r="852" ht="18.0" customHeight="1">
      <c r="A852" s="37"/>
      <c r="B852" s="38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</row>
    <row r="853" ht="18.0" customHeight="1">
      <c r="A853" s="37"/>
      <c r="B853" s="38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</row>
    <row r="854" ht="18.0" customHeight="1">
      <c r="A854" s="37"/>
      <c r="B854" s="38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</row>
    <row r="855" ht="18.0" customHeight="1">
      <c r="A855" s="37"/>
      <c r="B855" s="38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</row>
    <row r="856" ht="18.0" customHeight="1">
      <c r="A856" s="37"/>
      <c r="B856" s="38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</row>
    <row r="857" ht="18.0" customHeight="1">
      <c r="A857" s="37"/>
      <c r="B857" s="38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</row>
    <row r="858" ht="18.0" customHeight="1">
      <c r="A858" s="37"/>
      <c r="B858" s="38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</row>
    <row r="859" ht="18.0" customHeight="1">
      <c r="A859" s="37"/>
      <c r="B859" s="38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</row>
    <row r="860" ht="18.0" customHeight="1">
      <c r="A860" s="37"/>
      <c r="B860" s="38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</row>
    <row r="861" ht="18.0" customHeight="1">
      <c r="A861" s="37"/>
      <c r="B861" s="38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</row>
    <row r="862" ht="18.0" customHeight="1">
      <c r="A862" s="37"/>
      <c r="B862" s="38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</row>
    <row r="863" ht="18.0" customHeight="1">
      <c r="A863" s="37"/>
      <c r="B863" s="38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</row>
    <row r="864" ht="18.0" customHeight="1">
      <c r="A864" s="37"/>
      <c r="B864" s="38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</row>
    <row r="865" ht="18.0" customHeight="1">
      <c r="A865" s="37"/>
      <c r="B865" s="38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</row>
    <row r="866" ht="18.0" customHeight="1">
      <c r="A866" s="37"/>
      <c r="B866" s="38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</row>
    <row r="867" ht="18.0" customHeight="1">
      <c r="A867" s="37"/>
      <c r="B867" s="38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</row>
    <row r="868" ht="18.0" customHeight="1">
      <c r="A868" s="37"/>
      <c r="B868" s="38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</row>
    <row r="869" ht="18.0" customHeight="1">
      <c r="A869" s="37"/>
      <c r="B869" s="38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</row>
    <row r="870" ht="18.0" customHeight="1">
      <c r="A870" s="37"/>
      <c r="B870" s="38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</row>
    <row r="871" ht="18.0" customHeight="1">
      <c r="A871" s="37"/>
      <c r="B871" s="38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</row>
    <row r="872" ht="18.0" customHeight="1">
      <c r="A872" s="37"/>
      <c r="B872" s="38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</row>
    <row r="873" ht="18.0" customHeight="1">
      <c r="A873" s="37"/>
      <c r="B873" s="38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</row>
    <row r="874" ht="18.0" customHeight="1">
      <c r="A874" s="37"/>
      <c r="B874" s="38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</row>
    <row r="875" ht="18.0" customHeight="1">
      <c r="A875" s="37"/>
      <c r="B875" s="38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</row>
    <row r="876" ht="18.0" customHeight="1">
      <c r="A876" s="37"/>
      <c r="B876" s="38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</row>
    <row r="877" ht="18.0" customHeight="1">
      <c r="A877" s="37"/>
      <c r="B877" s="38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</row>
    <row r="878" ht="18.0" customHeight="1">
      <c r="A878" s="37"/>
      <c r="B878" s="38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</row>
    <row r="879" ht="18.0" customHeight="1">
      <c r="A879" s="37"/>
      <c r="B879" s="38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</row>
    <row r="880" ht="18.0" customHeight="1">
      <c r="A880" s="37"/>
      <c r="B880" s="38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</row>
    <row r="881" ht="18.0" customHeight="1">
      <c r="A881" s="37"/>
      <c r="B881" s="38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</row>
    <row r="882" ht="18.0" customHeight="1">
      <c r="A882" s="37"/>
      <c r="B882" s="38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</row>
    <row r="883" ht="18.0" customHeight="1">
      <c r="A883" s="37"/>
      <c r="B883" s="38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</row>
    <row r="884" ht="18.0" customHeight="1">
      <c r="A884" s="37"/>
      <c r="B884" s="38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</row>
    <row r="885" ht="18.0" customHeight="1">
      <c r="A885" s="37"/>
      <c r="B885" s="38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</row>
    <row r="886" ht="18.0" customHeight="1">
      <c r="A886" s="37"/>
      <c r="B886" s="38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</row>
    <row r="887" ht="18.0" customHeight="1">
      <c r="A887" s="37"/>
      <c r="B887" s="38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</row>
    <row r="888" ht="18.0" customHeight="1">
      <c r="A888" s="37"/>
      <c r="B888" s="38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</row>
    <row r="889" ht="18.0" customHeight="1">
      <c r="A889" s="37"/>
      <c r="B889" s="38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</row>
    <row r="890" ht="18.0" customHeight="1">
      <c r="A890" s="37"/>
      <c r="B890" s="38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</row>
    <row r="891" ht="18.0" customHeight="1">
      <c r="A891" s="37"/>
      <c r="B891" s="38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</row>
    <row r="892" ht="18.0" customHeight="1">
      <c r="A892" s="37"/>
      <c r="B892" s="38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</row>
    <row r="893" ht="18.0" customHeight="1">
      <c r="A893" s="37"/>
      <c r="B893" s="38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</row>
    <row r="894" ht="18.0" customHeight="1">
      <c r="A894" s="37"/>
      <c r="B894" s="38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</row>
    <row r="895" ht="18.0" customHeight="1">
      <c r="A895" s="37"/>
      <c r="B895" s="38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</row>
    <row r="896" ht="18.0" customHeight="1">
      <c r="A896" s="37"/>
      <c r="B896" s="38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</row>
    <row r="897" ht="18.0" customHeight="1">
      <c r="A897" s="37"/>
      <c r="B897" s="38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</row>
    <row r="898" ht="18.0" customHeight="1">
      <c r="A898" s="37"/>
      <c r="B898" s="38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</row>
    <row r="899" ht="18.0" customHeight="1">
      <c r="A899" s="37"/>
      <c r="B899" s="38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</row>
    <row r="900" ht="18.0" customHeight="1">
      <c r="A900" s="37"/>
      <c r="B900" s="38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</row>
    <row r="901" ht="18.0" customHeight="1">
      <c r="A901" s="37"/>
      <c r="B901" s="38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</row>
    <row r="902" ht="18.0" customHeight="1">
      <c r="A902" s="37"/>
      <c r="B902" s="38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</row>
    <row r="903" ht="18.0" customHeight="1">
      <c r="A903" s="37"/>
      <c r="B903" s="38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</row>
    <row r="904" ht="18.0" customHeight="1">
      <c r="A904" s="37"/>
      <c r="B904" s="38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</row>
    <row r="905" ht="18.0" customHeight="1">
      <c r="A905" s="37"/>
      <c r="B905" s="38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</row>
    <row r="906" ht="18.0" customHeight="1">
      <c r="A906" s="37"/>
      <c r="B906" s="38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</row>
    <row r="907" ht="18.0" customHeight="1">
      <c r="A907" s="37"/>
      <c r="B907" s="38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</row>
    <row r="908" ht="18.0" customHeight="1">
      <c r="A908" s="37"/>
      <c r="B908" s="38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</row>
    <row r="909" ht="18.0" customHeight="1">
      <c r="A909" s="37"/>
      <c r="B909" s="38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</row>
    <row r="910" ht="18.0" customHeight="1">
      <c r="A910" s="37"/>
      <c r="B910" s="38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</row>
    <row r="911" ht="18.0" customHeight="1">
      <c r="A911" s="37"/>
      <c r="B911" s="38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</row>
    <row r="912" ht="18.0" customHeight="1">
      <c r="A912" s="37"/>
      <c r="B912" s="38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</row>
    <row r="913" ht="18.0" customHeight="1">
      <c r="A913" s="37"/>
      <c r="B913" s="38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</row>
    <row r="914" ht="18.0" customHeight="1">
      <c r="A914" s="37"/>
      <c r="B914" s="38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</row>
    <row r="915" ht="18.0" customHeight="1">
      <c r="A915" s="37"/>
      <c r="B915" s="38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</row>
    <row r="916" ht="18.0" customHeight="1">
      <c r="A916" s="37"/>
      <c r="B916" s="38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</row>
    <row r="917" ht="18.0" customHeight="1">
      <c r="A917" s="37"/>
      <c r="B917" s="38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</row>
    <row r="918" ht="18.0" customHeight="1">
      <c r="A918" s="37"/>
      <c r="B918" s="38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</row>
    <row r="919" ht="18.0" customHeight="1">
      <c r="A919" s="37"/>
      <c r="B919" s="38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</row>
    <row r="920" ht="18.0" customHeight="1">
      <c r="A920" s="37"/>
      <c r="B920" s="38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</row>
    <row r="921" ht="18.0" customHeight="1">
      <c r="A921" s="37"/>
      <c r="B921" s="38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</row>
    <row r="922" ht="18.0" customHeight="1">
      <c r="A922" s="37"/>
      <c r="B922" s="38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</row>
    <row r="923" ht="18.0" customHeight="1">
      <c r="A923" s="37"/>
      <c r="B923" s="38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</row>
    <row r="924" ht="18.0" customHeight="1">
      <c r="A924" s="37"/>
      <c r="B924" s="38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</row>
    <row r="925" ht="18.0" customHeight="1">
      <c r="A925" s="37"/>
      <c r="B925" s="38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</row>
    <row r="926" ht="18.0" customHeight="1">
      <c r="A926" s="37"/>
      <c r="B926" s="38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</row>
    <row r="927" ht="18.0" customHeight="1">
      <c r="A927" s="37"/>
      <c r="B927" s="38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</row>
    <row r="928" ht="18.0" customHeight="1">
      <c r="A928" s="37"/>
      <c r="B928" s="38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</row>
    <row r="929" ht="18.0" customHeight="1">
      <c r="A929" s="37"/>
      <c r="B929" s="38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</row>
    <row r="930" ht="18.0" customHeight="1">
      <c r="A930" s="37"/>
      <c r="B930" s="38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</row>
    <row r="931" ht="18.0" customHeight="1">
      <c r="A931" s="37"/>
      <c r="B931" s="38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</row>
    <row r="932" ht="18.0" customHeight="1">
      <c r="A932" s="37"/>
      <c r="B932" s="38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</row>
    <row r="933" ht="18.0" customHeight="1">
      <c r="A933" s="37"/>
      <c r="B933" s="38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</row>
    <row r="934" ht="18.0" customHeight="1">
      <c r="A934" s="37"/>
      <c r="B934" s="38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</row>
    <row r="935" ht="18.0" customHeight="1">
      <c r="A935" s="37"/>
      <c r="B935" s="38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</row>
    <row r="936" ht="18.0" customHeight="1">
      <c r="A936" s="37"/>
      <c r="B936" s="38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</row>
    <row r="937" ht="18.0" customHeight="1">
      <c r="A937" s="37"/>
      <c r="B937" s="38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</row>
    <row r="938" ht="18.0" customHeight="1">
      <c r="A938" s="37"/>
      <c r="B938" s="38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</row>
    <row r="939" ht="18.0" customHeight="1">
      <c r="A939" s="37"/>
      <c r="B939" s="38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</row>
    <row r="940" ht="18.0" customHeight="1">
      <c r="A940" s="37"/>
      <c r="B940" s="38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</row>
    <row r="941" ht="18.0" customHeight="1">
      <c r="A941" s="37"/>
      <c r="B941" s="38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</row>
    <row r="942" ht="18.0" customHeight="1">
      <c r="A942" s="37"/>
      <c r="B942" s="38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</row>
    <row r="943" ht="18.0" customHeight="1">
      <c r="A943" s="37"/>
      <c r="B943" s="38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</row>
    <row r="944" ht="18.0" customHeight="1">
      <c r="A944" s="37"/>
      <c r="B944" s="38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</row>
    <row r="945" ht="18.0" customHeight="1">
      <c r="A945" s="37"/>
      <c r="B945" s="38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</row>
    <row r="946" ht="18.0" customHeight="1">
      <c r="A946" s="37"/>
      <c r="B946" s="38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</row>
    <row r="947" ht="18.0" customHeight="1">
      <c r="A947" s="37"/>
      <c r="B947" s="38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</row>
    <row r="948" ht="18.0" customHeight="1">
      <c r="A948" s="37"/>
      <c r="B948" s="38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</row>
    <row r="949" ht="18.0" customHeight="1">
      <c r="A949" s="37"/>
      <c r="B949" s="38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</row>
    <row r="950" ht="18.0" customHeight="1">
      <c r="A950" s="37"/>
      <c r="B950" s="38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</row>
    <row r="951" ht="18.0" customHeight="1">
      <c r="A951" s="37"/>
      <c r="B951" s="38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</row>
    <row r="952" ht="18.0" customHeight="1">
      <c r="A952" s="37"/>
      <c r="B952" s="38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</row>
    <row r="953" ht="18.0" customHeight="1">
      <c r="A953" s="37"/>
      <c r="B953" s="38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</row>
    <row r="954" ht="18.0" customHeight="1">
      <c r="A954" s="37"/>
      <c r="B954" s="38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</row>
    <row r="955" ht="18.0" customHeight="1">
      <c r="A955" s="37"/>
      <c r="B955" s="38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</row>
    <row r="956" ht="18.0" customHeight="1">
      <c r="A956" s="37"/>
      <c r="B956" s="38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</row>
    <row r="957" ht="18.0" customHeight="1">
      <c r="A957" s="37"/>
      <c r="B957" s="38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</row>
    <row r="958" ht="18.0" customHeight="1">
      <c r="A958" s="37"/>
      <c r="B958" s="38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</row>
    <row r="959" ht="18.0" customHeight="1">
      <c r="A959" s="37"/>
      <c r="B959" s="38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</row>
    <row r="960" ht="18.0" customHeight="1">
      <c r="A960" s="37"/>
      <c r="B960" s="38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</row>
    <row r="961" ht="18.0" customHeight="1">
      <c r="A961" s="37"/>
      <c r="B961" s="38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</row>
    <row r="962" ht="18.0" customHeight="1">
      <c r="A962" s="37"/>
      <c r="B962" s="38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</row>
    <row r="963" ht="18.0" customHeight="1">
      <c r="A963" s="37"/>
      <c r="B963" s="38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</row>
    <row r="964" ht="18.0" customHeight="1">
      <c r="A964" s="37"/>
      <c r="B964" s="38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</row>
    <row r="965" ht="18.0" customHeight="1">
      <c r="A965" s="37"/>
      <c r="B965" s="38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</row>
    <row r="966" ht="18.0" customHeight="1">
      <c r="A966" s="37"/>
      <c r="B966" s="38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</row>
    <row r="967" ht="18.0" customHeight="1">
      <c r="A967" s="37"/>
      <c r="B967" s="38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</row>
    <row r="968" ht="18.0" customHeight="1">
      <c r="A968" s="37"/>
      <c r="B968" s="38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</row>
    <row r="969" ht="18.0" customHeight="1">
      <c r="A969" s="37"/>
      <c r="B969" s="38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</row>
    <row r="970" ht="18.0" customHeight="1">
      <c r="A970" s="37"/>
      <c r="B970" s="38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</row>
    <row r="971" ht="18.0" customHeight="1">
      <c r="A971" s="37"/>
      <c r="B971" s="38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</row>
    <row r="972" ht="18.0" customHeight="1">
      <c r="A972" s="37"/>
      <c r="B972" s="38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</row>
    <row r="973" ht="18.0" customHeight="1">
      <c r="A973" s="37"/>
      <c r="B973" s="38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</row>
    <row r="974" ht="18.0" customHeight="1">
      <c r="A974" s="37"/>
      <c r="B974" s="38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</row>
  </sheetData>
  <mergeCells count="10">
    <mergeCell ref="E12:F12"/>
    <mergeCell ref="G12:H12"/>
    <mergeCell ref="C1:J1"/>
    <mergeCell ref="C2:D2"/>
    <mergeCell ref="E2:F2"/>
    <mergeCell ref="G2:H2"/>
    <mergeCell ref="I2:J2"/>
    <mergeCell ref="A3:B3"/>
    <mergeCell ref="C12:D12"/>
    <mergeCell ref="I12:J12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2"/>
  <legacyDrawing r:id="rId3"/>
</worksheet>
</file>